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BP\Bros Partners\Tickers\GMD\Số liệu tháng\"/>
    </mc:Choice>
  </mc:AlternateContent>
  <xr:revisionPtr revIDLastSave="0" documentId="13_ncr:1_{5B04E354-FA88-4DE2-9E66-309854661744}" xr6:coauthVersionLast="47" xr6:coauthVersionMax="47" xr10:uidLastSave="{00000000-0000-0000-0000-000000000000}"/>
  <bookViews>
    <workbookView xWindow="-108" yWindow="-108" windowWidth="23256" windowHeight="12456" tabRatio="830" firstSheet="5" activeTab="17" xr2:uid="{00000000-000D-0000-FFFF-FFFF00000000}"/>
  </bookViews>
  <sheets>
    <sheet name="T01-2025" sheetId="1" r:id="rId1"/>
    <sheet name="T02-2025" sheetId="2" r:id="rId2"/>
    <sheet name="T03-2025" sheetId="3" r:id="rId3"/>
    <sheet name="T04-2025" sheetId="4" r:id="rId4"/>
    <sheet name="T05-2025" sheetId="5" r:id="rId5"/>
    <sheet name="T06-2025" sheetId="6" r:id="rId6"/>
    <sheet name="T7-2025" sheetId="7" r:id="rId7"/>
    <sheet name="T8-2025" sheetId="8" r:id="rId8"/>
    <sheet name="T9-2025" sheetId="9" r:id="rId9"/>
    <sheet name="T10-2025" sheetId="10" r:id="rId10"/>
    <sheet name="T11-2025" sheetId="11" r:id="rId11"/>
    <sheet name="T12-2025" sheetId="12" r:id="rId12"/>
    <sheet name="T1-2026" sheetId="13" r:id="rId13"/>
    <sheet name="T2-2026" sheetId="14" r:id="rId14"/>
    <sheet name="T3-2026" sheetId="15" r:id="rId15"/>
    <sheet name="T4-2026" sheetId="16" r:id="rId16"/>
    <sheet name="T5-2026" sheetId="17" r:id="rId17"/>
    <sheet name="T6-2026" sheetId="18" r:id="rId18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5" i="18" l="1"/>
  <c r="M75" i="18"/>
  <c r="L75" i="18"/>
  <c r="K75" i="18"/>
  <c r="J75" i="18"/>
  <c r="I75" i="18"/>
  <c r="H75" i="18"/>
  <c r="G75" i="18"/>
  <c r="F75" i="18"/>
  <c r="E75" i="18"/>
  <c r="I70" i="18"/>
  <c r="H70" i="18"/>
  <c r="G70" i="18"/>
  <c r="E69" i="18"/>
  <c r="D69" i="18"/>
  <c r="O69" i="18" s="1"/>
  <c r="E68" i="18"/>
  <c r="O67" i="18"/>
  <c r="L67" i="18"/>
  <c r="L61" i="18" s="1"/>
  <c r="E67" i="18"/>
  <c r="D67" i="18"/>
  <c r="E66" i="18"/>
  <c r="O65" i="18"/>
  <c r="L65" i="18"/>
  <c r="E65" i="18"/>
  <c r="D65" i="18"/>
  <c r="B65" i="18"/>
  <c r="L64" i="18"/>
  <c r="E64" i="18"/>
  <c r="E61" i="18" s="1"/>
  <c r="D64" i="18"/>
  <c r="O64" i="18" s="1"/>
  <c r="B64" i="18"/>
  <c r="B61" i="18" s="1"/>
  <c r="E63" i="18"/>
  <c r="L62" i="18"/>
  <c r="E62" i="18"/>
  <c r="D62" i="18"/>
  <c r="D61" i="18" s="1"/>
  <c r="O61" i="18" s="1"/>
  <c r="B62" i="18"/>
  <c r="N61" i="18"/>
  <c r="M61" i="18"/>
  <c r="K61" i="18"/>
  <c r="J61" i="18"/>
  <c r="I61" i="18"/>
  <c r="H61" i="18"/>
  <c r="G61" i="18"/>
  <c r="F61" i="18"/>
  <c r="C61" i="18"/>
  <c r="E59" i="18"/>
  <c r="D59" i="18"/>
  <c r="O59" i="18" s="1"/>
  <c r="B59" i="18"/>
  <c r="E58" i="18"/>
  <c r="L57" i="18"/>
  <c r="L52" i="18" s="1"/>
  <c r="E57" i="18"/>
  <c r="D57" i="18"/>
  <c r="O57" i="18" s="1"/>
  <c r="B57" i="18"/>
  <c r="L56" i="18"/>
  <c r="E56" i="18"/>
  <c r="D56" i="18"/>
  <c r="O56" i="18" s="1"/>
  <c r="B56" i="18"/>
  <c r="B52" i="18" s="1"/>
  <c r="O55" i="18"/>
  <c r="L55" i="18"/>
  <c r="E55" i="18"/>
  <c r="E52" i="18" s="1"/>
  <c r="D55" i="18"/>
  <c r="B55" i="18"/>
  <c r="O54" i="18"/>
  <c r="L54" i="18"/>
  <c r="E54" i="18"/>
  <c r="D54" i="18"/>
  <c r="B54" i="18"/>
  <c r="N52" i="18"/>
  <c r="M52" i="18"/>
  <c r="K52" i="18"/>
  <c r="J52" i="18"/>
  <c r="I52" i="18"/>
  <c r="H52" i="18"/>
  <c r="G52" i="18"/>
  <c r="F52" i="18"/>
  <c r="C52" i="18"/>
  <c r="O50" i="18"/>
  <c r="L50" i="18"/>
  <c r="E50" i="18"/>
  <c r="D50" i="18"/>
  <c r="B50" i="18"/>
  <c r="O49" i="18"/>
  <c r="L49" i="18"/>
  <c r="E49" i="18"/>
  <c r="D49" i="18"/>
  <c r="B49" i="18"/>
  <c r="O48" i="18"/>
  <c r="L48" i="18"/>
  <c r="L38" i="18" s="1"/>
  <c r="E48" i="18"/>
  <c r="D48" i="18"/>
  <c r="B48" i="18"/>
  <c r="E47" i="18"/>
  <c r="O46" i="18"/>
  <c r="L46" i="18"/>
  <c r="E46" i="18"/>
  <c r="D46" i="18"/>
  <c r="B46" i="18"/>
  <c r="L45" i="18"/>
  <c r="E45" i="18"/>
  <c r="D45" i="18"/>
  <c r="O45" i="18" s="1"/>
  <c r="B45" i="18"/>
  <c r="L44" i="18"/>
  <c r="E44" i="18"/>
  <c r="D44" i="18"/>
  <c r="O44" i="18" s="1"/>
  <c r="B44" i="18"/>
  <c r="L43" i="18"/>
  <c r="E43" i="18"/>
  <c r="D43" i="18"/>
  <c r="O43" i="18" s="1"/>
  <c r="B43" i="18"/>
  <c r="O42" i="18"/>
  <c r="L42" i="18"/>
  <c r="E42" i="18"/>
  <c r="D42" i="18"/>
  <c r="B42" i="18"/>
  <c r="O41" i="18"/>
  <c r="E41" i="18"/>
  <c r="D41" i="18"/>
  <c r="B41" i="18"/>
  <c r="L40" i="18"/>
  <c r="E40" i="18"/>
  <c r="E38" i="18" s="1"/>
  <c r="D40" i="18"/>
  <c r="O40" i="18" s="1"/>
  <c r="B40" i="18"/>
  <c r="B38" i="18" s="1"/>
  <c r="L39" i="18"/>
  <c r="E39" i="18"/>
  <c r="D39" i="18"/>
  <c r="D38" i="18" s="1"/>
  <c r="O38" i="18" s="1"/>
  <c r="B39" i="18"/>
  <c r="N38" i="18"/>
  <c r="M38" i="18"/>
  <c r="K38" i="18"/>
  <c r="J38" i="18"/>
  <c r="I38" i="18"/>
  <c r="H38" i="18"/>
  <c r="G38" i="18"/>
  <c r="F38" i="18"/>
  <c r="C38" i="18"/>
  <c r="O36" i="18"/>
  <c r="O35" i="18"/>
  <c r="L35" i="18"/>
  <c r="L33" i="18" s="1"/>
  <c r="E35" i="18"/>
  <c r="D35" i="18"/>
  <c r="D33" i="18" s="1"/>
  <c r="O33" i="18" s="1"/>
  <c r="B35" i="18"/>
  <c r="O34" i="18"/>
  <c r="L34" i="18"/>
  <c r="E34" i="18"/>
  <c r="E33" i="18" s="1"/>
  <c r="D34" i="18"/>
  <c r="B34" i="18"/>
  <c r="N33" i="18"/>
  <c r="M33" i="18"/>
  <c r="K33" i="18"/>
  <c r="J33" i="18"/>
  <c r="I33" i="18"/>
  <c r="H33" i="18"/>
  <c r="G33" i="18"/>
  <c r="F33" i="18"/>
  <c r="C33" i="18"/>
  <c r="B33" i="18"/>
  <c r="O31" i="18"/>
  <c r="O30" i="18"/>
  <c r="L30" i="18"/>
  <c r="E30" i="18"/>
  <c r="E28" i="18" s="1"/>
  <c r="D30" i="18"/>
  <c r="D28" i="18" s="1"/>
  <c r="O28" i="18" s="1"/>
  <c r="B30" i="18"/>
  <c r="O29" i="18"/>
  <c r="L29" i="18"/>
  <c r="E29" i="18"/>
  <c r="D29" i="18"/>
  <c r="B29" i="18"/>
  <c r="N28" i="18"/>
  <c r="M28" i="18"/>
  <c r="L28" i="18"/>
  <c r="K28" i="18"/>
  <c r="J28" i="18"/>
  <c r="I28" i="18"/>
  <c r="H28" i="18"/>
  <c r="G28" i="18"/>
  <c r="F28" i="18"/>
  <c r="C28" i="18"/>
  <c r="B28" i="18"/>
  <c r="O26" i="18"/>
  <c r="L26" i="18"/>
  <c r="E26" i="18"/>
  <c r="D26" i="18"/>
  <c r="B26" i="18"/>
  <c r="D25" i="18"/>
  <c r="O25" i="18" s="1"/>
  <c r="D24" i="18"/>
  <c r="O24" i="18" s="1"/>
  <c r="D23" i="18"/>
  <c r="O23" i="18" s="1"/>
  <c r="D22" i="18"/>
  <c r="D6" i="18" s="1"/>
  <c r="O21" i="18"/>
  <c r="D21" i="18"/>
  <c r="D20" i="18"/>
  <c r="O20" i="18" s="1"/>
  <c r="D19" i="18"/>
  <c r="O19" i="18" s="1"/>
  <c r="D18" i="18"/>
  <c r="O18" i="18" s="1"/>
  <c r="D17" i="18"/>
  <c r="O17" i="18" s="1"/>
  <c r="B17" i="18"/>
  <c r="O14" i="18"/>
  <c r="L14" i="18"/>
  <c r="E14" i="18"/>
  <c r="D14" i="18"/>
  <c r="B14" i="18"/>
  <c r="O13" i="18"/>
  <c r="L13" i="18"/>
  <c r="E13" i="18"/>
  <c r="D13" i="18"/>
  <c r="B13" i="18"/>
  <c r="E12" i="18"/>
  <c r="O11" i="18"/>
  <c r="L11" i="18"/>
  <c r="E11" i="18"/>
  <c r="E6" i="18" s="1"/>
  <c r="D11" i="18"/>
  <c r="B11" i="18"/>
  <c r="L10" i="18"/>
  <c r="L6" i="18" s="1"/>
  <c r="L70" i="18" s="1"/>
  <c r="E10" i="18"/>
  <c r="D10" i="18"/>
  <c r="B10" i="18"/>
  <c r="E9" i="18"/>
  <c r="D9" i="18"/>
  <c r="O9" i="18" s="1"/>
  <c r="B9" i="18"/>
  <c r="N6" i="18"/>
  <c r="N70" i="18" s="1"/>
  <c r="M6" i="18"/>
  <c r="M70" i="18" s="1"/>
  <c r="K6" i="18"/>
  <c r="K70" i="18" s="1"/>
  <c r="J6" i="18"/>
  <c r="J70" i="18" s="1"/>
  <c r="I6" i="18"/>
  <c r="H6" i="18"/>
  <c r="G6" i="18"/>
  <c r="F6" i="18"/>
  <c r="F70" i="18" s="1"/>
  <c r="C6" i="18"/>
  <c r="C70" i="18" s="1"/>
  <c r="B6" i="18"/>
  <c r="N75" i="17"/>
  <c r="M75" i="17"/>
  <c r="L75" i="17"/>
  <c r="K75" i="17"/>
  <c r="J75" i="17"/>
  <c r="I75" i="17"/>
  <c r="H75" i="17"/>
  <c r="G75" i="17"/>
  <c r="F75" i="17"/>
  <c r="E75" i="17"/>
  <c r="J70" i="17"/>
  <c r="I70" i="17"/>
  <c r="H70" i="17"/>
  <c r="O69" i="17"/>
  <c r="E69" i="17"/>
  <c r="D69" i="17"/>
  <c r="E68" i="17"/>
  <c r="O67" i="17"/>
  <c r="L67" i="17"/>
  <c r="L61" i="17" s="1"/>
  <c r="E67" i="17"/>
  <c r="D67" i="17"/>
  <c r="E66" i="17"/>
  <c r="L65" i="17"/>
  <c r="E65" i="17"/>
  <c r="D65" i="17"/>
  <c r="O65" i="17" s="1"/>
  <c r="B65" i="17"/>
  <c r="L64" i="17"/>
  <c r="E64" i="17"/>
  <c r="E61" i="17" s="1"/>
  <c r="D64" i="17"/>
  <c r="O64" i="17" s="1"/>
  <c r="B64" i="17"/>
  <c r="E63" i="17"/>
  <c r="L62" i="17"/>
  <c r="E62" i="17"/>
  <c r="D62" i="17"/>
  <c r="O62" i="17" s="1"/>
  <c r="B62" i="17"/>
  <c r="B61" i="17" s="1"/>
  <c r="N61" i="17"/>
  <c r="M61" i="17"/>
  <c r="K61" i="17"/>
  <c r="J61" i="17"/>
  <c r="I61" i="17"/>
  <c r="H61" i="17"/>
  <c r="G61" i="17"/>
  <c r="F61" i="17"/>
  <c r="C61" i="17"/>
  <c r="E59" i="17"/>
  <c r="D59" i="17"/>
  <c r="O59" i="17" s="1"/>
  <c r="B59" i="17"/>
  <c r="E58" i="17"/>
  <c r="L57" i="17"/>
  <c r="E57" i="17"/>
  <c r="D57" i="17"/>
  <c r="O57" i="17" s="1"/>
  <c r="B57" i="17"/>
  <c r="L56" i="17"/>
  <c r="E56" i="17"/>
  <c r="D56" i="17"/>
  <c r="O56" i="17" s="1"/>
  <c r="B56" i="17"/>
  <c r="B52" i="17" s="1"/>
  <c r="O55" i="17"/>
  <c r="L55" i="17"/>
  <c r="E55" i="17"/>
  <c r="D55" i="17"/>
  <c r="B55" i="17"/>
  <c r="O54" i="17"/>
  <c r="L54" i="17"/>
  <c r="L52" i="17" s="1"/>
  <c r="E54" i="17"/>
  <c r="E52" i="17" s="1"/>
  <c r="D54" i="17"/>
  <c r="B54" i="17"/>
  <c r="N52" i="17"/>
  <c r="M52" i="17"/>
  <c r="K52" i="17"/>
  <c r="J52" i="17"/>
  <c r="I52" i="17"/>
  <c r="H52" i="17"/>
  <c r="G52" i="17"/>
  <c r="F52" i="17"/>
  <c r="C52" i="17"/>
  <c r="O50" i="17"/>
  <c r="L50" i="17"/>
  <c r="E50" i="17"/>
  <c r="D50" i="17"/>
  <c r="B50" i="17"/>
  <c r="O49" i="17"/>
  <c r="L49" i="17"/>
  <c r="E49" i="17"/>
  <c r="D49" i="17"/>
  <c r="B49" i="17"/>
  <c r="O48" i="17"/>
  <c r="L48" i="17"/>
  <c r="E48" i="17"/>
  <c r="D48" i="17"/>
  <c r="B48" i="17"/>
  <c r="E47" i="17"/>
  <c r="L46" i="17"/>
  <c r="E46" i="17"/>
  <c r="D46" i="17"/>
  <c r="O46" i="17" s="1"/>
  <c r="B46" i="17"/>
  <c r="O45" i="17"/>
  <c r="L45" i="17"/>
  <c r="E45" i="17"/>
  <c r="D45" i="17"/>
  <c r="B45" i="17"/>
  <c r="L44" i="17"/>
  <c r="E44" i="17"/>
  <c r="D44" i="17"/>
  <c r="O44" i="17" s="1"/>
  <c r="B44" i="17"/>
  <c r="L43" i="17"/>
  <c r="E43" i="17"/>
  <c r="D43" i="17"/>
  <c r="O43" i="17" s="1"/>
  <c r="B43" i="17"/>
  <c r="O42" i="17"/>
  <c r="L42" i="17"/>
  <c r="E42" i="17"/>
  <c r="D42" i="17"/>
  <c r="B42" i="17"/>
  <c r="E41" i="17"/>
  <c r="D41" i="17"/>
  <c r="O41" i="17" s="1"/>
  <c r="B41" i="17"/>
  <c r="O40" i="17"/>
  <c r="L40" i="17"/>
  <c r="L38" i="17" s="1"/>
  <c r="E40" i="17"/>
  <c r="E38" i="17" s="1"/>
  <c r="D40" i="17"/>
  <c r="B40" i="17"/>
  <c r="L39" i="17"/>
  <c r="E39" i="17"/>
  <c r="D39" i="17"/>
  <c r="O39" i="17" s="1"/>
  <c r="B39" i="17"/>
  <c r="B38" i="17" s="1"/>
  <c r="N38" i="17"/>
  <c r="M38" i="17"/>
  <c r="K38" i="17"/>
  <c r="J38" i="17"/>
  <c r="I38" i="17"/>
  <c r="H38" i="17"/>
  <c r="G38" i="17"/>
  <c r="F38" i="17"/>
  <c r="C38" i="17"/>
  <c r="O36" i="17"/>
  <c r="O35" i="17"/>
  <c r="L35" i="17"/>
  <c r="L33" i="17" s="1"/>
  <c r="E35" i="17"/>
  <c r="D35" i="17"/>
  <c r="B35" i="17"/>
  <c r="L34" i="17"/>
  <c r="E34" i="17"/>
  <c r="D34" i="17"/>
  <c r="D33" i="17" s="1"/>
  <c r="O33" i="17" s="1"/>
  <c r="B34" i="17"/>
  <c r="N33" i="17"/>
  <c r="M33" i="17"/>
  <c r="K33" i="17"/>
  <c r="J33" i="17"/>
  <c r="I33" i="17"/>
  <c r="H33" i="17"/>
  <c r="G33" i="17"/>
  <c r="F33" i="17"/>
  <c r="E33" i="17"/>
  <c r="C33" i="17"/>
  <c r="B33" i="17"/>
  <c r="O31" i="17"/>
  <c r="O30" i="17"/>
  <c r="L30" i="17"/>
  <c r="E30" i="17"/>
  <c r="D30" i="17"/>
  <c r="B30" i="17"/>
  <c r="L29" i="17"/>
  <c r="L28" i="17" s="1"/>
  <c r="E29" i="17"/>
  <c r="E28" i="17" s="1"/>
  <c r="D29" i="17"/>
  <c r="D28" i="17" s="1"/>
  <c r="O28" i="17" s="1"/>
  <c r="B29" i="17"/>
  <c r="N28" i="17"/>
  <c r="N70" i="17" s="1"/>
  <c r="M28" i="17"/>
  <c r="M70" i="17" s="1"/>
  <c r="K28" i="17"/>
  <c r="J28" i="17"/>
  <c r="I28" i="17"/>
  <c r="H28" i="17"/>
  <c r="G28" i="17"/>
  <c r="F28" i="17"/>
  <c r="C28" i="17"/>
  <c r="B28" i="17"/>
  <c r="O26" i="17"/>
  <c r="L26" i="17"/>
  <c r="E26" i="17"/>
  <c r="D26" i="17"/>
  <c r="B26" i="17"/>
  <c r="D25" i="17"/>
  <c r="O25" i="17" s="1"/>
  <c r="O24" i="17"/>
  <c r="D24" i="17"/>
  <c r="D23" i="17"/>
  <c r="O23" i="17" s="1"/>
  <c r="D22" i="17"/>
  <c r="O22" i="17" s="1"/>
  <c r="D21" i="17"/>
  <c r="O21" i="17" s="1"/>
  <c r="O20" i="17"/>
  <c r="D20" i="17"/>
  <c r="D19" i="17"/>
  <c r="O19" i="17" s="1"/>
  <c r="O18" i="17"/>
  <c r="D18" i="17"/>
  <c r="D17" i="17"/>
  <c r="O17" i="17" s="1"/>
  <c r="B17" i="17"/>
  <c r="O14" i="17"/>
  <c r="L14" i="17"/>
  <c r="E14" i="17"/>
  <c r="D14" i="17"/>
  <c r="B14" i="17"/>
  <c r="L13" i="17"/>
  <c r="E13" i="17"/>
  <c r="D13" i="17"/>
  <c r="O13" i="17" s="1"/>
  <c r="B13" i="17"/>
  <c r="E12" i="17"/>
  <c r="O11" i="17"/>
  <c r="L11" i="17"/>
  <c r="L6" i="17" s="1"/>
  <c r="L70" i="17" s="1"/>
  <c r="E11" i="17"/>
  <c r="D11" i="17"/>
  <c r="B11" i="17"/>
  <c r="L10" i="17"/>
  <c r="E10" i="17"/>
  <c r="D10" i="17"/>
  <c r="B10" i="17"/>
  <c r="E9" i="17"/>
  <c r="D9" i="17"/>
  <c r="O9" i="17" s="1"/>
  <c r="B9" i="17"/>
  <c r="B6" i="17" s="1"/>
  <c r="B70" i="17" s="1"/>
  <c r="N6" i="17"/>
  <c r="M6" i="17"/>
  <c r="K6" i="17"/>
  <c r="K70" i="17" s="1"/>
  <c r="J6" i="17"/>
  <c r="I6" i="17"/>
  <c r="H6" i="17"/>
  <c r="G6" i="17"/>
  <c r="G70" i="17" s="1"/>
  <c r="F6" i="17"/>
  <c r="F70" i="17" s="1"/>
  <c r="E6" i="17"/>
  <c r="C6" i="17"/>
  <c r="C70" i="17" s="1"/>
  <c r="O6" i="18" l="1"/>
  <c r="B70" i="18"/>
  <c r="E70" i="18"/>
  <c r="O39" i="18"/>
  <c r="O62" i="18"/>
  <c r="O22" i="18"/>
  <c r="D52" i="18"/>
  <c r="O52" i="18" s="1"/>
  <c r="E70" i="17"/>
  <c r="O34" i="17"/>
  <c r="D52" i="17"/>
  <c r="O52" i="17" s="1"/>
  <c r="D61" i="17"/>
  <c r="O61" i="17" s="1"/>
  <c r="D38" i="17"/>
  <c r="O38" i="17" s="1"/>
  <c r="O29" i="17"/>
  <c r="D6" i="17"/>
  <c r="D70" i="18" l="1"/>
  <c r="O70" i="18" s="1"/>
  <c r="O6" i="17"/>
  <c r="D70" i="17"/>
  <c r="O70" i="17" s="1"/>
  <c r="N75" i="16" l="1"/>
  <c r="M75" i="16"/>
  <c r="L75" i="16"/>
  <c r="K75" i="16"/>
  <c r="J75" i="16"/>
  <c r="I75" i="16"/>
  <c r="H75" i="16"/>
  <c r="G75" i="16"/>
  <c r="F75" i="16"/>
  <c r="E75" i="16"/>
  <c r="L69" i="16"/>
  <c r="E69" i="16"/>
  <c r="D69" i="16"/>
  <c r="O69" i="16" s="1"/>
  <c r="E68" i="16"/>
  <c r="L67" i="16"/>
  <c r="E67" i="16"/>
  <c r="D67" i="16"/>
  <c r="O67" i="16" s="1"/>
  <c r="E66" i="16"/>
  <c r="E61" i="16" s="1"/>
  <c r="L65" i="16"/>
  <c r="E65" i="16"/>
  <c r="D65" i="16"/>
  <c r="O65" i="16" s="1"/>
  <c r="B65" i="16"/>
  <c r="L64" i="16"/>
  <c r="K64" i="16"/>
  <c r="E64" i="16"/>
  <c r="D64" i="16"/>
  <c r="O64" i="16" s="1"/>
  <c r="B64" i="16"/>
  <c r="E63" i="16"/>
  <c r="L62" i="16"/>
  <c r="E62" i="16"/>
  <c r="D62" i="16"/>
  <c r="O62" i="16" s="1"/>
  <c r="B62" i="16"/>
  <c r="N61" i="16"/>
  <c r="M61" i="16"/>
  <c r="L61" i="16"/>
  <c r="K61" i="16"/>
  <c r="J61" i="16"/>
  <c r="I61" i="16"/>
  <c r="H61" i="16"/>
  <c r="G61" i="16"/>
  <c r="F61" i="16"/>
  <c r="D61" i="16"/>
  <c r="O61" i="16" s="1"/>
  <c r="C61" i="16"/>
  <c r="B61" i="16"/>
  <c r="E59" i="16"/>
  <c r="D59" i="16"/>
  <c r="O59" i="16" s="1"/>
  <c r="B59" i="16"/>
  <c r="E58" i="16"/>
  <c r="L57" i="16"/>
  <c r="E57" i="16"/>
  <c r="D57" i="16"/>
  <c r="O57" i="16" s="1"/>
  <c r="B57" i="16"/>
  <c r="L56" i="16"/>
  <c r="E56" i="16"/>
  <c r="D56" i="16"/>
  <c r="O56" i="16" s="1"/>
  <c r="B56" i="16"/>
  <c r="L55" i="16"/>
  <c r="E55" i="16"/>
  <c r="D55" i="16"/>
  <c r="O55" i="16" s="1"/>
  <c r="B55" i="16"/>
  <c r="L54" i="16"/>
  <c r="E54" i="16"/>
  <c r="D54" i="16"/>
  <c r="O54" i="16" s="1"/>
  <c r="B54" i="16"/>
  <c r="B52" i="16" s="1"/>
  <c r="N52" i="16"/>
  <c r="M52" i="16"/>
  <c r="L52" i="16"/>
  <c r="K52" i="16"/>
  <c r="J52" i="16"/>
  <c r="I52" i="16"/>
  <c r="H52" i="16"/>
  <c r="G52" i="16"/>
  <c r="F52" i="16"/>
  <c r="E52" i="16"/>
  <c r="D52" i="16"/>
  <c r="O52" i="16" s="1"/>
  <c r="C52" i="16"/>
  <c r="L50" i="16"/>
  <c r="E50" i="16"/>
  <c r="D50" i="16"/>
  <c r="O50" i="16" s="1"/>
  <c r="B50" i="16"/>
  <c r="L49" i="16"/>
  <c r="E49" i="16"/>
  <c r="D49" i="16"/>
  <c r="O49" i="16" s="1"/>
  <c r="B49" i="16"/>
  <c r="L48" i="16"/>
  <c r="E48" i="16"/>
  <c r="D48" i="16"/>
  <c r="O48" i="16" s="1"/>
  <c r="B48" i="16"/>
  <c r="E47" i="16"/>
  <c r="L46" i="16"/>
  <c r="E46" i="16"/>
  <c r="D46" i="16"/>
  <c r="O46" i="16" s="1"/>
  <c r="B46" i="16"/>
  <c r="L45" i="16"/>
  <c r="E45" i="16"/>
  <c r="D45" i="16"/>
  <c r="O45" i="16" s="1"/>
  <c r="B45" i="16"/>
  <c r="L44" i="16"/>
  <c r="E44" i="16"/>
  <c r="D44" i="16"/>
  <c r="O44" i="16" s="1"/>
  <c r="B44" i="16"/>
  <c r="L43" i="16"/>
  <c r="E43" i="16"/>
  <c r="D43" i="16"/>
  <c r="O43" i="16" s="1"/>
  <c r="B43" i="16"/>
  <c r="L42" i="16"/>
  <c r="E42" i="16"/>
  <c r="D42" i="16"/>
  <c r="O42" i="16" s="1"/>
  <c r="B42" i="16"/>
  <c r="E41" i="16"/>
  <c r="D41" i="16"/>
  <c r="B41" i="16"/>
  <c r="L40" i="16"/>
  <c r="E40" i="16"/>
  <c r="D40" i="16"/>
  <c r="O40" i="16" s="1"/>
  <c r="B40" i="16"/>
  <c r="L39" i="16"/>
  <c r="E39" i="16"/>
  <c r="D39" i="16"/>
  <c r="O39" i="16" s="1"/>
  <c r="B39" i="16"/>
  <c r="N38" i="16"/>
  <c r="M38" i="16"/>
  <c r="L38" i="16"/>
  <c r="K38" i="16"/>
  <c r="J38" i="16"/>
  <c r="I38" i="16"/>
  <c r="H38" i="16"/>
  <c r="G38" i="16"/>
  <c r="F38" i="16"/>
  <c r="E38" i="16"/>
  <c r="D38" i="16"/>
  <c r="O38" i="16" s="1"/>
  <c r="C38" i="16"/>
  <c r="B38" i="16"/>
  <c r="O36" i="16"/>
  <c r="L35" i="16"/>
  <c r="E35" i="16"/>
  <c r="D35" i="16"/>
  <c r="O35" i="16" s="1"/>
  <c r="B35" i="16"/>
  <c r="L34" i="16"/>
  <c r="E34" i="16"/>
  <c r="D34" i="16"/>
  <c r="O34" i="16" s="1"/>
  <c r="B34" i="16"/>
  <c r="N33" i="16"/>
  <c r="M33" i="16"/>
  <c r="L33" i="16"/>
  <c r="K33" i="16"/>
  <c r="J33" i="16"/>
  <c r="I33" i="16"/>
  <c r="H33" i="16"/>
  <c r="G33" i="16"/>
  <c r="F33" i="16"/>
  <c r="E33" i="16"/>
  <c r="D33" i="16"/>
  <c r="O33" i="16" s="1"/>
  <c r="C33" i="16"/>
  <c r="B33" i="16"/>
  <c r="O31" i="16"/>
  <c r="L30" i="16"/>
  <c r="E30" i="16"/>
  <c r="D30" i="16"/>
  <c r="O30" i="16" s="1"/>
  <c r="B30" i="16"/>
  <c r="L29" i="16"/>
  <c r="E29" i="16"/>
  <c r="D29" i="16"/>
  <c r="O29" i="16" s="1"/>
  <c r="B29" i="16"/>
  <c r="N28" i="16"/>
  <c r="M28" i="16"/>
  <c r="L28" i="16"/>
  <c r="K28" i="16"/>
  <c r="J28" i="16"/>
  <c r="I28" i="16"/>
  <c r="H28" i="16"/>
  <c r="G28" i="16"/>
  <c r="F28" i="16"/>
  <c r="E28" i="16"/>
  <c r="D28" i="16"/>
  <c r="O28" i="16" s="1"/>
  <c r="C28" i="16"/>
  <c r="B28" i="16"/>
  <c r="L26" i="16"/>
  <c r="E26" i="16"/>
  <c r="D26" i="16"/>
  <c r="O26" i="16" s="1"/>
  <c r="B26" i="16"/>
  <c r="D25" i="16"/>
  <c r="D24" i="16"/>
  <c r="O24" i="16" s="1"/>
  <c r="D23" i="16"/>
  <c r="O23" i="16" s="1"/>
  <c r="D22" i="16"/>
  <c r="O22" i="16" s="1"/>
  <c r="D21" i="16"/>
  <c r="O21" i="16" s="1"/>
  <c r="D20" i="16"/>
  <c r="O20" i="16" s="1"/>
  <c r="D19" i="16"/>
  <c r="O19" i="16" s="1"/>
  <c r="D18" i="16"/>
  <c r="O18" i="16" s="1"/>
  <c r="O17" i="16"/>
  <c r="D17" i="16"/>
  <c r="B17" i="16"/>
  <c r="L14" i="16"/>
  <c r="E14" i="16"/>
  <c r="D14" i="16"/>
  <c r="O14" i="16" s="1"/>
  <c r="B14" i="16"/>
  <c r="L13" i="16"/>
  <c r="E13" i="16"/>
  <c r="D13" i="16"/>
  <c r="O13" i="16" s="1"/>
  <c r="B13" i="16"/>
  <c r="E12" i="16"/>
  <c r="L11" i="16"/>
  <c r="L6" i="16" s="1"/>
  <c r="L70" i="16" s="1"/>
  <c r="E11" i="16"/>
  <c r="D11" i="16"/>
  <c r="O11" i="16" s="1"/>
  <c r="B11" i="16"/>
  <c r="L10" i="16"/>
  <c r="E10" i="16"/>
  <c r="D10" i="16"/>
  <c r="B10" i="16"/>
  <c r="E9" i="16"/>
  <c r="D9" i="16"/>
  <c r="O9" i="16" s="1"/>
  <c r="B9" i="16"/>
  <c r="E8" i="16"/>
  <c r="N6" i="16"/>
  <c r="N70" i="16" s="1"/>
  <c r="M6" i="16"/>
  <c r="M70" i="16" s="1"/>
  <c r="K6" i="16"/>
  <c r="K70" i="16" s="1"/>
  <c r="J6" i="16"/>
  <c r="J70" i="16" s="1"/>
  <c r="I6" i="16"/>
  <c r="I70" i="16" s="1"/>
  <c r="H6" i="16"/>
  <c r="H70" i="16" s="1"/>
  <c r="G6" i="16"/>
  <c r="G70" i="16" s="1"/>
  <c r="F6" i="16"/>
  <c r="F70" i="16" s="1"/>
  <c r="E6" i="16"/>
  <c r="E70" i="16" s="1"/>
  <c r="D6" i="16"/>
  <c r="C6" i="16"/>
  <c r="C70" i="16" s="1"/>
  <c r="B6" i="16"/>
  <c r="B70" i="16" s="1"/>
  <c r="N74" i="15"/>
  <c r="M74" i="15"/>
  <c r="L74" i="15"/>
  <c r="K74" i="15"/>
  <c r="J74" i="15"/>
  <c r="I74" i="15"/>
  <c r="H74" i="15"/>
  <c r="G74" i="15"/>
  <c r="F74" i="15"/>
  <c r="E74" i="15"/>
  <c r="L68" i="15"/>
  <c r="E68" i="15"/>
  <c r="D68" i="15"/>
  <c r="O68" i="15" s="1"/>
  <c r="E67" i="15"/>
  <c r="L66" i="15"/>
  <c r="E66" i="15"/>
  <c r="D66" i="15"/>
  <c r="O66" i="15" s="1"/>
  <c r="E65" i="15"/>
  <c r="L64" i="15"/>
  <c r="E64" i="15"/>
  <c r="D64" i="15"/>
  <c r="O64" i="15" s="1"/>
  <c r="B64" i="15"/>
  <c r="L63" i="15"/>
  <c r="E63" i="15"/>
  <c r="D63" i="15"/>
  <c r="O63" i="15" s="1"/>
  <c r="B63" i="15"/>
  <c r="E62" i="15"/>
  <c r="L61" i="15"/>
  <c r="E61" i="15"/>
  <c r="D61" i="15"/>
  <c r="O61" i="15" s="1"/>
  <c r="B61" i="15"/>
  <c r="N60" i="15"/>
  <c r="M60" i="15"/>
  <c r="L60" i="15"/>
  <c r="K60" i="15"/>
  <c r="J60" i="15"/>
  <c r="I60" i="15"/>
  <c r="H60" i="15"/>
  <c r="G60" i="15"/>
  <c r="F60" i="15"/>
  <c r="E60" i="15"/>
  <c r="D60" i="15"/>
  <c r="O60" i="15" s="1"/>
  <c r="C60" i="15"/>
  <c r="B60" i="15"/>
  <c r="E58" i="15"/>
  <c r="D58" i="15"/>
  <c r="O58" i="15" s="1"/>
  <c r="B58" i="15"/>
  <c r="E57" i="15"/>
  <c r="L56" i="15"/>
  <c r="E56" i="15"/>
  <c r="D56" i="15"/>
  <c r="O56" i="15" s="1"/>
  <c r="B56" i="15"/>
  <c r="L55" i="15"/>
  <c r="E55" i="15"/>
  <c r="D55" i="15"/>
  <c r="O55" i="15" s="1"/>
  <c r="B55" i="15"/>
  <c r="L54" i="15"/>
  <c r="E54" i="15"/>
  <c r="E51" i="15" s="1"/>
  <c r="D54" i="15"/>
  <c r="O54" i="15" s="1"/>
  <c r="B54" i="15"/>
  <c r="L53" i="15"/>
  <c r="E53" i="15"/>
  <c r="D53" i="15"/>
  <c r="B53" i="15"/>
  <c r="N51" i="15"/>
  <c r="M51" i="15"/>
  <c r="L51" i="15"/>
  <c r="K51" i="15"/>
  <c r="J51" i="15"/>
  <c r="I51" i="15"/>
  <c r="H51" i="15"/>
  <c r="G51" i="15"/>
  <c r="F51" i="15"/>
  <c r="C51" i="15"/>
  <c r="B51" i="15"/>
  <c r="L49" i="15"/>
  <c r="E49" i="15"/>
  <c r="D49" i="15"/>
  <c r="O49" i="15" s="1"/>
  <c r="B49" i="15"/>
  <c r="L48" i="15"/>
  <c r="E48" i="15"/>
  <c r="D48" i="15"/>
  <c r="O48" i="15" s="1"/>
  <c r="B48" i="15"/>
  <c r="L47" i="15"/>
  <c r="E47" i="15"/>
  <c r="D47" i="15"/>
  <c r="O47" i="15" s="1"/>
  <c r="B47" i="15"/>
  <c r="E46" i="15"/>
  <c r="L45" i="15"/>
  <c r="E45" i="15"/>
  <c r="D45" i="15"/>
  <c r="O45" i="15" s="1"/>
  <c r="B45" i="15"/>
  <c r="L44" i="15"/>
  <c r="E44" i="15"/>
  <c r="D44" i="15"/>
  <c r="O44" i="15" s="1"/>
  <c r="B44" i="15"/>
  <c r="L43" i="15"/>
  <c r="E43" i="15"/>
  <c r="D43" i="15"/>
  <c r="O43" i="15" s="1"/>
  <c r="B43" i="15"/>
  <c r="L42" i="15"/>
  <c r="E42" i="15"/>
  <c r="D42" i="15"/>
  <c r="O42" i="15" s="1"/>
  <c r="B42" i="15"/>
  <c r="L41" i="15"/>
  <c r="E41" i="15"/>
  <c r="D41" i="15"/>
  <c r="O41" i="15" s="1"/>
  <c r="B41" i="15"/>
  <c r="E40" i="15"/>
  <c r="D40" i="15"/>
  <c r="B40" i="15"/>
  <c r="L39" i="15"/>
  <c r="E39" i="15"/>
  <c r="D39" i="15"/>
  <c r="O39" i="15" s="1"/>
  <c r="B39" i="15"/>
  <c r="L38" i="15"/>
  <c r="E38" i="15"/>
  <c r="D38" i="15"/>
  <c r="O38" i="15" s="1"/>
  <c r="B38" i="15"/>
  <c r="N37" i="15"/>
  <c r="M37" i="15"/>
  <c r="L37" i="15"/>
  <c r="K37" i="15"/>
  <c r="J37" i="15"/>
  <c r="I37" i="15"/>
  <c r="H37" i="15"/>
  <c r="G37" i="15"/>
  <c r="F37" i="15"/>
  <c r="E37" i="15"/>
  <c r="D37" i="15"/>
  <c r="O37" i="15" s="1"/>
  <c r="C37" i="15"/>
  <c r="B37" i="15"/>
  <c r="O35" i="15"/>
  <c r="L34" i="15"/>
  <c r="E34" i="15"/>
  <c r="D34" i="15"/>
  <c r="O34" i="15" s="1"/>
  <c r="B34" i="15"/>
  <c r="L33" i="15"/>
  <c r="E33" i="15"/>
  <c r="D33" i="15"/>
  <c r="O33" i="15" s="1"/>
  <c r="B33" i="15"/>
  <c r="N32" i="15"/>
  <c r="M32" i="15"/>
  <c r="L32" i="15"/>
  <c r="K32" i="15"/>
  <c r="J32" i="15"/>
  <c r="I32" i="15"/>
  <c r="H32" i="15"/>
  <c r="G32" i="15"/>
  <c r="F32" i="15"/>
  <c r="E32" i="15"/>
  <c r="D32" i="15"/>
  <c r="O32" i="15" s="1"/>
  <c r="C32" i="15"/>
  <c r="B32" i="15"/>
  <c r="L30" i="15"/>
  <c r="E30" i="15"/>
  <c r="D30" i="15"/>
  <c r="O30" i="15" s="1"/>
  <c r="B30" i="15"/>
  <c r="L29" i="15"/>
  <c r="E29" i="15"/>
  <c r="D29" i="15"/>
  <c r="O29" i="15" s="1"/>
  <c r="B29" i="15"/>
  <c r="N28" i="15"/>
  <c r="M28" i="15"/>
  <c r="L28" i="15"/>
  <c r="K28" i="15"/>
  <c r="J28" i="15"/>
  <c r="I28" i="15"/>
  <c r="H28" i="15"/>
  <c r="G28" i="15"/>
  <c r="F28" i="15"/>
  <c r="E28" i="15"/>
  <c r="D28" i="15"/>
  <c r="O28" i="15" s="1"/>
  <c r="C28" i="15"/>
  <c r="B28" i="15"/>
  <c r="L26" i="15"/>
  <c r="E26" i="15"/>
  <c r="D26" i="15"/>
  <c r="O26" i="15" s="1"/>
  <c r="B26" i="15"/>
  <c r="D25" i="15"/>
  <c r="D24" i="15"/>
  <c r="O24" i="15" s="1"/>
  <c r="D23" i="15"/>
  <c r="O23" i="15" s="1"/>
  <c r="D22" i="15"/>
  <c r="O22" i="15" s="1"/>
  <c r="D21" i="15"/>
  <c r="O21" i="15" s="1"/>
  <c r="D20" i="15"/>
  <c r="O20" i="15" s="1"/>
  <c r="D19" i="15"/>
  <c r="O19" i="15" s="1"/>
  <c r="D18" i="15"/>
  <c r="O18" i="15" s="1"/>
  <c r="D17" i="15"/>
  <c r="O17" i="15" s="1"/>
  <c r="B17" i="15"/>
  <c r="L14" i="15"/>
  <c r="E14" i="15"/>
  <c r="D14" i="15"/>
  <c r="O14" i="15" s="1"/>
  <c r="B14" i="15"/>
  <c r="L13" i="15"/>
  <c r="E13" i="15"/>
  <c r="D13" i="15"/>
  <c r="O13" i="15" s="1"/>
  <c r="B13" i="15"/>
  <c r="E12" i="15"/>
  <c r="L11" i="15"/>
  <c r="E11" i="15"/>
  <c r="D11" i="15"/>
  <c r="O11" i="15" s="1"/>
  <c r="B11" i="15"/>
  <c r="L10" i="15"/>
  <c r="E10" i="15"/>
  <c r="D10" i="15"/>
  <c r="B10" i="15"/>
  <c r="E9" i="15"/>
  <c r="D9" i="15"/>
  <c r="O9" i="15" s="1"/>
  <c r="B9" i="15"/>
  <c r="E8" i="15"/>
  <c r="N6" i="15"/>
  <c r="N69" i="15" s="1"/>
  <c r="M6" i="15"/>
  <c r="M69" i="15" s="1"/>
  <c r="L6" i="15"/>
  <c r="L69" i="15" s="1"/>
  <c r="K6" i="15"/>
  <c r="K69" i="15" s="1"/>
  <c r="J6" i="15"/>
  <c r="J69" i="15" s="1"/>
  <c r="I6" i="15"/>
  <c r="I69" i="15" s="1"/>
  <c r="H6" i="15"/>
  <c r="H69" i="15" s="1"/>
  <c r="G6" i="15"/>
  <c r="G69" i="15" s="1"/>
  <c r="F6" i="15"/>
  <c r="F69" i="15" s="1"/>
  <c r="E6" i="15"/>
  <c r="E69" i="15" s="1"/>
  <c r="D6" i="15"/>
  <c r="C6" i="15"/>
  <c r="C69" i="15" s="1"/>
  <c r="B6" i="15"/>
  <c r="B69" i="15" s="1"/>
  <c r="N74" i="14"/>
  <c r="M74" i="14"/>
  <c r="L74" i="14"/>
  <c r="K74" i="14"/>
  <c r="J74" i="14"/>
  <c r="I74" i="14"/>
  <c r="H74" i="14"/>
  <c r="G74" i="14"/>
  <c r="F74" i="14"/>
  <c r="E74" i="14"/>
  <c r="O68" i="14"/>
  <c r="E68" i="14"/>
  <c r="D68" i="14"/>
  <c r="E67" i="14"/>
  <c r="E66" i="14"/>
  <c r="D66" i="14"/>
  <c r="O66" i="14" s="1"/>
  <c r="E65" i="14"/>
  <c r="L64" i="14"/>
  <c r="E64" i="14"/>
  <c r="D64" i="14"/>
  <c r="O64" i="14" s="1"/>
  <c r="B64" i="14"/>
  <c r="L63" i="14"/>
  <c r="E63" i="14"/>
  <c r="D63" i="14"/>
  <c r="O63" i="14" s="1"/>
  <c r="B63" i="14"/>
  <c r="E62" i="14"/>
  <c r="E61" i="14"/>
  <c r="D61" i="14"/>
  <c r="O61" i="14" s="1"/>
  <c r="B61" i="14"/>
  <c r="N60" i="14"/>
  <c r="M60" i="14"/>
  <c r="L60" i="14"/>
  <c r="K60" i="14"/>
  <c r="J60" i="14"/>
  <c r="I60" i="14"/>
  <c r="H60" i="14"/>
  <c r="G60" i="14"/>
  <c r="F60" i="14"/>
  <c r="E60" i="14"/>
  <c r="D60" i="14"/>
  <c r="O60" i="14" s="1"/>
  <c r="C60" i="14"/>
  <c r="B60" i="14"/>
  <c r="E58" i="14"/>
  <c r="D58" i="14"/>
  <c r="O58" i="14" s="1"/>
  <c r="B58" i="14"/>
  <c r="E57" i="14"/>
  <c r="L56" i="14"/>
  <c r="E56" i="14"/>
  <c r="D56" i="14"/>
  <c r="O56" i="14" s="1"/>
  <c r="B56" i="14"/>
  <c r="O55" i="14"/>
  <c r="L55" i="14"/>
  <c r="E55" i="14"/>
  <c r="B55" i="14"/>
  <c r="L54" i="14"/>
  <c r="E54" i="14"/>
  <c r="D54" i="14"/>
  <c r="O54" i="14" s="1"/>
  <c r="B54" i="14"/>
  <c r="L53" i="14"/>
  <c r="E53" i="14"/>
  <c r="D53" i="14"/>
  <c r="O53" i="14" s="1"/>
  <c r="C53" i="14"/>
  <c r="B53" i="14"/>
  <c r="N51" i="14"/>
  <c r="M51" i="14"/>
  <c r="L51" i="14"/>
  <c r="K51" i="14"/>
  <c r="J51" i="14"/>
  <c r="I51" i="14"/>
  <c r="H51" i="14"/>
  <c r="G51" i="14"/>
  <c r="F51" i="14"/>
  <c r="E51" i="14"/>
  <c r="D51" i="14"/>
  <c r="O51" i="14" s="1"/>
  <c r="C51" i="14"/>
  <c r="B51" i="14"/>
  <c r="L49" i="14"/>
  <c r="E49" i="14"/>
  <c r="D49" i="14"/>
  <c r="O49" i="14" s="1"/>
  <c r="B49" i="14"/>
  <c r="E48" i="14"/>
  <c r="D48" i="14"/>
  <c r="O48" i="14" s="1"/>
  <c r="B48" i="14"/>
  <c r="E47" i="14"/>
  <c r="D47" i="14"/>
  <c r="O47" i="14" s="1"/>
  <c r="B47" i="14"/>
  <c r="E46" i="14"/>
  <c r="O45" i="14"/>
  <c r="E45" i="14"/>
  <c r="D45" i="14"/>
  <c r="B45" i="14"/>
  <c r="L44" i="14"/>
  <c r="E44" i="14"/>
  <c r="D44" i="14"/>
  <c r="O44" i="14" s="1"/>
  <c r="B44" i="14"/>
  <c r="L43" i="14"/>
  <c r="E43" i="14"/>
  <c r="D43" i="14"/>
  <c r="O43" i="14" s="1"/>
  <c r="B43" i="14"/>
  <c r="L42" i="14"/>
  <c r="E42" i="14"/>
  <c r="D42" i="14"/>
  <c r="O42" i="14" s="1"/>
  <c r="B42" i="14"/>
  <c r="E41" i="14"/>
  <c r="D41" i="14"/>
  <c r="O41" i="14" s="1"/>
  <c r="B41" i="14"/>
  <c r="E40" i="14"/>
  <c r="E37" i="14" s="1"/>
  <c r="D40" i="14"/>
  <c r="B40" i="14"/>
  <c r="E39" i="14"/>
  <c r="D39" i="14"/>
  <c r="O39" i="14" s="1"/>
  <c r="B39" i="14"/>
  <c r="L38" i="14"/>
  <c r="E38" i="14"/>
  <c r="D38" i="14"/>
  <c r="B38" i="14"/>
  <c r="N37" i="14"/>
  <c r="M37" i="14"/>
  <c r="L37" i="14"/>
  <c r="K37" i="14"/>
  <c r="J37" i="14"/>
  <c r="I37" i="14"/>
  <c r="H37" i="14"/>
  <c r="G37" i="14"/>
  <c r="F37" i="14"/>
  <c r="C37" i="14"/>
  <c r="B37" i="14"/>
  <c r="O35" i="14"/>
  <c r="E34" i="14"/>
  <c r="D34" i="14"/>
  <c r="O34" i="14" s="1"/>
  <c r="B34" i="14"/>
  <c r="E33" i="14"/>
  <c r="D33" i="14"/>
  <c r="O33" i="14" s="1"/>
  <c r="B33" i="14"/>
  <c r="N32" i="14"/>
  <c r="M32" i="14"/>
  <c r="L32" i="14"/>
  <c r="K32" i="14"/>
  <c r="J32" i="14"/>
  <c r="I32" i="14"/>
  <c r="H32" i="14"/>
  <c r="G32" i="14"/>
  <c r="F32" i="14"/>
  <c r="E32" i="14"/>
  <c r="D32" i="14"/>
  <c r="O32" i="14" s="1"/>
  <c r="C32" i="14"/>
  <c r="B32" i="14"/>
  <c r="L30" i="14"/>
  <c r="E30" i="14"/>
  <c r="D30" i="14"/>
  <c r="O30" i="14" s="1"/>
  <c r="B30" i="14"/>
  <c r="E29" i="14"/>
  <c r="D29" i="14"/>
  <c r="O29" i="14" s="1"/>
  <c r="B29" i="14"/>
  <c r="N28" i="14"/>
  <c r="M28" i="14"/>
  <c r="L28" i="14"/>
  <c r="K28" i="14"/>
  <c r="J28" i="14"/>
  <c r="I28" i="14"/>
  <c r="H28" i="14"/>
  <c r="G28" i="14"/>
  <c r="F28" i="14"/>
  <c r="E28" i="14"/>
  <c r="D28" i="14"/>
  <c r="O28" i="14" s="1"/>
  <c r="C28" i="14"/>
  <c r="B28" i="14"/>
  <c r="E26" i="14"/>
  <c r="D26" i="14"/>
  <c r="O26" i="14" s="1"/>
  <c r="B26" i="14"/>
  <c r="D25" i="14"/>
  <c r="D24" i="14"/>
  <c r="O24" i="14" s="1"/>
  <c r="C24" i="14"/>
  <c r="D23" i="14"/>
  <c r="O23" i="14" s="1"/>
  <c r="C23" i="14"/>
  <c r="D22" i="14"/>
  <c r="O22" i="14" s="1"/>
  <c r="C22" i="14"/>
  <c r="D21" i="14"/>
  <c r="O21" i="14" s="1"/>
  <c r="C21" i="14"/>
  <c r="D20" i="14"/>
  <c r="O20" i="14" s="1"/>
  <c r="C20" i="14"/>
  <c r="D19" i="14"/>
  <c r="O19" i="14" s="1"/>
  <c r="C19" i="14"/>
  <c r="D18" i="14"/>
  <c r="O18" i="14" s="1"/>
  <c r="C18" i="14"/>
  <c r="D17" i="14"/>
  <c r="O17" i="14" s="1"/>
  <c r="B17" i="14"/>
  <c r="L14" i="14"/>
  <c r="E14" i="14"/>
  <c r="D14" i="14"/>
  <c r="O14" i="14" s="1"/>
  <c r="B14" i="14"/>
  <c r="O13" i="14"/>
  <c r="E13" i="14"/>
  <c r="D13" i="14"/>
  <c r="B13" i="14"/>
  <c r="E12" i="14"/>
  <c r="E11" i="14"/>
  <c r="D11" i="14"/>
  <c r="O11" i="14" s="1"/>
  <c r="B11" i="14"/>
  <c r="E10" i="14"/>
  <c r="D10" i="14"/>
  <c r="B10" i="14"/>
  <c r="E9" i="14"/>
  <c r="D9" i="14"/>
  <c r="O9" i="14" s="1"/>
  <c r="B9" i="14"/>
  <c r="E8" i="14"/>
  <c r="N6" i="14"/>
  <c r="N69" i="14" s="1"/>
  <c r="M6" i="14"/>
  <c r="M69" i="14" s="1"/>
  <c r="L6" i="14"/>
  <c r="L69" i="14" s="1"/>
  <c r="K6" i="14"/>
  <c r="K69" i="14" s="1"/>
  <c r="J6" i="14"/>
  <c r="J69" i="14" s="1"/>
  <c r="I6" i="14"/>
  <c r="I69" i="14" s="1"/>
  <c r="H6" i="14"/>
  <c r="H69" i="14" s="1"/>
  <c r="G6" i="14"/>
  <c r="G69" i="14" s="1"/>
  <c r="F6" i="14"/>
  <c r="F69" i="14" s="1"/>
  <c r="E6" i="14"/>
  <c r="E69" i="14" s="1"/>
  <c r="D6" i="14"/>
  <c r="C6" i="14"/>
  <c r="C69" i="14" s="1"/>
  <c r="B6" i="14"/>
  <c r="B69" i="14" s="1"/>
  <c r="N76" i="13"/>
  <c r="M76" i="13"/>
  <c r="L76" i="13"/>
  <c r="K76" i="13"/>
  <c r="J76" i="13"/>
  <c r="I76" i="13"/>
  <c r="H76" i="13"/>
  <c r="G76" i="13"/>
  <c r="F76" i="13"/>
  <c r="E76" i="13"/>
  <c r="L69" i="13"/>
  <c r="E69" i="13"/>
  <c r="D69" i="13"/>
  <c r="O69" i="13" s="1"/>
  <c r="E68" i="13"/>
  <c r="L67" i="13"/>
  <c r="E67" i="13"/>
  <c r="D67" i="13"/>
  <c r="O67" i="13" s="1"/>
  <c r="C67" i="13"/>
  <c r="E66" i="13"/>
  <c r="L65" i="13"/>
  <c r="E65" i="13"/>
  <c r="D65" i="13"/>
  <c r="O65" i="13" s="1"/>
  <c r="C65" i="13"/>
  <c r="B65" i="13"/>
  <c r="O64" i="13"/>
  <c r="L64" i="13"/>
  <c r="E64" i="13"/>
  <c r="E61" i="13" s="1"/>
  <c r="D64" i="13"/>
  <c r="C64" i="13"/>
  <c r="B64" i="13"/>
  <c r="E63" i="13"/>
  <c r="L62" i="13"/>
  <c r="E62" i="13"/>
  <c r="D62" i="13"/>
  <c r="O62" i="13" s="1"/>
  <c r="C62" i="13"/>
  <c r="B62" i="13"/>
  <c r="N61" i="13"/>
  <c r="M61" i="13"/>
  <c r="L61" i="13"/>
  <c r="K61" i="13"/>
  <c r="J61" i="13"/>
  <c r="I61" i="13"/>
  <c r="H61" i="13"/>
  <c r="G61" i="13"/>
  <c r="F61" i="13"/>
  <c r="D61" i="13"/>
  <c r="O61" i="13" s="1"/>
  <c r="C61" i="13"/>
  <c r="B61" i="13"/>
  <c r="E59" i="13"/>
  <c r="D59" i="13"/>
  <c r="O59" i="13" s="1"/>
  <c r="B59" i="13"/>
  <c r="L57" i="13"/>
  <c r="E57" i="13"/>
  <c r="D57" i="13"/>
  <c r="O57" i="13" s="1"/>
  <c r="B57" i="13"/>
  <c r="O56" i="13"/>
  <c r="L56" i="13"/>
  <c r="E56" i="13"/>
  <c r="D56" i="13"/>
  <c r="B56" i="13"/>
  <c r="O55" i="13"/>
  <c r="L55" i="13"/>
  <c r="E55" i="13"/>
  <c r="B55" i="13"/>
  <c r="L54" i="13"/>
  <c r="E54" i="13"/>
  <c r="D54" i="13"/>
  <c r="B54" i="13"/>
  <c r="N52" i="13"/>
  <c r="M52" i="13"/>
  <c r="L52" i="13"/>
  <c r="K52" i="13"/>
  <c r="J52" i="13"/>
  <c r="I52" i="13"/>
  <c r="H52" i="13"/>
  <c r="G52" i="13"/>
  <c r="F52" i="13"/>
  <c r="E52" i="13"/>
  <c r="C52" i="13"/>
  <c r="B52" i="13"/>
  <c r="L50" i="13"/>
  <c r="E50" i="13"/>
  <c r="D50" i="13"/>
  <c r="O50" i="13" s="1"/>
  <c r="B50" i="13"/>
  <c r="L49" i="13"/>
  <c r="E49" i="13"/>
  <c r="D49" i="13"/>
  <c r="O49" i="13" s="1"/>
  <c r="C49" i="13"/>
  <c r="B49" i="13"/>
  <c r="L48" i="13"/>
  <c r="E48" i="13"/>
  <c r="D48" i="13"/>
  <c r="O48" i="13" s="1"/>
  <c r="C48" i="13"/>
  <c r="B48" i="13"/>
  <c r="E47" i="13"/>
  <c r="L46" i="13"/>
  <c r="E46" i="13"/>
  <c r="D46" i="13"/>
  <c r="O46" i="13" s="1"/>
  <c r="C46" i="13"/>
  <c r="B46" i="13"/>
  <c r="L45" i="13"/>
  <c r="E45" i="13"/>
  <c r="D45" i="13"/>
  <c r="O45" i="13" s="1"/>
  <c r="C45" i="13"/>
  <c r="B45" i="13"/>
  <c r="L44" i="13"/>
  <c r="E44" i="13"/>
  <c r="D44" i="13"/>
  <c r="O44" i="13" s="1"/>
  <c r="B44" i="13"/>
  <c r="L43" i="13"/>
  <c r="E43" i="13"/>
  <c r="D43" i="13"/>
  <c r="O43" i="13" s="1"/>
  <c r="C43" i="13"/>
  <c r="B43" i="13"/>
  <c r="L42" i="13"/>
  <c r="E42" i="13"/>
  <c r="D42" i="13"/>
  <c r="O42" i="13" s="1"/>
  <c r="C42" i="13"/>
  <c r="B42" i="13"/>
  <c r="E41" i="13"/>
  <c r="D41" i="13"/>
  <c r="B41" i="13"/>
  <c r="L40" i="13"/>
  <c r="E40" i="13"/>
  <c r="D40" i="13"/>
  <c r="O40" i="13" s="1"/>
  <c r="C40" i="13"/>
  <c r="B40" i="13"/>
  <c r="L39" i="13"/>
  <c r="E39" i="13"/>
  <c r="D39" i="13"/>
  <c r="O39" i="13" s="1"/>
  <c r="C39" i="13"/>
  <c r="B39" i="13"/>
  <c r="N38" i="13"/>
  <c r="M38" i="13"/>
  <c r="L38" i="13"/>
  <c r="K38" i="13"/>
  <c r="J38" i="13"/>
  <c r="I38" i="13"/>
  <c r="H38" i="13"/>
  <c r="G38" i="13"/>
  <c r="F38" i="13"/>
  <c r="E38" i="13"/>
  <c r="D38" i="13"/>
  <c r="O38" i="13" s="1"/>
  <c r="C38" i="13"/>
  <c r="B38" i="13"/>
  <c r="O36" i="13"/>
  <c r="L35" i="13"/>
  <c r="E35" i="13"/>
  <c r="D35" i="13"/>
  <c r="O35" i="13" s="1"/>
  <c r="C35" i="13"/>
  <c r="B35" i="13"/>
  <c r="L34" i="13"/>
  <c r="E34" i="13"/>
  <c r="D34" i="13"/>
  <c r="O34" i="13" s="1"/>
  <c r="C34" i="13"/>
  <c r="B34" i="13"/>
  <c r="N33" i="13"/>
  <c r="M33" i="13"/>
  <c r="L33" i="13"/>
  <c r="K33" i="13"/>
  <c r="J33" i="13"/>
  <c r="I33" i="13"/>
  <c r="H33" i="13"/>
  <c r="G33" i="13"/>
  <c r="F33" i="13"/>
  <c r="E33" i="13"/>
  <c r="D33" i="13"/>
  <c r="O33" i="13" s="1"/>
  <c r="C33" i="13"/>
  <c r="B33" i="13"/>
  <c r="O31" i="13"/>
  <c r="L31" i="13"/>
  <c r="E31" i="13"/>
  <c r="D31" i="13"/>
  <c r="B31" i="13"/>
  <c r="L30" i="13"/>
  <c r="E30" i="13"/>
  <c r="D30" i="13"/>
  <c r="O30" i="13" s="1"/>
  <c r="C30" i="13"/>
  <c r="B30" i="13"/>
  <c r="N29" i="13"/>
  <c r="M29" i="13"/>
  <c r="L29" i="13"/>
  <c r="K29" i="13"/>
  <c r="J29" i="13"/>
  <c r="I29" i="13"/>
  <c r="H29" i="13"/>
  <c r="G29" i="13"/>
  <c r="F29" i="13"/>
  <c r="E29" i="13"/>
  <c r="D29" i="13"/>
  <c r="O29" i="13" s="1"/>
  <c r="C29" i="13"/>
  <c r="B29" i="13"/>
  <c r="L27" i="13"/>
  <c r="E27" i="13"/>
  <c r="D27" i="13"/>
  <c r="O27" i="13" s="1"/>
  <c r="C27" i="13"/>
  <c r="B27" i="13"/>
  <c r="D26" i="13"/>
  <c r="D25" i="13"/>
  <c r="O25" i="13" s="1"/>
  <c r="D24" i="13"/>
  <c r="O24" i="13" s="1"/>
  <c r="D23" i="13"/>
  <c r="O23" i="13" s="1"/>
  <c r="D22" i="13"/>
  <c r="O22" i="13" s="1"/>
  <c r="D21" i="13"/>
  <c r="O21" i="13" s="1"/>
  <c r="O20" i="13"/>
  <c r="D20" i="13"/>
  <c r="D19" i="13"/>
  <c r="O19" i="13" s="1"/>
  <c r="D18" i="13"/>
  <c r="O18" i="13" s="1"/>
  <c r="C18" i="13"/>
  <c r="B18" i="13"/>
  <c r="C16" i="13"/>
  <c r="L15" i="13"/>
  <c r="E15" i="13"/>
  <c r="D15" i="13"/>
  <c r="O15" i="13" s="1"/>
  <c r="C15" i="13"/>
  <c r="B15" i="13"/>
  <c r="E14" i="13"/>
  <c r="L13" i="13"/>
  <c r="E13" i="13"/>
  <c r="D13" i="13"/>
  <c r="O13" i="13" s="1"/>
  <c r="C13" i="13"/>
  <c r="B13" i="13"/>
  <c r="E12" i="13"/>
  <c r="L11" i="13"/>
  <c r="E11" i="13"/>
  <c r="D11" i="13"/>
  <c r="O11" i="13" s="1"/>
  <c r="C11" i="13"/>
  <c r="B11" i="13"/>
  <c r="L10" i="13"/>
  <c r="E10" i="13"/>
  <c r="D10" i="13"/>
  <c r="B10" i="13"/>
  <c r="E9" i="13"/>
  <c r="D9" i="13"/>
  <c r="O9" i="13" s="1"/>
  <c r="B9" i="13"/>
  <c r="E8" i="13"/>
  <c r="N6" i="13"/>
  <c r="N71" i="13" s="1"/>
  <c r="M6" i="13"/>
  <c r="M71" i="13" s="1"/>
  <c r="L6" i="13"/>
  <c r="L71" i="13" s="1"/>
  <c r="K6" i="13"/>
  <c r="K71" i="13" s="1"/>
  <c r="J6" i="13"/>
  <c r="J71" i="13" s="1"/>
  <c r="I6" i="13"/>
  <c r="I71" i="13" s="1"/>
  <c r="H6" i="13"/>
  <c r="H71" i="13" s="1"/>
  <c r="G6" i="13"/>
  <c r="G71" i="13" s="1"/>
  <c r="F6" i="13"/>
  <c r="F71" i="13" s="1"/>
  <c r="E6" i="13"/>
  <c r="E71" i="13" s="1"/>
  <c r="D6" i="13"/>
  <c r="C6" i="13"/>
  <c r="C71" i="13" s="1"/>
  <c r="B6" i="13"/>
  <c r="B71" i="13" s="1"/>
  <c r="Q46" i="12"/>
  <c r="Q41" i="12"/>
  <c r="Q40" i="12"/>
  <c r="D70" i="16" l="1"/>
  <c r="O70" i="16" s="1"/>
  <c r="O6" i="16"/>
  <c r="O53" i="15"/>
  <c r="D51" i="15"/>
  <c r="O51" i="15" s="1"/>
  <c r="O6" i="15"/>
  <c r="D69" i="15"/>
  <c r="O69" i="15" s="1"/>
  <c r="D37" i="14"/>
  <c r="O37" i="14" s="1"/>
  <c r="O38" i="14"/>
  <c r="D69" i="14"/>
  <c r="O69" i="14" s="1"/>
  <c r="O6" i="14"/>
  <c r="O54" i="13"/>
  <c r="D52" i="13"/>
  <c r="O52" i="13" s="1"/>
  <c r="D71" i="13"/>
  <c r="O71" i="13" s="1"/>
  <c r="O6" i="13"/>
  <c r="D45" i="12"/>
  <c r="D14" i="12"/>
  <c r="E14" i="12"/>
  <c r="D14" i="11"/>
  <c r="R57" i="12" l="1"/>
  <c r="R56" i="12"/>
  <c r="R55" i="12"/>
  <c r="E9" i="12"/>
  <c r="D107" i="12"/>
  <c r="N105" i="12"/>
  <c r="N104" i="12"/>
  <c r="N103" i="12"/>
  <c r="N102" i="12"/>
  <c r="N101" i="12"/>
  <c r="N100" i="12"/>
  <c r="N99" i="12"/>
  <c r="L98" i="12"/>
  <c r="K98" i="12"/>
  <c r="J98" i="12"/>
  <c r="I98" i="12"/>
  <c r="H98" i="12"/>
  <c r="G98" i="12"/>
  <c r="F98" i="12"/>
  <c r="E98" i="12"/>
  <c r="B98" i="12"/>
  <c r="N98" i="12" s="1"/>
  <c r="N97" i="12"/>
  <c r="N96" i="12"/>
  <c r="N95" i="12"/>
  <c r="N94" i="12"/>
  <c r="N93" i="12"/>
  <c r="O93" i="12" s="1"/>
  <c r="N92" i="12"/>
  <c r="O92" i="12" s="1"/>
  <c r="N91" i="12"/>
  <c r="O91" i="12" s="1"/>
  <c r="L90" i="12"/>
  <c r="L106" i="12" s="1"/>
  <c r="K90" i="12"/>
  <c r="K106" i="12" s="1"/>
  <c r="J90" i="12"/>
  <c r="J106" i="12" s="1"/>
  <c r="I90" i="12"/>
  <c r="I106" i="12" s="1"/>
  <c r="H90" i="12"/>
  <c r="H106" i="12" s="1"/>
  <c r="H107" i="12" s="1"/>
  <c r="G90" i="12"/>
  <c r="G106" i="12" s="1"/>
  <c r="G107" i="12" s="1"/>
  <c r="F90" i="12"/>
  <c r="F106" i="12" s="1"/>
  <c r="E90" i="12"/>
  <c r="E106" i="12" s="1"/>
  <c r="E107" i="12" s="1"/>
  <c r="B90" i="12"/>
  <c r="N90" i="12" s="1"/>
  <c r="N78" i="12"/>
  <c r="M78" i="12"/>
  <c r="L78" i="12"/>
  <c r="K78" i="12"/>
  <c r="J78" i="12"/>
  <c r="I78" i="12"/>
  <c r="H78" i="12"/>
  <c r="E78" i="12"/>
  <c r="O70" i="12"/>
  <c r="L70" i="12"/>
  <c r="E70" i="12"/>
  <c r="C70" i="12"/>
  <c r="B70" i="12"/>
  <c r="E69" i="12"/>
  <c r="O68" i="12"/>
  <c r="L68" i="12"/>
  <c r="E68" i="12"/>
  <c r="C68" i="12"/>
  <c r="B68" i="12"/>
  <c r="E67" i="12"/>
  <c r="L66" i="12"/>
  <c r="E66" i="12"/>
  <c r="D66" i="12"/>
  <c r="C66" i="12"/>
  <c r="O66" i="12" s="1"/>
  <c r="B66" i="12"/>
  <c r="O65" i="12"/>
  <c r="L65" i="12"/>
  <c r="E65" i="12"/>
  <c r="D65" i="12"/>
  <c r="C65" i="12"/>
  <c r="B65" i="12"/>
  <c r="E64" i="12"/>
  <c r="L63" i="12"/>
  <c r="E63" i="12"/>
  <c r="D63" i="12"/>
  <c r="O63" i="12" s="1"/>
  <c r="C63" i="12"/>
  <c r="C62" i="12" s="1"/>
  <c r="B63" i="12"/>
  <c r="B62" i="12" s="1"/>
  <c r="N62" i="12"/>
  <c r="M62" i="12"/>
  <c r="L62" i="12"/>
  <c r="K62" i="12"/>
  <c r="J62" i="12"/>
  <c r="I62" i="12"/>
  <c r="H62" i="12"/>
  <c r="G62" i="12"/>
  <c r="F62" i="12"/>
  <c r="E62" i="12"/>
  <c r="D62" i="12"/>
  <c r="O62" i="12" s="1"/>
  <c r="O60" i="12"/>
  <c r="E60" i="12"/>
  <c r="D60" i="12"/>
  <c r="L58" i="12"/>
  <c r="E58" i="12"/>
  <c r="D58" i="12"/>
  <c r="C58" i="12"/>
  <c r="O58" i="12" s="1"/>
  <c r="B58" i="12"/>
  <c r="O57" i="12"/>
  <c r="L57" i="12"/>
  <c r="E57" i="12"/>
  <c r="D57" i="12"/>
  <c r="C57" i="12"/>
  <c r="B57" i="12"/>
  <c r="L56" i="12"/>
  <c r="L53" i="12" s="1"/>
  <c r="E56" i="12"/>
  <c r="D56" i="12"/>
  <c r="C56" i="12"/>
  <c r="O56" i="12" s="1"/>
  <c r="B56" i="12"/>
  <c r="B53" i="12" s="1"/>
  <c r="O55" i="12"/>
  <c r="L55" i="12"/>
  <c r="E55" i="12"/>
  <c r="D55" i="12"/>
  <c r="D53" i="12" s="1"/>
  <c r="C55" i="12"/>
  <c r="C53" i="12" s="1"/>
  <c r="B55" i="12"/>
  <c r="N53" i="12"/>
  <c r="M53" i="12"/>
  <c r="K53" i="12"/>
  <c r="J53" i="12"/>
  <c r="I53" i="12"/>
  <c r="H53" i="12"/>
  <c r="G53" i="12"/>
  <c r="F53" i="12"/>
  <c r="E53" i="12"/>
  <c r="L51" i="12"/>
  <c r="E51" i="12"/>
  <c r="D51" i="12"/>
  <c r="O51" i="12" s="1"/>
  <c r="C51" i="12"/>
  <c r="B51" i="12"/>
  <c r="L50" i="12"/>
  <c r="E50" i="12"/>
  <c r="D50" i="12"/>
  <c r="C50" i="12"/>
  <c r="O50" i="12" s="1"/>
  <c r="B50" i="12"/>
  <c r="L49" i="12"/>
  <c r="E49" i="12"/>
  <c r="D49" i="12"/>
  <c r="O49" i="12" s="1"/>
  <c r="C49" i="12"/>
  <c r="B49" i="12"/>
  <c r="E48" i="12"/>
  <c r="O47" i="12"/>
  <c r="L47" i="12"/>
  <c r="E47" i="12"/>
  <c r="D47" i="12"/>
  <c r="C47" i="12"/>
  <c r="B47" i="12"/>
  <c r="L46" i="12"/>
  <c r="E46" i="12"/>
  <c r="D46" i="12"/>
  <c r="O46" i="12" s="1"/>
  <c r="C46" i="12"/>
  <c r="B46" i="12"/>
  <c r="O45" i="12"/>
  <c r="L45" i="12"/>
  <c r="E45" i="12"/>
  <c r="C45" i="12"/>
  <c r="B45" i="12"/>
  <c r="L44" i="12"/>
  <c r="E44" i="12"/>
  <c r="D44" i="12"/>
  <c r="O44" i="12" s="1"/>
  <c r="C44" i="12"/>
  <c r="B44" i="12"/>
  <c r="O43" i="12"/>
  <c r="L43" i="12"/>
  <c r="E43" i="12"/>
  <c r="D43" i="12"/>
  <c r="C43" i="12"/>
  <c r="B43" i="12"/>
  <c r="E42" i="12"/>
  <c r="D42" i="12"/>
  <c r="L41" i="12"/>
  <c r="L39" i="12" s="1"/>
  <c r="E41" i="12"/>
  <c r="D41" i="12"/>
  <c r="C41" i="12"/>
  <c r="C39" i="12" s="1"/>
  <c r="B41" i="12"/>
  <c r="B39" i="12" s="1"/>
  <c r="E40" i="12"/>
  <c r="E39" i="12" s="1"/>
  <c r="D40" i="12"/>
  <c r="O40" i="12" s="1"/>
  <c r="C40" i="12"/>
  <c r="B40" i="12"/>
  <c r="N39" i="12"/>
  <c r="M39" i="12"/>
  <c r="K39" i="12"/>
  <c r="J39" i="12"/>
  <c r="I39" i="12"/>
  <c r="H39" i="12"/>
  <c r="G39" i="12"/>
  <c r="F39" i="12"/>
  <c r="E37" i="12"/>
  <c r="L36" i="12"/>
  <c r="E36" i="12"/>
  <c r="E34" i="12" s="1"/>
  <c r="D36" i="12"/>
  <c r="O36" i="12" s="1"/>
  <c r="C36" i="12"/>
  <c r="B36" i="12"/>
  <c r="L35" i="12"/>
  <c r="E35" i="12"/>
  <c r="D35" i="12"/>
  <c r="O35" i="12" s="1"/>
  <c r="C35" i="12"/>
  <c r="C34" i="12" s="1"/>
  <c r="B35" i="12"/>
  <c r="B34" i="12" s="1"/>
  <c r="N34" i="12"/>
  <c r="M34" i="12"/>
  <c r="L34" i="12"/>
  <c r="K34" i="12"/>
  <c r="J34" i="12"/>
  <c r="I34" i="12"/>
  <c r="H34" i="12"/>
  <c r="G34" i="12"/>
  <c r="F34" i="12"/>
  <c r="D34" i="12"/>
  <c r="L32" i="12"/>
  <c r="E32" i="12"/>
  <c r="E30" i="12" s="1"/>
  <c r="D32" i="12"/>
  <c r="L31" i="12"/>
  <c r="E31" i="12"/>
  <c r="D31" i="12"/>
  <c r="C31" i="12"/>
  <c r="O31" i="12" s="1"/>
  <c r="B31" i="12"/>
  <c r="B30" i="12" s="1"/>
  <c r="N30" i="12"/>
  <c r="M30" i="12"/>
  <c r="L30" i="12"/>
  <c r="K30" i="12"/>
  <c r="J30" i="12"/>
  <c r="I30" i="12"/>
  <c r="H30" i="12"/>
  <c r="G30" i="12"/>
  <c r="F30" i="12"/>
  <c r="D30" i="12"/>
  <c r="C30" i="12"/>
  <c r="O30" i="12" s="1"/>
  <c r="E28" i="12"/>
  <c r="D28" i="12"/>
  <c r="L27" i="12"/>
  <c r="E27" i="12"/>
  <c r="D27" i="12"/>
  <c r="O27" i="12" s="1"/>
  <c r="C27" i="12"/>
  <c r="B27" i="12"/>
  <c r="O25" i="12"/>
  <c r="C24" i="12"/>
  <c r="O24" i="12" s="1"/>
  <c r="B24" i="12"/>
  <c r="C23" i="12"/>
  <c r="O23" i="12" s="1"/>
  <c r="B23" i="12"/>
  <c r="O22" i="12"/>
  <c r="C21" i="12"/>
  <c r="O21" i="12" s="1"/>
  <c r="B21" i="12"/>
  <c r="B28" i="12" s="1"/>
  <c r="O20" i="12"/>
  <c r="C20" i="12"/>
  <c r="B20" i="12"/>
  <c r="O19" i="12"/>
  <c r="C19" i="12"/>
  <c r="C28" i="12" s="1"/>
  <c r="B19" i="12"/>
  <c r="O18" i="12"/>
  <c r="D18" i="12"/>
  <c r="C18" i="12"/>
  <c r="B18" i="12"/>
  <c r="C17" i="12"/>
  <c r="B17" i="12"/>
  <c r="C16" i="12"/>
  <c r="B16" i="12"/>
  <c r="E15" i="12"/>
  <c r="D15" i="12"/>
  <c r="O15" i="12" s="1"/>
  <c r="C15" i="12"/>
  <c r="B15" i="12"/>
  <c r="L13" i="12"/>
  <c r="E13" i="12"/>
  <c r="D13" i="12"/>
  <c r="O13" i="12" s="1"/>
  <c r="C13" i="12"/>
  <c r="B13" i="12"/>
  <c r="L11" i="12"/>
  <c r="L6" i="12" s="1"/>
  <c r="E11" i="12"/>
  <c r="D11" i="12"/>
  <c r="O11" i="12" s="1"/>
  <c r="C11" i="12"/>
  <c r="B11" i="12"/>
  <c r="D10" i="12"/>
  <c r="E6" i="12"/>
  <c r="E72" i="12" s="1"/>
  <c r="D9" i="12"/>
  <c r="O9" i="12" s="1"/>
  <c r="C9" i="12"/>
  <c r="C6" i="12" s="1"/>
  <c r="B9" i="12"/>
  <c r="B6" i="12" s="1"/>
  <c r="E8" i="12"/>
  <c r="E7" i="12"/>
  <c r="N6" i="12"/>
  <c r="N72" i="12" s="1"/>
  <c r="M6" i="12"/>
  <c r="M72" i="12" s="1"/>
  <c r="K6" i="12"/>
  <c r="K72" i="12" s="1"/>
  <c r="J6" i="12"/>
  <c r="J72" i="12" s="1"/>
  <c r="I6" i="12"/>
  <c r="I72" i="12" s="1"/>
  <c r="H6" i="12"/>
  <c r="H72" i="12" s="1"/>
  <c r="G6" i="12"/>
  <c r="G72" i="12" s="1"/>
  <c r="F6" i="12"/>
  <c r="F72" i="12" s="1"/>
  <c r="D6" i="12"/>
  <c r="D108" i="11"/>
  <c r="K107" i="11"/>
  <c r="E107" i="11"/>
  <c r="E108" i="11" s="1"/>
  <c r="N106" i="11"/>
  <c r="N105" i="11"/>
  <c r="N104" i="11"/>
  <c r="N103" i="11"/>
  <c r="N102" i="11"/>
  <c r="N101" i="11"/>
  <c r="N100" i="11"/>
  <c r="O100" i="11" s="1"/>
  <c r="L99" i="11"/>
  <c r="K99" i="11"/>
  <c r="J99" i="11"/>
  <c r="J107" i="11" s="1"/>
  <c r="I99" i="11"/>
  <c r="H99" i="11"/>
  <c r="G99" i="11"/>
  <c r="F99" i="11"/>
  <c r="F107" i="11" s="1"/>
  <c r="F108" i="11" s="1"/>
  <c r="E99" i="11"/>
  <c r="B99" i="11"/>
  <c r="N99" i="11" s="1"/>
  <c r="N98" i="11"/>
  <c r="N97" i="11"/>
  <c r="O97" i="11" s="1"/>
  <c r="N96" i="11"/>
  <c r="O96" i="11" s="1"/>
  <c r="N95" i="11"/>
  <c r="N94" i="11"/>
  <c r="N93" i="11"/>
  <c r="O93" i="11" s="1"/>
  <c r="N92" i="11"/>
  <c r="L91" i="11"/>
  <c r="L107" i="11" s="1"/>
  <c r="L108" i="11" s="1"/>
  <c r="K91" i="11"/>
  <c r="J91" i="11"/>
  <c r="I91" i="11"/>
  <c r="I107" i="11" s="1"/>
  <c r="H91" i="11"/>
  <c r="H107" i="11" s="1"/>
  <c r="G91" i="11"/>
  <c r="G107" i="11" s="1"/>
  <c r="G108" i="11" s="1"/>
  <c r="F91" i="11"/>
  <c r="E91" i="11"/>
  <c r="B91" i="11"/>
  <c r="N91" i="11" s="1"/>
  <c r="N79" i="11"/>
  <c r="M79" i="11"/>
  <c r="L79" i="11"/>
  <c r="K79" i="11"/>
  <c r="J79" i="11"/>
  <c r="I79" i="11"/>
  <c r="H79" i="11"/>
  <c r="E79" i="11"/>
  <c r="K73" i="11"/>
  <c r="O71" i="11"/>
  <c r="L71" i="11"/>
  <c r="E71" i="11"/>
  <c r="B71" i="11"/>
  <c r="E70" i="11"/>
  <c r="O69" i="11"/>
  <c r="L69" i="11"/>
  <c r="E69" i="11"/>
  <c r="D69" i="11"/>
  <c r="B69" i="11"/>
  <c r="E68" i="11"/>
  <c r="L67" i="11"/>
  <c r="E67" i="11"/>
  <c r="D67" i="11"/>
  <c r="O67" i="11" s="1"/>
  <c r="B67" i="11"/>
  <c r="O66" i="11"/>
  <c r="L66" i="11"/>
  <c r="L63" i="11" s="1"/>
  <c r="E66" i="11"/>
  <c r="D66" i="11"/>
  <c r="B66" i="11"/>
  <c r="E65" i="11"/>
  <c r="L64" i="11"/>
  <c r="E64" i="11"/>
  <c r="E63" i="11" s="1"/>
  <c r="D64" i="11"/>
  <c r="O64" i="11" s="1"/>
  <c r="B64" i="11"/>
  <c r="B63" i="11" s="1"/>
  <c r="N63" i="11"/>
  <c r="M63" i="11"/>
  <c r="K63" i="11"/>
  <c r="J63" i="11"/>
  <c r="I63" i="11"/>
  <c r="H63" i="11"/>
  <c r="G63" i="11"/>
  <c r="F63" i="11"/>
  <c r="D63" i="11"/>
  <c r="O63" i="11" s="1"/>
  <c r="C63" i="11"/>
  <c r="O61" i="11"/>
  <c r="E61" i="11"/>
  <c r="D61" i="11"/>
  <c r="C61" i="11"/>
  <c r="L59" i="11"/>
  <c r="E59" i="11"/>
  <c r="D59" i="11"/>
  <c r="O59" i="11" s="1"/>
  <c r="B59" i="11"/>
  <c r="O58" i="11"/>
  <c r="L58" i="11"/>
  <c r="E58" i="11"/>
  <c r="D58" i="11"/>
  <c r="B58" i="11"/>
  <c r="L57" i="11"/>
  <c r="E57" i="11"/>
  <c r="D57" i="11"/>
  <c r="D53" i="11" s="1"/>
  <c r="O53" i="11" s="1"/>
  <c r="B57" i="11"/>
  <c r="O55" i="11"/>
  <c r="L55" i="11"/>
  <c r="L53" i="11" s="1"/>
  <c r="E55" i="11"/>
  <c r="E53" i="11" s="1"/>
  <c r="D55" i="11"/>
  <c r="B55" i="11"/>
  <c r="N53" i="11"/>
  <c r="M53" i="11"/>
  <c r="K53" i="11"/>
  <c r="J53" i="11"/>
  <c r="I53" i="11"/>
  <c r="H53" i="11"/>
  <c r="G53" i="11"/>
  <c r="F53" i="11"/>
  <c r="C53" i="11"/>
  <c r="B53" i="11"/>
  <c r="L51" i="11"/>
  <c r="E51" i="11"/>
  <c r="D51" i="11"/>
  <c r="O51" i="11" s="1"/>
  <c r="B51" i="11"/>
  <c r="E50" i="11"/>
  <c r="D50" i="11"/>
  <c r="O50" i="11" s="1"/>
  <c r="B50" i="11"/>
  <c r="O49" i="11"/>
  <c r="L49" i="11"/>
  <c r="E49" i="11"/>
  <c r="D49" i="11"/>
  <c r="B49" i="11"/>
  <c r="E48" i="11"/>
  <c r="L47" i="11"/>
  <c r="E47" i="11"/>
  <c r="D47" i="11"/>
  <c r="O47" i="11" s="1"/>
  <c r="B47" i="11"/>
  <c r="L46" i="11"/>
  <c r="E46" i="11"/>
  <c r="D46" i="11"/>
  <c r="O46" i="11" s="1"/>
  <c r="B46" i="11"/>
  <c r="O45" i="11"/>
  <c r="L45" i="11"/>
  <c r="E45" i="11"/>
  <c r="D45" i="11"/>
  <c r="B45" i="11"/>
  <c r="O44" i="11"/>
  <c r="L44" i="11"/>
  <c r="E44" i="11"/>
  <c r="D44" i="11"/>
  <c r="B44" i="11"/>
  <c r="O43" i="11"/>
  <c r="L43" i="11"/>
  <c r="E43" i="11"/>
  <c r="D43" i="11"/>
  <c r="B43" i="11"/>
  <c r="E42" i="11"/>
  <c r="D42" i="11"/>
  <c r="D39" i="11" s="1"/>
  <c r="O39" i="11" s="1"/>
  <c r="O41" i="11"/>
  <c r="L41" i="11"/>
  <c r="E41" i="11"/>
  <c r="D41" i="11"/>
  <c r="B41" i="11"/>
  <c r="B39" i="11" s="1"/>
  <c r="O40" i="11"/>
  <c r="L40" i="11"/>
  <c r="E40" i="11"/>
  <c r="E39" i="11" s="1"/>
  <c r="D40" i="11"/>
  <c r="B40" i="11"/>
  <c r="N39" i="11"/>
  <c r="M39" i="11"/>
  <c r="L39" i="11"/>
  <c r="K39" i="11"/>
  <c r="J39" i="11"/>
  <c r="I39" i="11"/>
  <c r="H39" i="11"/>
  <c r="G39" i="11"/>
  <c r="F39" i="11"/>
  <c r="C39" i="11"/>
  <c r="E37" i="11"/>
  <c r="E34" i="11" s="1"/>
  <c r="O36" i="11"/>
  <c r="L36" i="11"/>
  <c r="E36" i="11"/>
  <c r="D36" i="11"/>
  <c r="B36" i="11"/>
  <c r="B34" i="11" s="1"/>
  <c r="L35" i="11"/>
  <c r="L34" i="11" s="1"/>
  <c r="E35" i="11"/>
  <c r="D35" i="11"/>
  <c r="O35" i="11" s="1"/>
  <c r="B35" i="11"/>
  <c r="N34" i="11"/>
  <c r="M34" i="11"/>
  <c r="K34" i="11"/>
  <c r="J34" i="11"/>
  <c r="I34" i="11"/>
  <c r="H34" i="11"/>
  <c r="G34" i="11"/>
  <c r="F34" i="11"/>
  <c r="C34" i="11"/>
  <c r="C73" i="11" s="1"/>
  <c r="C74" i="11" s="1"/>
  <c r="L32" i="11"/>
  <c r="E32" i="11"/>
  <c r="E30" i="11" s="1"/>
  <c r="D32" i="11"/>
  <c r="O31" i="11"/>
  <c r="L31" i="11"/>
  <c r="L30" i="11" s="1"/>
  <c r="E31" i="11"/>
  <c r="B31" i="11"/>
  <c r="B30" i="11" s="1"/>
  <c r="N30" i="11"/>
  <c r="M30" i="11"/>
  <c r="K30" i="11"/>
  <c r="J30" i="11"/>
  <c r="I30" i="11"/>
  <c r="H30" i="11"/>
  <c r="G30" i="11"/>
  <c r="F30" i="11"/>
  <c r="D30" i="11"/>
  <c r="O30" i="11" s="1"/>
  <c r="C30" i="11"/>
  <c r="E28" i="11"/>
  <c r="D28" i="11"/>
  <c r="O28" i="11" s="1"/>
  <c r="C28" i="11"/>
  <c r="L27" i="11"/>
  <c r="K27" i="11"/>
  <c r="E27" i="11"/>
  <c r="D27" i="11"/>
  <c r="O27" i="11" s="1"/>
  <c r="B27" i="11"/>
  <c r="O25" i="11"/>
  <c r="O24" i="11"/>
  <c r="B24" i="11"/>
  <c r="O23" i="11"/>
  <c r="B23" i="11"/>
  <c r="O22" i="11"/>
  <c r="O21" i="11"/>
  <c r="B21" i="11"/>
  <c r="O20" i="11"/>
  <c r="B20" i="11"/>
  <c r="O19" i="11"/>
  <c r="B19" i="11"/>
  <c r="B28" i="11" s="1"/>
  <c r="O18" i="11"/>
  <c r="D18" i="11"/>
  <c r="B18" i="11"/>
  <c r="B17" i="11"/>
  <c r="B16" i="11"/>
  <c r="B6" i="11" s="1"/>
  <c r="E15" i="11"/>
  <c r="D15" i="11"/>
  <c r="O15" i="11" s="1"/>
  <c r="B15" i="11"/>
  <c r="L13" i="11"/>
  <c r="I13" i="11"/>
  <c r="H13" i="11"/>
  <c r="E13" i="11" s="1"/>
  <c r="E6" i="11" s="1"/>
  <c r="D13" i="11"/>
  <c r="O13" i="11" s="1"/>
  <c r="B13" i="11"/>
  <c r="O11" i="11"/>
  <c r="L11" i="11"/>
  <c r="L6" i="11" s="1"/>
  <c r="E11" i="11"/>
  <c r="D11" i="11"/>
  <c r="B11" i="11"/>
  <c r="L10" i="11"/>
  <c r="E10" i="11"/>
  <c r="D10" i="11"/>
  <c r="E9" i="11"/>
  <c r="D9" i="11"/>
  <c r="O9" i="11" s="1"/>
  <c r="B9" i="11"/>
  <c r="E8" i="11"/>
  <c r="E7" i="11"/>
  <c r="N6" i="11"/>
  <c r="N73" i="11" s="1"/>
  <c r="M6" i="11"/>
  <c r="M73" i="11" s="1"/>
  <c r="K6" i="11"/>
  <c r="J6" i="11"/>
  <c r="J73" i="11" s="1"/>
  <c r="I6" i="11"/>
  <c r="I73" i="11" s="1"/>
  <c r="G6" i="11"/>
  <c r="G73" i="11" s="1"/>
  <c r="F6" i="11"/>
  <c r="F73" i="11" s="1"/>
  <c r="C6" i="11"/>
  <c r="D106" i="10"/>
  <c r="L105" i="10"/>
  <c r="N104" i="10"/>
  <c r="O104" i="10" s="1"/>
  <c r="N103" i="10"/>
  <c r="N102" i="10"/>
  <c r="N101" i="10"/>
  <c r="O101" i="10" s="1"/>
  <c r="N100" i="10"/>
  <c r="O100" i="10" s="1"/>
  <c r="N99" i="10"/>
  <c r="O99" i="10" s="1"/>
  <c r="N98" i="10"/>
  <c r="O98" i="10" s="1"/>
  <c r="K97" i="10"/>
  <c r="J97" i="10"/>
  <c r="I97" i="10"/>
  <c r="H97" i="10"/>
  <c r="G97" i="10"/>
  <c r="F97" i="10"/>
  <c r="E97" i="10"/>
  <c r="B97" i="10"/>
  <c r="N97" i="10" s="1"/>
  <c r="N96" i="10"/>
  <c r="N95" i="10"/>
  <c r="N94" i="10"/>
  <c r="N93" i="10"/>
  <c r="N92" i="10"/>
  <c r="N91" i="10"/>
  <c r="N90" i="10"/>
  <c r="O90" i="10" s="1"/>
  <c r="K89" i="10"/>
  <c r="K105" i="10" s="1"/>
  <c r="J89" i="10"/>
  <c r="J105" i="10" s="1"/>
  <c r="I89" i="10"/>
  <c r="I105" i="10" s="1"/>
  <c r="I106" i="10" s="1"/>
  <c r="H89" i="10"/>
  <c r="H105" i="10" s="1"/>
  <c r="H106" i="10" s="1"/>
  <c r="G89" i="10"/>
  <c r="G105" i="10" s="1"/>
  <c r="F89" i="10"/>
  <c r="F105" i="10" s="1"/>
  <c r="F106" i="10" s="1"/>
  <c r="E89" i="10"/>
  <c r="E105" i="10" s="1"/>
  <c r="E106" i="10" s="1"/>
  <c r="B89" i="10"/>
  <c r="N89" i="10" s="1"/>
  <c r="O77" i="10"/>
  <c r="N77" i="10"/>
  <c r="M77" i="10"/>
  <c r="L77" i="10"/>
  <c r="K77" i="10"/>
  <c r="J77" i="10"/>
  <c r="I77" i="10"/>
  <c r="H77" i="10"/>
  <c r="E77" i="10"/>
  <c r="J71" i="10"/>
  <c r="I71" i="10"/>
  <c r="L69" i="10"/>
  <c r="K69" i="10"/>
  <c r="E69" i="10"/>
  <c r="D69" i="10"/>
  <c r="O69" i="10" s="1"/>
  <c r="B69" i="10"/>
  <c r="E68" i="10"/>
  <c r="O67" i="10"/>
  <c r="K67" i="10"/>
  <c r="E67" i="10"/>
  <c r="D67" i="10"/>
  <c r="B67" i="10"/>
  <c r="E66" i="10"/>
  <c r="E65" i="10"/>
  <c r="D65" i="10"/>
  <c r="O65" i="10" s="1"/>
  <c r="B65" i="10"/>
  <c r="O64" i="10"/>
  <c r="L64" i="10"/>
  <c r="K64" i="10"/>
  <c r="E64" i="10"/>
  <c r="D64" i="10"/>
  <c r="B64" i="10"/>
  <c r="E63" i="10"/>
  <c r="L62" i="10"/>
  <c r="K62" i="10"/>
  <c r="E62" i="10"/>
  <c r="E61" i="10" s="1"/>
  <c r="D62" i="10"/>
  <c r="O62" i="10" s="1"/>
  <c r="B62" i="10"/>
  <c r="B61" i="10" s="1"/>
  <c r="D61" i="10"/>
  <c r="O61" i="10" s="1"/>
  <c r="C61" i="10"/>
  <c r="O59" i="10"/>
  <c r="E59" i="10"/>
  <c r="L57" i="10"/>
  <c r="K57" i="10"/>
  <c r="E57" i="10"/>
  <c r="D57" i="10"/>
  <c r="O57" i="10" s="1"/>
  <c r="B57" i="10"/>
  <c r="L56" i="10"/>
  <c r="K56" i="10"/>
  <c r="E56" i="10"/>
  <c r="D56" i="10"/>
  <c r="O56" i="10" s="1"/>
  <c r="B56" i="10"/>
  <c r="L55" i="10"/>
  <c r="K55" i="10"/>
  <c r="E55" i="10"/>
  <c r="D55" i="10"/>
  <c r="D51" i="10" s="1"/>
  <c r="O51" i="10" s="1"/>
  <c r="B55" i="10"/>
  <c r="O53" i="10"/>
  <c r="L53" i="10"/>
  <c r="L51" i="10" s="1"/>
  <c r="E53" i="10"/>
  <c r="E51" i="10" s="1"/>
  <c r="D53" i="10"/>
  <c r="B53" i="10"/>
  <c r="B51" i="10" s="1"/>
  <c r="E52" i="10"/>
  <c r="N51" i="10"/>
  <c r="M51" i="10"/>
  <c r="K51" i="10"/>
  <c r="J51" i="10"/>
  <c r="I51" i="10"/>
  <c r="H51" i="10"/>
  <c r="G51" i="10"/>
  <c r="F51" i="10"/>
  <c r="C51" i="10"/>
  <c r="L49" i="10"/>
  <c r="K49" i="10"/>
  <c r="F49" i="10"/>
  <c r="E49" i="10"/>
  <c r="D49" i="10"/>
  <c r="O49" i="10" s="1"/>
  <c r="B49" i="10"/>
  <c r="L48" i="10"/>
  <c r="K48" i="10"/>
  <c r="E48" i="10"/>
  <c r="D48" i="10"/>
  <c r="O48" i="10" s="1"/>
  <c r="B48" i="10"/>
  <c r="O47" i="10"/>
  <c r="K47" i="10"/>
  <c r="E47" i="10"/>
  <c r="D47" i="10"/>
  <c r="B47" i="10"/>
  <c r="E46" i="10"/>
  <c r="E45" i="10"/>
  <c r="D45" i="10"/>
  <c r="O45" i="10" s="1"/>
  <c r="B45" i="10"/>
  <c r="L44" i="10"/>
  <c r="K44" i="10"/>
  <c r="G44" i="10"/>
  <c r="G37" i="10" s="1"/>
  <c r="H71" i="10" s="1"/>
  <c r="D44" i="10"/>
  <c r="O44" i="10" s="1"/>
  <c r="B44" i="10"/>
  <c r="O43" i="10"/>
  <c r="L43" i="10"/>
  <c r="K43" i="10"/>
  <c r="E43" i="10"/>
  <c r="B43" i="10"/>
  <c r="L42" i="10"/>
  <c r="K42" i="10"/>
  <c r="E42" i="10"/>
  <c r="D42" i="10"/>
  <c r="O42" i="10" s="1"/>
  <c r="B42" i="10"/>
  <c r="O41" i="10"/>
  <c r="L41" i="10"/>
  <c r="K41" i="10"/>
  <c r="E41" i="10"/>
  <c r="D41" i="10"/>
  <c r="B41" i="10"/>
  <c r="L40" i="10"/>
  <c r="K40" i="10"/>
  <c r="E40" i="10"/>
  <c r="D40" i="10"/>
  <c r="O39" i="10"/>
  <c r="L39" i="10"/>
  <c r="K39" i="10"/>
  <c r="E39" i="10"/>
  <c r="D39" i="10"/>
  <c r="B39" i="10"/>
  <c r="L38" i="10"/>
  <c r="K38" i="10"/>
  <c r="K37" i="10" s="1"/>
  <c r="E38" i="10"/>
  <c r="D38" i="10"/>
  <c r="O38" i="10" s="1"/>
  <c r="B38" i="10"/>
  <c r="B37" i="10" s="1"/>
  <c r="N37" i="10"/>
  <c r="M37" i="10"/>
  <c r="L37" i="10"/>
  <c r="J37" i="10"/>
  <c r="I37" i="10"/>
  <c r="H37" i="10"/>
  <c r="F37" i="10"/>
  <c r="E37" i="10" s="1"/>
  <c r="D37" i="10"/>
  <c r="O37" i="10" s="1"/>
  <c r="C37" i="10"/>
  <c r="E35" i="10"/>
  <c r="O34" i="10"/>
  <c r="L34" i="10"/>
  <c r="K34" i="10"/>
  <c r="E34" i="10"/>
  <c r="D34" i="10"/>
  <c r="B34" i="10"/>
  <c r="O33" i="10"/>
  <c r="L33" i="10"/>
  <c r="K33" i="10"/>
  <c r="E33" i="10"/>
  <c r="D33" i="10"/>
  <c r="B33" i="10"/>
  <c r="B30" i="10" s="1"/>
  <c r="L32" i="10"/>
  <c r="K32" i="10"/>
  <c r="E32" i="10"/>
  <c r="D32" i="10"/>
  <c r="L31" i="10"/>
  <c r="L30" i="10" s="1"/>
  <c r="K31" i="10"/>
  <c r="K30" i="10" s="1"/>
  <c r="E31" i="10"/>
  <c r="D31" i="10"/>
  <c r="O31" i="10" s="1"/>
  <c r="B31" i="10"/>
  <c r="N30" i="10"/>
  <c r="N71" i="10" s="1"/>
  <c r="M30" i="10"/>
  <c r="I30" i="10"/>
  <c r="H30" i="10"/>
  <c r="G30" i="10"/>
  <c r="F30" i="10"/>
  <c r="F71" i="10" s="1"/>
  <c r="D30" i="10"/>
  <c r="O30" i="10" s="1"/>
  <c r="C30" i="10"/>
  <c r="O27" i="10"/>
  <c r="L27" i="10"/>
  <c r="K27" i="10"/>
  <c r="B27" i="10"/>
  <c r="B24" i="10"/>
  <c r="B23" i="10"/>
  <c r="B21" i="10"/>
  <c r="B20" i="10"/>
  <c r="B19" i="10"/>
  <c r="B28" i="10" s="1"/>
  <c r="D18" i="10"/>
  <c r="O18" i="10" s="1"/>
  <c r="B18" i="10"/>
  <c r="O17" i="10"/>
  <c r="B17" i="10"/>
  <c r="O16" i="10"/>
  <c r="B16" i="10"/>
  <c r="L15" i="10"/>
  <c r="K15" i="10"/>
  <c r="E15" i="10"/>
  <c r="D15" i="10"/>
  <c r="B15" i="10"/>
  <c r="E13" i="10"/>
  <c r="D13" i="10"/>
  <c r="O13" i="10" s="1"/>
  <c r="B13" i="10"/>
  <c r="L11" i="10"/>
  <c r="K11" i="10"/>
  <c r="E11" i="10"/>
  <c r="D11" i="10"/>
  <c r="O11" i="10" s="1"/>
  <c r="B11" i="10"/>
  <c r="B6" i="10" s="1"/>
  <c r="L10" i="10"/>
  <c r="E10" i="10"/>
  <c r="D10" i="10"/>
  <c r="E9" i="10"/>
  <c r="E6" i="10" s="1"/>
  <c r="D9" i="10"/>
  <c r="O9" i="10" s="1"/>
  <c r="B9" i="10"/>
  <c r="E8" i="10"/>
  <c r="E7" i="10"/>
  <c r="N6" i="10"/>
  <c r="M6" i="10"/>
  <c r="M71" i="10" s="1"/>
  <c r="L6" i="10"/>
  <c r="K6" i="10"/>
  <c r="J6" i="10"/>
  <c r="I6" i="10"/>
  <c r="H6" i="10"/>
  <c r="G6" i="10"/>
  <c r="G71" i="10" s="1"/>
  <c r="F6" i="10"/>
  <c r="C6" i="10"/>
  <c r="C71" i="10" s="1"/>
  <c r="C72" i="10" s="1"/>
  <c r="L105" i="9"/>
  <c r="K105" i="9"/>
  <c r="B105" i="9"/>
  <c r="C106" i="9" s="1"/>
  <c r="N104" i="9"/>
  <c r="N103" i="9"/>
  <c r="N102" i="9"/>
  <c r="N101" i="9"/>
  <c r="O101" i="9" s="1"/>
  <c r="N100" i="9"/>
  <c r="O100" i="9" s="1"/>
  <c r="N99" i="9"/>
  <c r="N98" i="9"/>
  <c r="O98" i="9" s="1"/>
  <c r="J97" i="9"/>
  <c r="I97" i="9"/>
  <c r="I105" i="9" s="1"/>
  <c r="H97" i="9"/>
  <c r="G97" i="9"/>
  <c r="G105" i="9" s="1"/>
  <c r="F97" i="9"/>
  <c r="E97" i="9"/>
  <c r="D97" i="9"/>
  <c r="C97" i="9"/>
  <c r="N97" i="9" s="1"/>
  <c r="B97" i="9"/>
  <c r="N96" i="9"/>
  <c r="N95" i="9"/>
  <c r="N94" i="9"/>
  <c r="N93" i="9"/>
  <c r="N92" i="9"/>
  <c r="O92" i="9" s="1"/>
  <c r="N91" i="9"/>
  <c r="N90" i="9"/>
  <c r="J89" i="9"/>
  <c r="J105" i="9" s="1"/>
  <c r="J106" i="9" s="1"/>
  <c r="I89" i="9"/>
  <c r="H89" i="9"/>
  <c r="H105" i="9" s="1"/>
  <c r="H106" i="9" s="1"/>
  <c r="G89" i="9"/>
  <c r="F89" i="9"/>
  <c r="F105" i="9" s="1"/>
  <c r="E89" i="9"/>
  <c r="E105" i="9" s="1"/>
  <c r="D89" i="9"/>
  <c r="D105" i="9" s="1"/>
  <c r="D106" i="9" s="1"/>
  <c r="C89" i="9"/>
  <c r="B89" i="9"/>
  <c r="N89" i="9" s="1"/>
  <c r="O77" i="9"/>
  <c r="N77" i="9"/>
  <c r="M77" i="9"/>
  <c r="L77" i="9"/>
  <c r="K77" i="9"/>
  <c r="J77" i="9"/>
  <c r="I77" i="9"/>
  <c r="H77" i="9"/>
  <c r="E77" i="9"/>
  <c r="C72" i="9"/>
  <c r="C71" i="9"/>
  <c r="O69" i="9"/>
  <c r="L69" i="9"/>
  <c r="K69" i="9"/>
  <c r="E69" i="9"/>
  <c r="D69" i="9"/>
  <c r="B69" i="9"/>
  <c r="E68" i="9"/>
  <c r="O67" i="9"/>
  <c r="K67" i="9"/>
  <c r="E67" i="9"/>
  <c r="D67" i="9"/>
  <c r="B67" i="9"/>
  <c r="E66" i="9"/>
  <c r="O65" i="9"/>
  <c r="L65" i="9"/>
  <c r="K65" i="9"/>
  <c r="E65" i="9"/>
  <c r="D65" i="9"/>
  <c r="B65" i="9"/>
  <c r="O64" i="9"/>
  <c r="L64" i="9"/>
  <c r="K64" i="9"/>
  <c r="E64" i="9"/>
  <c r="D64" i="9"/>
  <c r="B64" i="9"/>
  <c r="E63" i="9"/>
  <c r="L62" i="9"/>
  <c r="K62" i="9"/>
  <c r="E62" i="9"/>
  <c r="D62" i="9"/>
  <c r="O62" i="9" s="1"/>
  <c r="B62" i="9"/>
  <c r="B61" i="9" s="1"/>
  <c r="E61" i="9"/>
  <c r="E59" i="9"/>
  <c r="D59" i="9"/>
  <c r="L57" i="9"/>
  <c r="K57" i="9"/>
  <c r="E57" i="9"/>
  <c r="D57" i="9"/>
  <c r="O57" i="9" s="1"/>
  <c r="B57" i="9"/>
  <c r="L56" i="9"/>
  <c r="K56" i="9"/>
  <c r="E56" i="9"/>
  <c r="D56" i="9"/>
  <c r="O56" i="9" s="1"/>
  <c r="B56" i="9"/>
  <c r="L55" i="9"/>
  <c r="K55" i="9"/>
  <c r="E55" i="9"/>
  <c r="D55" i="9"/>
  <c r="O55" i="9" s="1"/>
  <c r="B55" i="9"/>
  <c r="L53" i="9"/>
  <c r="L51" i="9" s="1"/>
  <c r="K53" i="9"/>
  <c r="E53" i="9"/>
  <c r="D53" i="9"/>
  <c r="D51" i="9" s="1"/>
  <c r="O51" i="9" s="1"/>
  <c r="B53" i="9"/>
  <c r="B51" i="9" s="1"/>
  <c r="E52" i="9"/>
  <c r="N51" i="9"/>
  <c r="M51" i="9"/>
  <c r="K51" i="9"/>
  <c r="J51" i="9"/>
  <c r="I51" i="9"/>
  <c r="H51" i="9"/>
  <c r="G51" i="9"/>
  <c r="F51" i="9"/>
  <c r="E51" i="9"/>
  <c r="L49" i="9"/>
  <c r="K49" i="9"/>
  <c r="E49" i="9"/>
  <c r="D49" i="9"/>
  <c r="O49" i="9" s="1"/>
  <c r="B49" i="9"/>
  <c r="K48" i="9"/>
  <c r="E48" i="9"/>
  <c r="D48" i="9"/>
  <c r="O48" i="9" s="1"/>
  <c r="B48" i="9"/>
  <c r="L47" i="9"/>
  <c r="K47" i="9"/>
  <c r="E47" i="9"/>
  <c r="D47" i="9"/>
  <c r="O47" i="9" s="1"/>
  <c r="B47" i="9"/>
  <c r="E46" i="9"/>
  <c r="E45" i="9"/>
  <c r="D45" i="9"/>
  <c r="O45" i="9" s="1"/>
  <c r="B45" i="9"/>
  <c r="E44" i="9"/>
  <c r="D44" i="9"/>
  <c r="O44" i="9" s="1"/>
  <c r="B44" i="9"/>
  <c r="E43" i="9"/>
  <c r="D43" i="9"/>
  <c r="O43" i="9" s="1"/>
  <c r="B43" i="9"/>
  <c r="O42" i="9"/>
  <c r="L42" i="9"/>
  <c r="K42" i="9"/>
  <c r="E42" i="9"/>
  <c r="D42" i="9"/>
  <c r="B42" i="9"/>
  <c r="L41" i="9"/>
  <c r="K41" i="9"/>
  <c r="E41" i="9"/>
  <c r="D41" i="9"/>
  <c r="D37" i="9" s="1"/>
  <c r="O37" i="9" s="1"/>
  <c r="B41" i="9"/>
  <c r="B37" i="9" s="1"/>
  <c r="E40" i="9"/>
  <c r="D40" i="9"/>
  <c r="O39" i="9"/>
  <c r="L39" i="9"/>
  <c r="K39" i="9"/>
  <c r="E39" i="9"/>
  <c r="D39" i="9"/>
  <c r="B39" i="9"/>
  <c r="L38" i="9"/>
  <c r="L37" i="9" s="1"/>
  <c r="K38" i="9"/>
  <c r="K37" i="9" s="1"/>
  <c r="E38" i="9"/>
  <c r="D38" i="9"/>
  <c r="O38" i="9" s="1"/>
  <c r="B38" i="9"/>
  <c r="N37" i="9"/>
  <c r="M37" i="9"/>
  <c r="J37" i="9"/>
  <c r="I37" i="9"/>
  <c r="H37" i="9"/>
  <c r="G37" i="9"/>
  <c r="H71" i="9" s="1"/>
  <c r="F37" i="9"/>
  <c r="E37" i="9" s="1"/>
  <c r="E35" i="9"/>
  <c r="L34" i="9"/>
  <c r="K34" i="9"/>
  <c r="E34" i="9"/>
  <c r="D34" i="9"/>
  <c r="O34" i="9" s="1"/>
  <c r="B34" i="9"/>
  <c r="L33" i="9"/>
  <c r="K33" i="9"/>
  <c r="E33" i="9"/>
  <c r="D33" i="9"/>
  <c r="O33" i="9" s="1"/>
  <c r="B33" i="9"/>
  <c r="B30" i="9" s="1"/>
  <c r="E32" i="9"/>
  <c r="D32" i="9"/>
  <c r="L31" i="9"/>
  <c r="K31" i="9"/>
  <c r="K30" i="9" s="1"/>
  <c r="E31" i="9"/>
  <c r="D31" i="9"/>
  <c r="O31" i="9" s="1"/>
  <c r="B31" i="9"/>
  <c r="N30" i="9"/>
  <c r="M30" i="9"/>
  <c r="L30" i="9"/>
  <c r="I30" i="9"/>
  <c r="H30" i="9"/>
  <c r="G30" i="9"/>
  <c r="F30" i="9"/>
  <c r="E30" i="9"/>
  <c r="C28" i="9"/>
  <c r="O27" i="9"/>
  <c r="L27" i="9"/>
  <c r="K27" i="9"/>
  <c r="E27" i="9"/>
  <c r="D27" i="9"/>
  <c r="B27" i="9"/>
  <c r="O25" i="9"/>
  <c r="O24" i="9"/>
  <c r="B24" i="9"/>
  <c r="O23" i="9"/>
  <c r="B23" i="9"/>
  <c r="O22" i="9"/>
  <c r="O21" i="9"/>
  <c r="B21" i="9"/>
  <c r="O20" i="9"/>
  <c r="B20" i="9"/>
  <c r="O19" i="9"/>
  <c r="B19" i="9"/>
  <c r="B28" i="9" s="1"/>
  <c r="D18" i="9"/>
  <c r="O18" i="9" s="1"/>
  <c r="B18" i="9"/>
  <c r="B17" i="9"/>
  <c r="D16" i="9"/>
  <c r="O16" i="9" s="1"/>
  <c r="B16" i="9"/>
  <c r="O15" i="9"/>
  <c r="E15" i="9"/>
  <c r="D15" i="9"/>
  <c r="B15" i="9"/>
  <c r="D14" i="9"/>
  <c r="L13" i="9"/>
  <c r="K13" i="9"/>
  <c r="E13" i="9"/>
  <c r="D13" i="9"/>
  <c r="O13" i="9" s="1"/>
  <c r="B13" i="9"/>
  <c r="O11" i="9"/>
  <c r="L11" i="9"/>
  <c r="L6" i="9" s="1"/>
  <c r="L71" i="9" s="1"/>
  <c r="K11" i="9"/>
  <c r="E11" i="9"/>
  <c r="D11" i="9"/>
  <c r="B11" i="9"/>
  <c r="L10" i="9"/>
  <c r="K10" i="9"/>
  <c r="K6" i="9" s="1"/>
  <c r="K71" i="9" s="1"/>
  <c r="E10" i="9"/>
  <c r="D10" i="9"/>
  <c r="E9" i="9"/>
  <c r="E6" i="9" s="1"/>
  <c r="D9" i="9"/>
  <c r="D6" i="9" s="1"/>
  <c r="B9" i="9"/>
  <c r="B6" i="9" s="1"/>
  <c r="B71" i="9" s="1"/>
  <c r="E8" i="9"/>
  <c r="E7" i="9"/>
  <c r="N6" i="9"/>
  <c r="N71" i="9" s="1"/>
  <c r="M6" i="9"/>
  <c r="J6" i="9"/>
  <c r="J71" i="9" s="1"/>
  <c r="I6" i="9"/>
  <c r="I71" i="9" s="1"/>
  <c r="H6" i="9"/>
  <c r="G6" i="9"/>
  <c r="G71" i="9" s="1"/>
  <c r="F6" i="9"/>
  <c r="F71" i="9" s="1"/>
  <c r="C106" i="8"/>
  <c r="L105" i="8"/>
  <c r="K105" i="8"/>
  <c r="J105" i="8"/>
  <c r="H105" i="8"/>
  <c r="H106" i="8" s="1"/>
  <c r="G105" i="8"/>
  <c r="F105" i="8"/>
  <c r="G106" i="8" s="1"/>
  <c r="E105" i="8"/>
  <c r="D105" i="8"/>
  <c r="B105" i="8"/>
  <c r="N104" i="8"/>
  <c r="O104" i="8" s="1"/>
  <c r="N103" i="8"/>
  <c r="N102" i="8"/>
  <c r="N101" i="8"/>
  <c r="N100" i="8"/>
  <c r="N99" i="8"/>
  <c r="N98" i="8"/>
  <c r="I97" i="8"/>
  <c r="N97" i="8" s="1"/>
  <c r="N96" i="8"/>
  <c r="N95" i="8"/>
  <c r="N94" i="8"/>
  <c r="N93" i="8"/>
  <c r="N92" i="8"/>
  <c r="N91" i="8"/>
  <c r="N90" i="8"/>
  <c r="I89" i="8"/>
  <c r="N89" i="8" s="1"/>
  <c r="O77" i="8"/>
  <c r="N77" i="8"/>
  <c r="M77" i="8"/>
  <c r="L77" i="8"/>
  <c r="K77" i="8"/>
  <c r="J77" i="8"/>
  <c r="I77" i="8"/>
  <c r="H77" i="8"/>
  <c r="E77" i="8"/>
  <c r="J71" i="8"/>
  <c r="C71" i="8"/>
  <c r="C72" i="8" s="1"/>
  <c r="L69" i="8"/>
  <c r="K69" i="8"/>
  <c r="E69" i="8"/>
  <c r="D69" i="8"/>
  <c r="O69" i="8" s="1"/>
  <c r="B69" i="8"/>
  <c r="E68" i="8"/>
  <c r="L67" i="8"/>
  <c r="K67" i="8"/>
  <c r="E67" i="8"/>
  <c r="D67" i="8"/>
  <c r="O67" i="8" s="1"/>
  <c r="B67" i="8"/>
  <c r="E66" i="8"/>
  <c r="L65" i="8"/>
  <c r="K65" i="8"/>
  <c r="E65" i="8"/>
  <c r="D65" i="8"/>
  <c r="O65" i="8" s="1"/>
  <c r="B65" i="8"/>
  <c r="L64" i="8"/>
  <c r="K64" i="8"/>
  <c r="K61" i="8" s="1"/>
  <c r="E64" i="8"/>
  <c r="D64" i="8"/>
  <c r="D61" i="8" s="1"/>
  <c r="O61" i="8" s="1"/>
  <c r="B64" i="8"/>
  <c r="E63" i="8"/>
  <c r="O62" i="8"/>
  <c r="L62" i="8"/>
  <c r="K62" i="8"/>
  <c r="E62" i="8"/>
  <c r="E61" i="8" s="1"/>
  <c r="D62" i="8"/>
  <c r="B62" i="8"/>
  <c r="B61" i="8" s="1"/>
  <c r="N61" i="8"/>
  <c r="M61" i="8"/>
  <c r="L61" i="8"/>
  <c r="I61" i="8"/>
  <c r="H61" i="8"/>
  <c r="G61" i="8"/>
  <c r="E59" i="8"/>
  <c r="D59" i="8"/>
  <c r="O59" i="8" s="1"/>
  <c r="L57" i="8"/>
  <c r="K57" i="8"/>
  <c r="E57" i="8"/>
  <c r="D57" i="8"/>
  <c r="O57" i="8" s="1"/>
  <c r="B57" i="8"/>
  <c r="L56" i="8"/>
  <c r="K56" i="8"/>
  <c r="E56" i="8"/>
  <c r="D56" i="8"/>
  <c r="O56" i="8" s="1"/>
  <c r="B56" i="8"/>
  <c r="L55" i="8"/>
  <c r="K55" i="8"/>
  <c r="G55" i="8"/>
  <c r="G51" i="8" s="1"/>
  <c r="E55" i="8"/>
  <c r="D55" i="8"/>
  <c r="O55" i="8" s="1"/>
  <c r="B55" i="8"/>
  <c r="L53" i="8"/>
  <c r="K53" i="8"/>
  <c r="K51" i="8" s="1"/>
  <c r="E53" i="8"/>
  <c r="D53" i="8"/>
  <c r="O53" i="8" s="1"/>
  <c r="B53" i="8"/>
  <c r="B51" i="8" s="1"/>
  <c r="E52" i="8"/>
  <c r="E51" i="8" s="1"/>
  <c r="N51" i="8"/>
  <c r="M51" i="8"/>
  <c r="L51" i="8"/>
  <c r="J51" i="8"/>
  <c r="I51" i="8"/>
  <c r="H51" i="8"/>
  <c r="F51" i="8"/>
  <c r="D51" i="8"/>
  <c r="O51" i="8" s="1"/>
  <c r="C51" i="8"/>
  <c r="O49" i="8"/>
  <c r="E49" i="8"/>
  <c r="D49" i="8"/>
  <c r="B49" i="8"/>
  <c r="L48" i="8"/>
  <c r="K48" i="8"/>
  <c r="E48" i="8"/>
  <c r="D48" i="8"/>
  <c r="O48" i="8" s="1"/>
  <c r="B48" i="8"/>
  <c r="K47" i="8"/>
  <c r="E47" i="8"/>
  <c r="D47" i="8"/>
  <c r="O47" i="8" s="1"/>
  <c r="B47" i="8"/>
  <c r="E45" i="8"/>
  <c r="D45" i="8"/>
  <c r="O45" i="8" s="1"/>
  <c r="B45" i="8"/>
  <c r="O44" i="8"/>
  <c r="L44" i="8"/>
  <c r="K44" i="8"/>
  <c r="E44" i="8"/>
  <c r="D44" i="8"/>
  <c r="B44" i="8"/>
  <c r="O43" i="8"/>
  <c r="L43" i="8"/>
  <c r="K43" i="8"/>
  <c r="E43" i="8"/>
  <c r="D43" i="8"/>
  <c r="B43" i="8"/>
  <c r="O42" i="8"/>
  <c r="L42" i="8"/>
  <c r="K42" i="8"/>
  <c r="E42" i="8"/>
  <c r="D42" i="8"/>
  <c r="B42" i="8"/>
  <c r="O41" i="8"/>
  <c r="L41" i="8"/>
  <c r="K41" i="8"/>
  <c r="E41" i="8"/>
  <c r="D41" i="8"/>
  <c r="B41" i="8"/>
  <c r="E40" i="8"/>
  <c r="D40" i="8"/>
  <c r="L39" i="8"/>
  <c r="K39" i="8"/>
  <c r="E39" i="8"/>
  <c r="D39" i="8"/>
  <c r="O39" i="8" s="1"/>
  <c r="C39" i="8"/>
  <c r="B39" i="8"/>
  <c r="L38" i="8"/>
  <c r="K38" i="8"/>
  <c r="K37" i="8" s="1"/>
  <c r="E38" i="8"/>
  <c r="E37" i="8" s="1"/>
  <c r="D38" i="8"/>
  <c r="O38" i="8" s="1"/>
  <c r="B38" i="8"/>
  <c r="B37" i="8" s="1"/>
  <c r="N37" i="8"/>
  <c r="M37" i="8"/>
  <c r="L37" i="8"/>
  <c r="J37" i="8"/>
  <c r="I37" i="8"/>
  <c r="H37" i="8"/>
  <c r="G37" i="8"/>
  <c r="F37" i="8"/>
  <c r="D37" i="8"/>
  <c r="O37" i="8" s="1"/>
  <c r="L34" i="8"/>
  <c r="K34" i="8"/>
  <c r="E34" i="8"/>
  <c r="D34" i="8"/>
  <c r="O34" i="8" s="1"/>
  <c r="B34" i="8"/>
  <c r="E33" i="8"/>
  <c r="D33" i="8"/>
  <c r="O33" i="8" s="1"/>
  <c r="B33" i="8"/>
  <c r="B30" i="8" s="1"/>
  <c r="K32" i="8"/>
  <c r="K30" i="8" s="1"/>
  <c r="E32" i="8"/>
  <c r="D32" i="8"/>
  <c r="D30" i="8" s="1"/>
  <c r="O30" i="8" s="1"/>
  <c r="O31" i="8"/>
  <c r="L31" i="8"/>
  <c r="K31" i="8"/>
  <c r="E31" i="8"/>
  <c r="D31" i="8"/>
  <c r="B31" i="8"/>
  <c r="N30" i="8"/>
  <c r="N71" i="8" s="1"/>
  <c r="M30" i="8"/>
  <c r="L30" i="8"/>
  <c r="I30" i="8"/>
  <c r="H30" i="8"/>
  <c r="G30" i="8"/>
  <c r="F30" i="8"/>
  <c r="E30" i="8"/>
  <c r="E28" i="8"/>
  <c r="D27" i="8"/>
  <c r="O27" i="8" s="1"/>
  <c r="B27" i="8"/>
  <c r="D26" i="8"/>
  <c r="D25" i="8"/>
  <c r="D24" i="8"/>
  <c r="D23" i="8"/>
  <c r="B23" i="8"/>
  <c r="D22" i="8"/>
  <c r="B22" i="8"/>
  <c r="B28" i="8" s="1"/>
  <c r="D21" i="8"/>
  <c r="D20" i="8"/>
  <c r="B20" i="8"/>
  <c r="D19" i="8"/>
  <c r="B19" i="8"/>
  <c r="D18" i="8"/>
  <c r="D28" i="8" s="1"/>
  <c r="O28" i="8" s="1"/>
  <c r="B18" i="8"/>
  <c r="O17" i="8"/>
  <c r="D17" i="8"/>
  <c r="B17" i="8"/>
  <c r="O16" i="8"/>
  <c r="B16" i="8"/>
  <c r="D15" i="8"/>
  <c r="O15" i="8" s="1"/>
  <c r="B15" i="8"/>
  <c r="O14" i="8"/>
  <c r="M14" i="8"/>
  <c r="M6" i="8" s="1"/>
  <c r="M71" i="8" s="1"/>
  <c r="L14" i="8"/>
  <c r="K14" i="8"/>
  <c r="E14" i="8"/>
  <c r="D14" i="8"/>
  <c r="B14" i="8"/>
  <c r="D13" i="8"/>
  <c r="O12" i="8"/>
  <c r="L12" i="8"/>
  <c r="L6" i="8" s="1"/>
  <c r="K12" i="8"/>
  <c r="E12" i="8"/>
  <c r="D12" i="8"/>
  <c r="B12" i="8"/>
  <c r="O10" i="8"/>
  <c r="L10" i="8"/>
  <c r="K10" i="8"/>
  <c r="F10" i="8"/>
  <c r="E10" i="8"/>
  <c r="D10" i="8"/>
  <c r="B10" i="8"/>
  <c r="O9" i="8"/>
  <c r="F9" i="8"/>
  <c r="F6" i="8" s="1"/>
  <c r="F71" i="8" s="1"/>
  <c r="D9" i="8"/>
  <c r="D6" i="8" s="1"/>
  <c r="B9" i="8"/>
  <c r="B6" i="8" s="1"/>
  <c r="E8" i="8"/>
  <c r="E7" i="8"/>
  <c r="N6" i="8"/>
  <c r="K6" i="8"/>
  <c r="J6" i="8"/>
  <c r="I6" i="8"/>
  <c r="I71" i="8" s="1"/>
  <c r="H6" i="8"/>
  <c r="H71" i="8" s="1"/>
  <c r="G6" i="8"/>
  <c r="L105" i="7"/>
  <c r="K105" i="7"/>
  <c r="J105" i="7"/>
  <c r="I105" i="7"/>
  <c r="H105" i="7"/>
  <c r="G105" i="7"/>
  <c r="F105" i="7"/>
  <c r="E105" i="7"/>
  <c r="D105" i="7"/>
  <c r="C105" i="7"/>
  <c r="B105" i="7"/>
  <c r="N105" i="7" s="1"/>
  <c r="N104" i="7"/>
  <c r="O104" i="7" s="1"/>
  <c r="N103" i="7"/>
  <c r="O103" i="7" s="1"/>
  <c r="N102" i="7"/>
  <c r="O102" i="7" s="1"/>
  <c r="N101" i="7"/>
  <c r="O101" i="7" s="1"/>
  <c r="N100" i="7"/>
  <c r="O100" i="7" s="1"/>
  <c r="N99" i="7"/>
  <c r="O99" i="7" s="1"/>
  <c r="N98" i="7"/>
  <c r="O98" i="7" s="1"/>
  <c r="N97" i="7"/>
  <c r="O97" i="7" s="1"/>
  <c r="N96" i="7"/>
  <c r="N95" i="7"/>
  <c r="N94" i="7"/>
  <c r="N93" i="7"/>
  <c r="N92" i="7"/>
  <c r="N91" i="7"/>
  <c r="N90" i="7"/>
  <c r="N89" i="7"/>
  <c r="O77" i="7"/>
  <c r="N77" i="7"/>
  <c r="M77" i="7"/>
  <c r="L77" i="7"/>
  <c r="K77" i="7"/>
  <c r="J77" i="7"/>
  <c r="I77" i="7"/>
  <c r="H77" i="7"/>
  <c r="E77" i="7"/>
  <c r="O69" i="7"/>
  <c r="L69" i="7"/>
  <c r="E69" i="7"/>
  <c r="D69" i="7"/>
  <c r="B69" i="7"/>
  <c r="E68" i="7"/>
  <c r="L67" i="7"/>
  <c r="K67" i="7"/>
  <c r="K61" i="7" s="1"/>
  <c r="E67" i="7"/>
  <c r="D67" i="7"/>
  <c r="O67" i="7" s="1"/>
  <c r="B67" i="7"/>
  <c r="E66" i="7"/>
  <c r="O65" i="7"/>
  <c r="L65" i="7"/>
  <c r="E65" i="7"/>
  <c r="D65" i="7"/>
  <c r="B65" i="7"/>
  <c r="K64" i="7"/>
  <c r="E64" i="7"/>
  <c r="D64" i="7"/>
  <c r="O64" i="7" s="1"/>
  <c r="B64" i="7"/>
  <c r="B61" i="7" s="1"/>
  <c r="E63" i="7"/>
  <c r="O62" i="7"/>
  <c r="L62" i="7"/>
  <c r="E62" i="7"/>
  <c r="E61" i="7" s="1"/>
  <c r="D62" i="7"/>
  <c r="B62" i="7"/>
  <c r="N61" i="7"/>
  <c r="M61" i="7"/>
  <c r="L61" i="7"/>
  <c r="I61" i="7"/>
  <c r="H61" i="7"/>
  <c r="G61" i="7"/>
  <c r="D61" i="7"/>
  <c r="O61" i="7" s="1"/>
  <c r="C61" i="7"/>
  <c r="J59" i="7"/>
  <c r="E59" i="7" s="1"/>
  <c r="D59" i="7"/>
  <c r="O59" i="7" s="1"/>
  <c r="O57" i="7"/>
  <c r="L57" i="7"/>
  <c r="E57" i="7"/>
  <c r="D57" i="7"/>
  <c r="B57" i="7"/>
  <c r="B51" i="7" s="1"/>
  <c r="O56" i="7"/>
  <c r="L56" i="7"/>
  <c r="E56" i="7"/>
  <c r="D56" i="7"/>
  <c r="B56" i="7"/>
  <c r="L55" i="7"/>
  <c r="E55" i="7"/>
  <c r="D55" i="7"/>
  <c r="O55" i="7" s="1"/>
  <c r="B55" i="7"/>
  <c r="L53" i="7"/>
  <c r="E53" i="7"/>
  <c r="D53" i="7"/>
  <c r="D51" i="7" s="1"/>
  <c r="O51" i="7" s="1"/>
  <c r="B53" i="7"/>
  <c r="E52" i="7"/>
  <c r="E51" i="7" s="1"/>
  <c r="N51" i="7"/>
  <c r="M51" i="7"/>
  <c r="L51" i="7"/>
  <c r="K51" i="7"/>
  <c r="J51" i="7"/>
  <c r="I51" i="7"/>
  <c r="H51" i="7"/>
  <c r="G51" i="7"/>
  <c r="F51" i="7"/>
  <c r="C51" i="7"/>
  <c r="L49" i="7"/>
  <c r="K49" i="7"/>
  <c r="E49" i="7"/>
  <c r="D49" i="7"/>
  <c r="O49" i="7" s="1"/>
  <c r="B49" i="7"/>
  <c r="O48" i="7"/>
  <c r="L48" i="7"/>
  <c r="K48" i="7"/>
  <c r="E48" i="7"/>
  <c r="E37" i="7" s="1"/>
  <c r="D48" i="7"/>
  <c r="B48" i="7"/>
  <c r="L47" i="7"/>
  <c r="E47" i="7"/>
  <c r="D47" i="7"/>
  <c r="O47" i="7" s="1"/>
  <c r="B47" i="7"/>
  <c r="E45" i="7"/>
  <c r="D45" i="7"/>
  <c r="O45" i="7" s="1"/>
  <c r="B45" i="7"/>
  <c r="O44" i="7"/>
  <c r="L44" i="7"/>
  <c r="E44" i="7"/>
  <c r="D44" i="7"/>
  <c r="B44" i="7"/>
  <c r="O43" i="7"/>
  <c r="L43" i="7"/>
  <c r="E43" i="7"/>
  <c r="D43" i="7"/>
  <c r="B43" i="7"/>
  <c r="O42" i="7"/>
  <c r="L42" i="7"/>
  <c r="K42" i="7"/>
  <c r="E42" i="7"/>
  <c r="D42" i="7"/>
  <c r="B42" i="7"/>
  <c r="O41" i="7"/>
  <c r="L41" i="7"/>
  <c r="E41" i="7"/>
  <c r="D41" i="7"/>
  <c r="B41" i="7"/>
  <c r="L40" i="7"/>
  <c r="K40" i="7"/>
  <c r="E40" i="7"/>
  <c r="D40" i="7"/>
  <c r="L39" i="7"/>
  <c r="E39" i="7"/>
  <c r="D39" i="7"/>
  <c r="O39" i="7" s="1"/>
  <c r="B39" i="7"/>
  <c r="B37" i="7" s="1"/>
  <c r="L38" i="7"/>
  <c r="L37" i="7" s="1"/>
  <c r="K38" i="7"/>
  <c r="E38" i="7"/>
  <c r="D38" i="7"/>
  <c r="D37" i="7" s="1"/>
  <c r="O37" i="7" s="1"/>
  <c r="B38" i="7"/>
  <c r="N37" i="7"/>
  <c r="M37" i="7"/>
  <c r="K37" i="7"/>
  <c r="J37" i="7"/>
  <c r="I37" i="7"/>
  <c r="H37" i="7"/>
  <c r="G37" i="7"/>
  <c r="F37" i="7"/>
  <c r="C37" i="7"/>
  <c r="C71" i="7" s="1"/>
  <c r="C72" i="7" s="1"/>
  <c r="L34" i="7"/>
  <c r="E34" i="7"/>
  <c r="D34" i="7"/>
  <c r="O34" i="7" s="1"/>
  <c r="B34" i="7"/>
  <c r="B30" i="7" s="1"/>
  <c r="L33" i="7"/>
  <c r="E33" i="7"/>
  <c r="E30" i="7" s="1"/>
  <c r="D33" i="7"/>
  <c r="O33" i="7" s="1"/>
  <c r="B33" i="7"/>
  <c r="L32" i="7"/>
  <c r="E32" i="7"/>
  <c r="D32" i="7"/>
  <c r="L31" i="7"/>
  <c r="L30" i="7" s="1"/>
  <c r="E31" i="7"/>
  <c r="D31" i="7"/>
  <c r="O31" i="7" s="1"/>
  <c r="B31" i="7"/>
  <c r="N30" i="7"/>
  <c r="M30" i="7"/>
  <c r="K30" i="7"/>
  <c r="I30" i="7"/>
  <c r="H30" i="7"/>
  <c r="G30" i="7"/>
  <c r="F30" i="7"/>
  <c r="D30" i="7"/>
  <c r="O30" i="7" s="1"/>
  <c r="C30" i="7"/>
  <c r="E28" i="7"/>
  <c r="C28" i="7"/>
  <c r="O27" i="7"/>
  <c r="D27" i="7"/>
  <c r="B27" i="7"/>
  <c r="D26" i="7"/>
  <c r="D25" i="7"/>
  <c r="D24" i="7"/>
  <c r="O24" i="7" s="1"/>
  <c r="D23" i="7"/>
  <c r="O23" i="7" s="1"/>
  <c r="B23" i="7"/>
  <c r="O22" i="7"/>
  <c r="D22" i="7"/>
  <c r="B22" i="7"/>
  <c r="D21" i="7"/>
  <c r="O21" i="7" s="1"/>
  <c r="D20" i="7"/>
  <c r="O20" i="7" s="1"/>
  <c r="B20" i="7"/>
  <c r="D19" i="7"/>
  <c r="O19" i="7" s="1"/>
  <c r="B19" i="7"/>
  <c r="D18" i="7"/>
  <c r="D28" i="7" s="1"/>
  <c r="O28" i="7" s="1"/>
  <c r="B18" i="7"/>
  <c r="B28" i="7" s="1"/>
  <c r="O17" i="7"/>
  <c r="D17" i="7"/>
  <c r="B17" i="7"/>
  <c r="O16" i="7"/>
  <c r="B16" i="7"/>
  <c r="E15" i="7"/>
  <c r="D15" i="7"/>
  <c r="O15" i="7" s="1"/>
  <c r="B15" i="7"/>
  <c r="B6" i="7" s="1"/>
  <c r="L14" i="7"/>
  <c r="E14" i="7"/>
  <c r="D14" i="7"/>
  <c r="O14" i="7" s="1"/>
  <c r="B14" i="7"/>
  <c r="O12" i="7"/>
  <c r="L12" i="7"/>
  <c r="E12" i="7"/>
  <c r="D12" i="7"/>
  <c r="B12" i="7"/>
  <c r="L10" i="7"/>
  <c r="L6" i="7" s="1"/>
  <c r="L71" i="7" s="1"/>
  <c r="E10" i="7"/>
  <c r="D10" i="7"/>
  <c r="O10" i="7" s="1"/>
  <c r="B10" i="7"/>
  <c r="E9" i="7"/>
  <c r="D9" i="7"/>
  <c r="O9" i="7" s="1"/>
  <c r="B9" i="7"/>
  <c r="E8" i="7"/>
  <c r="E7" i="7"/>
  <c r="N6" i="7"/>
  <c r="N71" i="7" s="1"/>
  <c r="M6" i="7"/>
  <c r="K6" i="7"/>
  <c r="K71" i="7" s="1"/>
  <c r="J6" i="7"/>
  <c r="J71" i="7" s="1"/>
  <c r="I6" i="7"/>
  <c r="I71" i="7" s="1"/>
  <c r="H6" i="7"/>
  <c r="H71" i="7" s="1"/>
  <c r="G6" i="7"/>
  <c r="G71" i="7" s="1"/>
  <c r="F6" i="7"/>
  <c r="F71" i="7" s="1"/>
  <c r="E6" i="7"/>
  <c r="C6" i="7"/>
  <c r="L104" i="6"/>
  <c r="K104" i="6"/>
  <c r="J104" i="6"/>
  <c r="I104" i="6"/>
  <c r="H104" i="6"/>
  <c r="G104" i="6"/>
  <c r="F104" i="6"/>
  <c r="E104" i="6"/>
  <c r="N104" i="6" s="1"/>
  <c r="D104" i="6"/>
  <c r="C104" i="6"/>
  <c r="B104" i="6"/>
  <c r="O103" i="6"/>
  <c r="N103" i="6"/>
  <c r="O102" i="6"/>
  <c r="N102" i="6"/>
  <c r="O101" i="6"/>
  <c r="N101" i="6"/>
  <c r="O100" i="6"/>
  <c r="N100" i="6"/>
  <c r="O99" i="6"/>
  <c r="N99" i="6"/>
  <c r="N98" i="6"/>
  <c r="O98" i="6" s="1"/>
  <c r="O97" i="6"/>
  <c r="N97" i="6"/>
  <c r="O96" i="6"/>
  <c r="N96" i="6"/>
  <c r="N95" i="6"/>
  <c r="N94" i="6"/>
  <c r="N93" i="6"/>
  <c r="N92" i="6"/>
  <c r="N91" i="6"/>
  <c r="N90" i="6"/>
  <c r="N89" i="6"/>
  <c r="N88" i="6"/>
  <c r="O76" i="6"/>
  <c r="N76" i="6"/>
  <c r="M76" i="6"/>
  <c r="L76" i="6"/>
  <c r="K76" i="6"/>
  <c r="J76" i="6"/>
  <c r="I76" i="6"/>
  <c r="H76" i="6"/>
  <c r="E76" i="6"/>
  <c r="F70" i="6"/>
  <c r="O68" i="6"/>
  <c r="L68" i="6"/>
  <c r="E68" i="6"/>
  <c r="D68" i="6"/>
  <c r="B68" i="6"/>
  <c r="O66" i="6"/>
  <c r="L66" i="6"/>
  <c r="E66" i="6"/>
  <c r="D66" i="6"/>
  <c r="B66" i="6"/>
  <c r="O64" i="6"/>
  <c r="B64" i="6"/>
  <c r="L63" i="6"/>
  <c r="K63" i="6"/>
  <c r="E63" i="6"/>
  <c r="D63" i="6"/>
  <c r="O63" i="6" s="1"/>
  <c r="B63" i="6"/>
  <c r="L61" i="6"/>
  <c r="L60" i="6" s="1"/>
  <c r="K61" i="6"/>
  <c r="E61" i="6"/>
  <c r="D61" i="6"/>
  <c r="O61" i="6" s="1"/>
  <c r="B61" i="6"/>
  <c r="B60" i="6" s="1"/>
  <c r="N60" i="6"/>
  <c r="M60" i="6"/>
  <c r="K60" i="6"/>
  <c r="I60" i="6"/>
  <c r="H60" i="6"/>
  <c r="E60" i="6"/>
  <c r="C60" i="6"/>
  <c r="O58" i="6"/>
  <c r="E58" i="6"/>
  <c r="O56" i="6"/>
  <c r="L56" i="6"/>
  <c r="E56" i="6"/>
  <c r="D56" i="6"/>
  <c r="B56" i="6"/>
  <c r="L55" i="6"/>
  <c r="E55" i="6"/>
  <c r="D55" i="6"/>
  <c r="O55" i="6" s="1"/>
  <c r="B55" i="6"/>
  <c r="O54" i="6"/>
  <c r="L54" i="6"/>
  <c r="L50" i="6" s="1"/>
  <c r="K54" i="6"/>
  <c r="E54" i="6"/>
  <c r="D54" i="6"/>
  <c r="B54" i="6"/>
  <c r="B50" i="6" s="1"/>
  <c r="O52" i="6"/>
  <c r="L52" i="6"/>
  <c r="K52" i="6"/>
  <c r="K50" i="6" s="1"/>
  <c r="E52" i="6"/>
  <c r="D52" i="6"/>
  <c r="D50" i="6" s="1"/>
  <c r="O50" i="6" s="1"/>
  <c r="B52" i="6"/>
  <c r="N50" i="6"/>
  <c r="M50" i="6"/>
  <c r="J50" i="6"/>
  <c r="I50" i="6"/>
  <c r="H50" i="6"/>
  <c r="G50" i="6"/>
  <c r="F50" i="6"/>
  <c r="E50" i="6"/>
  <c r="C50" i="6"/>
  <c r="L48" i="6"/>
  <c r="K48" i="6"/>
  <c r="E48" i="6"/>
  <c r="D48" i="6"/>
  <c r="O48" i="6" s="1"/>
  <c r="B48" i="6"/>
  <c r="L47" i="6"/>
  <c r="K47" i="6"/>
  <c r="E47" i="6"/>
  <c r="D47" i="6"/>
  <c r="O47" i="6" s="1"/>
  <c r="B47" i="6"/>
  <c r="O46" i="6"/>
  <c r="L46" i="6"/>
  <c r="E46" i="6"/>
  <c r="D46" i="6"/>
  <c r="B46" i="6"/>
  <c r="E44" i="6"/>
  <c r="D44" i="6"/>
  <c r="O44" i="6" s="1"/>
  <c r="B44" i="6"/>
  <c r="O43" i="6"/>
  <c r="L43" i="6"/>
  <c r="K43" i="6"/>
  <c r="E43" i="6"/>
  <c r="D43" i="6"/>
  <c r="B43" i="6"/>
  <c r="O42" i="6"/>
  <c r="L42" i="6"/>
  <c r="K42" i="6"/>
  <c r="E42" i="6"/>
  <c r="D42" i="6"/>
  <c r="B42" i="6"/>
  <c r="O41" i="6"/>
  <c r="L41" i="6"/>
  <c r="K41" i="6"/>
  <c r="E41" i="6"/>
  <c r="D41" i="6"/>
  <c r="B41" i="6"/>
  <c r="O40" i="6"/>
  <c r="L40" i="6"/>
  <c r="K40" i="6"/>
  <c r="E40" i="6"/>
  <c r="D40" i="6"/>
  <c r="B40" i="6"/>
  <c r="D39" i="6"/>
  <c r="O38" i="6"/>
  <c r="L38" i="6"/>
  <c r="E38" i="6"/>
  <c r="D38" i="6"/>
  <c r="B38" i="6"/>
  <c r="L37" i="6"/>
  <c r="L36" i="6" s="1"/>
  <c r="M70" i="6" s="1"/>
  <c r="E37" i="6"/>
  <c r="D37" i="6"/>
  <c r="O37" i="6" s="1"/>
  <c r="B37" i="6"/>
  <c r="N36" i="6"/>
  <c r="M36" i="6"/>
  <c r="N70" i="6" s="1"/>
  <c r="K36" i="6"/>
  <c r="J36" i="6"/>
  <c r="I36" i="6"/>
  <c r="J70" i="6" s="1"/>
  <c r="H36" i="6"/>
  <c r="G36" i="6"/>
  <c r="F36" i="6"/>
  <c r="E36" i="6"/>
  <c r="C36" i="6"/>
  <c r="B36" i="6"/>
  <c r="O33" i="6"/>
  <c r="L33" i="6"/>
  <c r="K33" i="6"/>
  <c r="E33" i="6"/>
  <c r="D33" i="6"/>
  <c r="D30" i="6" s="1"/>
  <c r="O30" i="6" s="1"/>
  <c r="B33" i="6"/>
  <c r="O32" i="6"/>
  <c r="L32" i="6"/>
  <c r="E32" i="6"/>
  <c r="E30" i="6" s="1"/>
  <c r="D32" i="6"/>
  <c r="B32" i="6"/>
  <c r="O31" i="6"/>
  <c r="L31" i="6"/>
  <c r="L30" i="6" s="1"/>
  <c r="K31" i="6"/>
  <c r="K30" i="6" s="1"/>
  <c r="E31" i="6"/>
  <c r="D31" i="6"/>
  <c r="B31" i="6"/>
  <c r="N30" i="6"/>
  <c r="M30" i="6"/>
  <c r="I30" i="6"/>
  <c r="H30" i="6"/>
  <c r="H70" i="6" s="1"/>
  <c r="G30" i="6"/>
  <c r="F30" i="6"/>
  <c r="C30" i="6"/>
  <c r="B30" i="6"/>
  <c r="E28" i="6"/>
  <c r="C28" i="6"/>
  <c r="L27" i="6"/>
  <c r="K27" i="6"/>
  <c r="D27" i="6"/>
  <c r="O27" i="6" s="1"/>
  <c r="B27" i="6"/>
  <c r="D26" i="6"/>
  <c r="D25" i="6"/>
  <c r="D24" i="6"/>
  <c r="D23" i="6"/>
  <c r="B23" i="6"/>
  <c r="D22" i="6"/>
  <c r="B22" i="6"/>
  <c r="D21" i="6"/>
  <c r="D20" i="6"/>
  <c r="B20" i="6"/>
  <c r="D19" i="6"/>
  <c r="O19" i="6" s="1"/>
  <c r="B19" i="6"/>
  <c r="D18" i="6"/>
  <c r="D28" i="6" s="1"/>
  <c r="B18" i="6"/>
  <c r="B28" i="6" s="1"/>
  <c r="O17" i="6"/>
  <c r="D17" i="6"/>
  <c r="B17" i="6"/>
  <c r="O16" i="6"/>
  <c r="B16" i="6"/>
  <c r="O15" i="6"/>
  <c r="E15" i="6"/>
  <c r="D15" i="6"/>
  <c r="B15" i="6"/>
  <c r="L14" i="6"/>
  <c r="E14" i="6"/>
  <c r="D14" i="6"/>
  <c r="O14" i="6" s="1"/>
  <c r="B14" i="6"/>
  <c r="L12" i="6"/>
  <c r="K12" i="6"/>
  <c r="E12" i="6"/>
  <c r="D12" i="6"/>
  <c r="O12" i="6" s="1"/>
  <c r="B12" i="6"/>
  <c r="O10" i="6"/>
  <c r="L10" i="6"/>
  <c r="K10" i="6"/>
  <c r="E10" i="6"/>
  <c r="D10" i="6"/>
  <c r="B10" i="6"/>
  <c r="O9" i="6"/>
  <c r="E9" i="6"/>
  <c r="D9" i="6"/>
  <c r="B9" i="6"/>
  <c r="B6" i="6" s="1"/>
  <c r="B70" i="6" s="1"/>
  <c r="E8" i="6"/>
  <c r="E6" i="6" s="1"/>
  <c r="E70" i="6" s="1"/>
  <c r="E7" i="6"/>
  <c r="N6" i="6"/>
  <c r="M6" i="6"/>
  <c r="L6" i="6"/>
  <c r="K6" i="6"/>
  <c r="J6" i="6"/>
  <c r="I6" i="6"/>
  <c r="I70" i="6" s="1"/>
  <c r="H6" i="6"/>
  <c r="G6" i="6"/>
  <c r="G70" i="6" s="1"/>
  <c r="F6" i="6"/>
  <c r="C6" i="6"/>
  <c r="C70" i="6" s="1"/>
  <c r="C71" i="6" s="1"/>
  <c r="L103" i="5"/>
  <c r="K103" i="5"/>
  <c r="J103" i="5"/>
  <c r="I103" i="5"/>
  <c r="H103" i="5"/>
  <c r="G103" i="5"/>
  <c r="F103" i="5"/>
  <c r="E103" i="5"/>
  <c r="D103" i="5"/>
  <c r="C103" i="5"/>
  <c r="N103" i="5" s="1"/>
  <c r="B103" i="5"/>
  <c r="O102" i="5"/>
  <c r="N102" i="5"/>
  <c r="O101" i="5"/>
  <c r="N101" i="5"/>
  <c r="O100" i="5"/>
  <c r="N100" i="5"/>
  <c r="N99" i="5"/>
  <c r="O98" i="5"/>
  <c r="N98" i="5"/>
  <c r="O99" i="5" s="1"/>
  <c r="O97" i="5"/>
  <c r="N97" i="5"/>
  <c r="O96" i="5"/>
  <c r="N96" i="5"/>
  <c r="N95" i="5"/>
  <c r="N94" i="5"/>
  <c r="O95" i="5" s="1"/>
  <c r="N93" i="5"/>
  <c r="N92" i="5"/>
  <c r="N91" i="5"/>
  <c r="N90" i="5"/>
  <c r="N89" i="5"/>
  <c r="N88" i="5"/>
  <c r="N87" i="5"/>
  <c r="O75" i="5"/>
  <c r="N75" i="5"/>
  <c r="M75" i="5"/>
  <c r="L75" i="5"/>
  <c r="K75" i="5"/>
  <c r="J75" i="5"/>
  <c r="I75" i="5"/>
  <c r="H75" i="5"/>
  <c r="E75" i="5"/>
  <c r="N69" i="5"/>
  <c r="O67" i="5"/>
  <c r="L67" i="5"/>
  <c r="E67" i="5"/>
  <c r="D67" i="5"/>
  <c r="B67" i="5"/>
  <c r="L65" i="5"/>
  <c r="E65" i="5"/>
  <c r="D65" i="5"/>
  <c r="O65" i="5" s="1"/>
  <c r="B65" i="5"/>
  <c r="L63" i="5"/>
  <c r="L59" i="5" s="1"/>
  <c r="E63" i="5"/>
  <c r="D63" i="5"/>
  <c r="O63" i="5" s="1"/>
  <c r="B63" i="5"/>
  <c r="O62" i="5"/>
  <c r="L62" i="5"/>
  <c r="K62" i="5"/>
  <c r="E62" i="5"/>
  <c r="D62" i="5"/>
  <c r="B62" i="5"/>
  <c r="B59" i="5" s="1"/>
  <c r="L60" i="5"/>
  <c r="E60" i="5"/>
  <c r="E59" i="5" s="1"/>
  <c r="D60" i="5"/>
  <c r="B60" i="5"/>
  <c r="N59" i="5"/>
  <c r="M59" i="5"/>
  <c r="K59" i="5"/>
  <c r="I59" i="5"/>
  <c r="H59" i="5"/>
  <c r="H69" i="5" s="1"/>
  <c r="O57" i="5"/>
  <c r="O55" i="5"/>
  <c r="L55" i="5"/>
  <c r="E55" i="5"/>
  <c r="D55" i="5"/>
  <c r="B55" i="5"/>
  <c r="O54" i="5"/>
  <c r="L54" i="5"/>
  <c r="E54" i="5"/>
  <c r="D54" i="5"/>
  <c r="B54" i="5"/>
  <c r="O53" i="5"/>
  <c r="L53" i="5"/>
  <c r="L49" i="5" s="1"/>
  <c r="E53" i="5"/>
  <c r="D53" i="5"/>
  <c r="B53" i="5"/>
  <c r="O51" i="5"/>
  <c r="L51" i="5"/>
  <c r="E51" i="5"/>
  <c r="E49" i="5" s="1"/>
  <c r="D51" i="5"/>
  <c r="B51" i="5"/>
  <c r="B49" i="5" s="1"/>
  <c r="N49" i="5"/>
  <c r="M49" i="5"/>
  <c r="K49" i="5"/>
  <c r="J49" i="5"/>
  <c r="I49" i="5"/>
  <c r="H49" i="5"/>
  <c r="G49" i="5"/>
  <c r="F49" i="5"/>
  <c r="D49" i="5"/>
  <c r="O49" i="5" s="1"/>
  <c r="L47" i="5"/>
  <c r="K47" i="5"/>
  <c r="E47" i="5"/>
  <c r="D47" i="5"/>
  <c r="O47" i="5" s="1"/>
  <c r="B47" i="5"/>
  <c r="O46" i="5"/>
  <c r="L46" i="5"/>
  <c r="E46" i="5"/>
  <c r="D46" i="5"/>
  <c r="B46" i="5"/>
  <c r="L45" i="5"/>
  <c r="E45" i="5"/>
  <c r="D45" i="5"/>
  <c r="O45" i="5" s="1"/>
  <c r="B45" i="5"/>
  <c r="O43" i="5"/>
  <c r="E43" i="5"/>
  <c r="D43" i="5"/>
  <c r="B43" i="5"/>
  <c r="O42" i="5"/>
  <c r="L42" i="5"/>
  <c r="E42" i="5"/>
  <c r="D42" i="5"/>
  <c r="B42" i="5"/>
  <c r="O41" i="5"/>
  <c r="L41" i="5"/>
  <c r="L35" i="5" s="1"/>
  <c r="M69" i="5" s="1"/>
  <c r="E41" i="5"/>
  <c r="D41" i="5"/>
  <c r="B41" i="5"/>
  <c r="L40" i="5"/>
  <c r="K40" i="5"/>
  <c r="E40" i="5"/>
  <c r="D40" i="5"/>
  <c r="O40" i="5" s="1"/>
  <c r="B40" i="5"/>
  <c r="E39" i="5"/>
  <c r="D39" i="5"/>
  <c r="B39" i="5"/>
  <c r="L38" i="5"/>
  <c r="K38" i="5"/>
  <c r="K35" i="5" s="1"/>
  <c r="D38" i="5"/>
  <c r="O37" i="5"/>
  <c r="L37" i="5"/>
  <c r="E37" i="5"/>
  <c r="D37" i="5"/>
  <c r="B37" i="5"/>
  <c r="L36" i="5"/>
  <c r="E36" i="5"/>
  <c r="D36" i="5"/>
  <c r="B36" i="5"/>
  <c r="B35" i="5" s="1"/>
  <c r="N35" i="5"/>
  <c r="M35" i="5"/>
  <c r="J35" i="5"/>
  <c r="I35" i="5"/>
  <c r="H35" i="5"/>
  <c r="G35" i="5"/>
  <c r="F35" i="5"/>
  <c r="G69" i="5" s="1"/>
  <c r="E35" i="5"/>
  <c r="C35" i="5"/>
  <c r="C69" i="5" s="1"/>
  <c r="C70" i="5" s="1"/>
  <c r="O32" i="5"/>
  <c r="L32" i="5"/>
  <c r="E32" i="5"/>
  <c r="D32" i="5"/>
  <c r="B32" i="5"/>
  <c r="L31" i="5"/>
  <c r="E31" i="5"/>
  <c r="E29" i="5" s="1"/>
  <c r="D31" i="5"/>
  <c r="O31" i="5" s="1"/>
  <c r="B31" i="5"/>
  <c r="O30" i="5"/>
  <c r="L30" i="5"/>
  <c r="K30" i="5"/>
  <c r="E30" i="5"/>
  <c r="D30" i="5"/>
  <c r="B30" i="5"/>
  <c r="N29" i="5"/>
  <c r="M29" i="5"/>
  <c r="L29" i="5"/>
  <c r="K29" i="5"/>
  <c r="J29" i="5"/>
  <c r="I29" i="5"/>
  <c r="H29" i="5"/>
  <c r="G29" i="5"/>
  <c r="F29" i="5"/>
  <c r="B29" i="5"/>
  <c r="C28" i="5"/>
  <c r="B28" i="5"/>
  <c r="O27" i="5"/>
  <c r="L27" i="5"/>
  <c r="E27" i="5"/>
  <c r="E28" i="5" s="1"/>
  <c r="D27" i="5"/>
  <c r="B27" i="5"/>
  <c r="D26" i="5"/>
  <c r="E25" i="5"/>
  <c r="D25" i="5"/>
  <c r="D24" i="5"/>
  <c r="O24" i="5" s="1"/>
  <c r="D23" i="5"/>
  <c r="O23" i="5" s="1"/>
  <c r="B23" i="5"/>
  <c r="O22" i="5"/>
  <c r="D22" i="5"/>
  <c r="B22" i="5"/>
  <c r="D21" i="5"/>
  <c r="O21" i="5" s="1"/>
  <c r="D20" i="5"/>
  <c r="O20" i="5" s="1"/>
  <c r="B20" i="5"/>
  <c r="D19" i="5"/>
  <c r="O19" i="5" s="1"/>
  <c r="B19" i="5"/>
  <c r="D18" i="5"/>
  <c r="B18" i="5"/>
  <c r="D17" i="5"/>
  <c r="B17" i="5"/>
  <c r="O16" i="5"/>
  <c r="B16" i="5"/>
  <c r="O15" i="5"/>
  <c r="D15" i="5"/>
  <c r="B15" i="5"/>
  <c r="O14" i="5"/>
  <c r="L14" i="5"/>
  <c r="L6" i="5" s="1"/>
  <c r="E14" i="5"/>
  <c r="D14" i="5"/>
  <c r="B14" i="5"/>
  <c r="L12" i="5"/>
  <c r="K12" i="5"/>
  <c r="K6" i="5" s="1"/>
  <c r="E12" i="5"/>
  <c r="D12" i="5"/>
  <c r="O12" i="5" s="1"/>
  <c r="B12" i="5"/>
  <c r="L10" i="5"/>
  <c r="E10" i="5"/>
  <c r="D10" i="5"/>
  <c r="O10" i="5" s="1"/>
  <c r="B10" i="5"/>
  <c r="E9" i="5"/>
  <c r="D9" i="5"/>
  <c r="O9" i="5" s="1"/>
  <c r="B9" i="5"/>
  <c r="B6" i="5" s="1"/>
  <c r="E8" i="5"/>
  <c r="E7" i="5"/>
  <c r="N6" i="5"/>
  <c r="M6" i="5"/>
  <c r="J6" i="5"/>
  <c r="J69" i="5" s="1"/>
  <c r="I6" i="5"/>
  <c r="I69" i="5" s="1"/>
  <c r="H6" i="5"/>
  <c r="G6" i="5"/>
  <c r="F6" i="5"/>
  <c r="F69" i="5" s="1"/>
  <c r="E102" i="4"/>
  <c r="D102" i="4"/>
  <c r="C102" i="4"/>
  <c r="B102" i="4"/>
  <c r="N102" i="4" s="1"/>
  <c r="N101" i="4"/>
  <c r="O101" i="4" s="1"/>
  <c r="N100" i="4"/>
  <c r="O100" i="4" s="1"/>
  <c r="N99" i="4"/>
  <c r="O99" i="4" s="1"/>
  <c r="N98" i="4"/>
  <c r="O98" i="4" s="1"/>
  <c r="N97" i="4"/>
  <c r="O97" i="4" s="1"/>
  <c r="N96" i="4"/>
  <c r="O96" i="4" s="1"/>
  <c r="N95" i="4"/>
  <c r="O95" i="4" s="1"/>
  <c r="N94" i="4"/>
  <c r="O94" i="4" s="1"/>
  <c r="N93" i="4"/>
  <c r="N92" i="4"/>
  <c r="N91" i="4"/>
  <c r="N90" i="4"/>
  <c r="N89" i="4"/>
  <c r="N88" i="4"/>
  <c r="N87" i="4"/>
  <c r="N86" i="4"/>
  <c r="O74" i="4"/>
  <c r="N74" i="4"/>
  <c r="M74" i="4"/>
  <c r="L74" i="4"/>
  <c r="K74" i="4"/>
  <c r="J74" i="4"/>
  <c r="I74" i="4"/>
  <c r="H74" i="4"/>
  <c r="E74" i="4"/>
  <c r="O66" i="4"/>
  <c r="L66" i="4"/>
  <c r="E66" i="4"/>
  <c r="D66" i="4"/>
  <c r="C66" i="4"/>
  <c r="B66" i="4"/>
  <c r="L64" i="4"/>
  <c r="E64" i="4"/>
  <c r="D64" i="4"/>
  <c r="C64" i="4"/>
  <c r="B64" i="4"/>
  <c r="O62" i="4"/>
  <c r="L62" i="4"/>
  <c r="E62" i="4"/>
  <c r="D62" i="4"/>
  <c r="C62" i="4"/>
  <c r="B62" i="4"/>
  <c r="O61" i="4"/>
  <c r="L61" i="4"/>
  <c r="K61" i="4"/>
  <c r="E61" i="4"/>
  <c r="D61" i="4"/>
  <c r="C61" i="4"/>
  <c r="B61" i="4"/>
  <c r="O59" i="4"/>
  <c r="L59" i="4"/>
  <c r="E59" i="4"/>
  <c r="D59" i="4"/>
  <c r="C59" i="4"/>
  <c r="C58" i="4" s="1"/>
  <c r="B59" i="4"/>
  <c r="B58" i="4" s="1"/>
  <c r="N58" i="4"/>
  <c r="M58" i="4"/>
  <c r="K58" i="4"/>
  <c r="I58" i="4"/>
  <c r="H58" i="4"/>
  <c r="O57" i="4"/>
  <c r="L55" i="4"/>
  <c r="K55" i="4"/>
  <c r="K49" i="4" s="1"/>
  <c r="E55" i="4"/>
  <c r="D55" i="4"/>
  <c r="C55" i="4"/>
  <c r="O55" i="4" s="1"/>
  <c r="B55" i="4"/>
  <c r="L54" i="4"/>
  <c r="E54" i="4"/>
  <c r="D54" i="4"/>
  <c r="C54" i="4"/>
  <c r="O54" i="4" s="1"/>
  <c r="B54" i="4"/>
  <c r="L53" i="4"/>
  <c r="L49" i="4" s="1"/>
  <c r="K53" i="4"/>
  <c r="E53" i="4"/>
  <c r="D53" i="4"/>
  <c r="C53" i="4"/>
  <c r="C49" i="4" s="1"/>
  <c r="B53" i="4"/>
  <c r="L51" i="4"/>
  <c r="K51" i="4"/>
  <c r="E51" i="4"/>
  <c r="E49" i="4" s="1"/>
  <c r="D51" i="4"/>
  <c r="O51" i="4" s="1"/>
  <c r="C51" i="4"/>
  <c r="B51" i="4"/>
  <c r="N49" i="4"/>
  <c r="M49" i="4"/>
  <c r="J49" i="4"/>
  <c r="I49" i="4"/>
  <c r="H49" i="4"/>
  <c r="G49" i="4"/>
  <c r="F49" i="4"/>
  <c r="F68" i="4" s="1"/>
  <c r="D49" i="4"/>
  <c r="O49" i="4" s="1"/>
  <c r="O47" i="4"/>
  <c r="L47" i="4"/>
  <c r="K47" i="4"/>
  <c r="E47" i="4"/>
  <c r="D47" i="4"/>
  <c r="C47" i="4"/>
  <c r="B47" i="4"/>
  <c r="O46" i="4"/>
  <c r="L46" i="4"/>
  <c r="K46" i="4"/>
  <c r="E46" i="4"/>
  <c r="D46" i="4"/>
  <c r="B46" i="4"/>
  <c r="O45" i="4"/>
  <c r="L45" i="4"/>
  <c r="E45" i="4"/>
  <c r="D45" i="4"/>
  <c r="C45" i="4"/>
  <c r="B45" i="4"/>
  <c r="E43" i="4"/>
  <c r="D43" i="4"/>
  <c r="O43" i="4" s="1"/>
  <c r="C43" i="4"/>
  <c r="B43" i="4"/>
  <c r="O42" i="4"/>
  <c r="E42" i="4"/>
  <c r="D42" i="4"/>
  <c r="C42" i="4"/>
  <c r="B42" i="4"/>
  <c r="L41" i="4"/>
  <c r="K41" i="4"/>
  <c r="E41" i="4"/>
  <c r="D41" i="4"/>
  <c r="C41" i="4"/>
  <c r="B41" i="4"/>
  <c r="O40" i="4"/>
  <c r="L40" i="4"/>
  <c r="K40" i="4"/>
  <c r="E40" i="4"/>
  <c r="D40" i="4"/>
  <c r="C40" i="4"/>
  <c r="B40" i="4"/>
  <c r="L39" i="4"/>
  <c r="K39" i="4"/>
  <c r="E39" i="4"/>
  <c r="D39" i="4"/>
  <c r="C39" i="4"/>
  <c r="O39" i="4" s="1"/>
  <c r="B39" i="4"/>
  <c r="L38" i="4"/>
  <c r="K38" i="4"/>
  <c r="D38" i="4"/>
  <c r="L37" i="4"/>
  <c r="E37" i="4"/>
  <c r="D37" i="4"/>
  <c r="C37" i="4"/>
  <c r="O37" i="4" s="1"/>
  <c r="B37" i="4"/>
  <c r="L36" i="4"/>
  <c r="E36" i="4"/>
  <c r="D36" i="4"/>
  <c r="O36" i="4" s="1"/>
  <c r="C36" i="4"/>
  <c r="C35" i="4" s="1"/>
  <c r="B36" i="4"/>
  <c r="N35" i="4"/>
  <c r="M35" i="4"/>
  <c r="K35" i="4"/>
  <c r="J35" i="4"/>
  <c r="I35" i="4"/>
  <c r="H35" i="4"/>
  <c r="G35" i="4"/>
  <c r="F35" i="4"/>
  <c r="L32" i="4"/>
  <c r="K32" i="4"/>
  <c r="K29" i="4" s="1"/>
  <c r="E32" i="4"/>
  <c r="D32" i="4"/>
  <c r="C32" i="4"/>
  <c r="O32" i="4" s="1"/>
  <c r="B32" i="4"/>
  <c r="L31" i="4"/>
  <c r="E31" i="4"/>
  <c r="D31" i="4"/>
  <c r="C31" i="4"/>
  <c r="O31" i="4" s="1"/>
  <c r="B31" i="4"/>
  <c r="L30" i="4"/>
  <c r="L29" i="4" s="1"/>
  <c r="E30" i="4"/>
  <c r="D30" i="4"/>
  <c r="O30" i="4" s="1"/>
  <c r="C30" i="4"/>
  <c r="C29" i="4" s="1"/>
  <c r="B30" i="4"/>
  <c r="N29" i="4"/>
  <c r="M29" i="4"/>
  <c r="J29" i="4"/>
  <c r="I29" i="4"/>
  <c r="H29" i="4"/>
  <c r="G29" i="4"/>
  <c r="F29" i="4"/>
  <c r="D29" i="4"/>
  <c r="L26" i="4"/>
  <c r="E26" i="4"/>
  <c r="E27" i="4" s="1"/>
  <c r="D26" i="4"/>
  <c r="O26" i="4" s="1"/>
  <c r="C26" i="4"/>
  <c r="B26" i="4"/>
  <c r="D25" i="4"/>
  <c r="O24" i="4"/>
  <c r="D24" i="4"/>
  <c r="C24" i="4"/>
  <c r="D23" i="4"/>
  <c r="O23" i="4" s="1"/>
  <c r="C23" i="4"/>
  <c r="B23" i="4"/>
  <c r="O22" i="4"/>
  <c r="D22" i="4"/>
  <c r="B22" i="4"/>
  <c r="O21" i="4"/>
  <c r="D21" i="4"/>
  <c r="C21" i="4"/>
  <c r="D20" i="4"/>
  <c r="O20" i="4" s="1"/>
  <c r="C20" i="4"/>
  <c r="B20" i="4"/>
  <c r="B27" i="4" s="1"/>
  <c r="D19" i="4"/>
  <c r="C19" i="4"/>
  <c r="C27" i="4" s="1"/>
  <c r="B19" i="4"/>
  <c r="O18" i="4"/>
  <c r="D18" i="4"/>
  <c r="D27" i="4" s="1"/>
  <c r="C18" i="4"/>
  <c r="B18" i="4"/>
  <c r="D17" i="4"/>
  <c r="C17" i="4"/>
  <c r="B17" i="4"/>
  <c r="C16" i="4"/>
  <c r="O16" i="4" s="1"/>
  <c r="B16" i="4"/>
  <c r="O15" i="4"/>
  <c r="D15" i="4"/>
  <c r="C15" i="4"/>
  <c r="B15" i="4"/>
  <c r="L14" i="4"/>
  <c r="E14" i="4"/>
  <c r="D14" i="4"/>
  <c r="C14" i="4"/>
  <c r="O14" i="4" s="1"/>
  <c r="B14" i="4"/>
  <c r="O12" i="4"/>
  <c r="L12" i="4"/>
  <c r="L6" i="4" s="1"/>
  <c r="K12" i="4"/>
  <c r="E12" i="4"/>
  <c r="D12" i="4"/>
  <c r="C12" i="4"/>
  <c r="B12" i="4"/>
  <c r="L10" i="4"/>
  <c r="K10" i="4"/>
  <c r="E10" i="4"/>
  <c r="D10" i="4"/>
  <c r="C10" i="4"/>
  <c r="B10" i="4"/>
  <c r="B6" i="4" s="1"/>
  <c r="O9" i="4"/>
  <c r="E9" i="4"/>
  <c r="D9" i="4"/>
  <c r="D6" i="4" s="1"/>
  <c r="C9" i="4"/>
  <c r="B9" i="4"/>
  <c r="E8" i="4"/>
  <c r="E7" i="4"/>
  <c r="N6" i="4"/>
  <c r="N68" i="4" s="1"/>
  <c r="M6" i="4"/>
  <c r="K6" i="4"/>
  <c r="J6" i="4"/>
  <c r="J68" i="4" s="1"/>
  <c r="I6" i="4"/>
  <c r="I68" i="4" s="1"/>
  <c r="H6" i="4"/>
  <c r="G6" i="4"/>
  <c r="G68" i="4" s="1"/>
  <c r="F6" i="4"/>
  <c r="E6" i="4"/>
  <c r="M102" i="3"/>
  <c r="L102" i="3"/>
  <c r="K102" i="3"/>
  <c r="J102" i="3"/>
  <c r="I102" i="3"/>
  <c r="H102" i="3"/>
  <c r="G102" i="3"/>
  <c r="F102" i="3"/>
  <c r="E102" i="3"/>
  <c r="D102" i="3"/>
  <c r="C102" i="3"/>
  <c r="B102" i="3"/>
  <c r="N101" i="3"/>
  <c r="O101" i="3" s="1"/>
  <c r="O100" i="3"/>
  <c r="N100" i="3"/>
  <c r="N99" i="3"/>
  <c r="O99" i="3" s="1"/>
  <c r="N98" i="3"/>
  <c r="O98" i="3" s="1"/>
  <c r="O97" i="3"/>
  <c r="N97" i="3"/>
  <c r="N96" i="3"/>
  <c r="O96" i="3" s="1"/>
  <c r="N95" i="3"/>
  <c r="O95" i="3" s="1"/>
  <c r="O94" i="3"/>
  <c r="N94" i="3"/>
  <c r="N93" i="3"/>
  <c r="O93" i="3" s="1"/>
  <c r="N92" i="3"/>
  <c r="O92" i="3" s="1"/>
  <c r="O91" i="3"/>
  <c r="N91" i="3"/>
  <c r="N90" i="3"/>
  <c r="O90" i="3" s="1"/>
  <c r="N89" i="3"/>
  <c r="O89" i="3" s="1"/>
  <c r="O88" i="3"/>
  <c r="N88" i="3"/>
  <c r="N87" i="3"/>
  <c r="O87" i="3" s="1"/>
  <c r="N86" i="3"/>
  <c r="O86" i="3" s="1"/>
  <c r="O74" i="3"/>
  <c r="N74" i="3"/>
  <c r="M74" i="3"/>
  <c r="L74" i="3"/>
  <c r="K74" i="3"/>
  <c r="J74" i="3"/>
  <c r="I74" i="3"/>
  <c r="H74" i="3"/>
  <c r="E74" i="3"/>
  <c r="O66" i="3"/>
  <c r="L66" i="3"/>
  <c r="K66" i="3"/>
  <c r="E66" i="3"/>
  <c r="D66" i="3"/>
  <c r="B66" i="3"/>
  <c r="L64" i="3"/>
  <c r="E64" i="3"/>
  <c r="D64" i="3"/>
  <c r="O64" i="3" s="1"/>
  <c r="B64" i="3"/>
  <c r="E62" i="3"/>
  <c r="D62" i="3"/>
  <c r="O62" i="3" s="1"/>
  <c r="B62" i="3"/>
  <c r="L61" i="3"/>
  <c r="K61" i="3"/>
  <c r="E61" i="3"/>
  <c r="D61" i="3"/>
  <c r="O61" i="3" s="1"/>
  <c r="B61" i="3"/>
  <c r="L59" i="3"/>
  <c r="K59" i="3"/>
  <c r="E59" i="3"/>
  <c r="D59" i="3"/>
  <c r="B59" i="3"/>
  <c r="N58" i="3"/>
  <c r="M58" i="3"/>
  <c r="K58" i="3"/>
  <c r="I58" i="3"/>
  <c r="H58" i="3"/>
  <c r="E58" i="3"/>
  <c r="O56" i="3"/>
  <c r="O54" i="3"/>
  <c r="L54" i="3"/>
  <c r="E54" i="3"/>
  <c r="D54" i="3"/>
  <c r="B54" i="3"/>
  <c r="L53" i="3"/>
  <c r="E53" i="3"/>
  <c r="D53" i="3"/>
  <c r="O53" i="3" s="1"/>
  <c r="B53" i="3"/>
  <c r="O52" i="3"/>
  <c r="L52" i="3"/>
  <c r="K52" i="3"/>
  <c r="E52" i="3"/>
  <c r="D52" i="3"/>
  <c r="B52" i="3"/>
  <c r="L50" i="3"/>
  <c r="K50" i="3"/>
  <c r="K48" i="3" s="1"/>
  <c r="E50" i="3"/>
  <c r="E48" i="3" s="1"/>
  <c r="D50" i="3"/>
  <c r="B50" i="3"/>
  <c r="N48" i="3"/>
  <c r="M48" i="3"/>
  <c r="J48" i="3"/>
  <c r="I48" i="3"/>
  <c r="H48" i="3"/>
  <c r="G48" i="3"/>
  <c r="F48" i="3"/>
  <c r="C48" i="3"/>
  <c r="B48" i="3"/>
  <c r="L46" i="3"/>
  <c r="K46" i="3"/>
  <c r="E46" i="3"/>
  <c r="D46" i="3"/>
  <c r="O46" i="3" s="1"/>
  <c r="B46" i="3"/>
  <c r="O45" i="3"/>
  <c r="L45" i="3"/>
  <c r="K45" i="3"/>
  <c r="E45" i="3"/>
  <c r="D45" i="3"/>
  <c r="B45" i="3"/>
  <c r="O44" i="3"/>
  <c r="L44" i="3"/>
  <c r="E44" i="3"/>
  <c r="D44" i="3"/>
  <c r="B44" i="3"/>
  <c r="E42" i="3"/>
  <c r="D42" i="3"/>
  <c r="O42" i="3" s="1"/>
  <c r="B42" i="3"/>
  <c r="O41" i="3"/>
  <c r="L41" i="3"/>
  <c r="K41" i="3"/>
  <c r="K35" i="3" s="1"/>
  <c r="E41" i="3"/>
  <c r="D41" i="3"/>
  <c r="B41" i="3"/>
  <c r="L40" i="3"/>
  <c r="K40" i="3"/>
  <c r="E40" i="3"/>
  <c r="D40" i="3"/>
  <c r="O40" i="3" s="1"/>
  <c r="B40" i="3"/>
  <c r="O39" i="3"/>
  <c r="L39" i="3"/>
  <c r="L35" i="3" s="1"/>
  <c r="M68" i="3" s="1"/>
  <c r="E39" i="3"/>
  <c r="D39" i="3"/>
  <c r="B39" i="3"/>
  <c r="L38" i="3"/>
  <c r="K38" i="3"/>
  <c r="E38" i="3"/>
  <c r="D38" i="3"/>
  <c r="O38" i="3" s="1"/>
  <c r="B38" i="3"/>
  <c r="L37" i="3"/>
  <c r="E37" i="3"/>
  <c r="D37" i="3"/>
  <c r="D35" i="3" s="1"/>
  <c r="O35" i="3" s="1"/>
  <c r="B37" i="3"/>
  <c r="O36" i="3"/>
  <c r="L36" i="3"/>
  <c r="E36" i="3"/>
  <c r="D36" i="3"/>
  <c r="B36" i="3"/>
  <c r="N35" i="3"/>
  <c r="M35" i="3"/>
  <c r="J35" i="3"/>
  <c r="I35" i="3"/>
  <c r="H35" i="3"/>
  <c r="G35" i="3"/>
  <c r="F35" i="3"/>
  <c r="C35" i="3"/>
  <c r="C68" i="3" s="1"/>
  <c r="C69" i="3" s="1"/>
  <c r="B35" i="3"/>
  <c r="O32" i="3"/>
  <c r="L32" i="3"/>
  <c r="K32" i="3"/>
  <c r="K29" i="3" s="1"/>
  <c r="E32" i="3"/>
  <c r="E29" i="3" s="1"/>
  <c r="D32" i="3"/>
  <c r="B32" i="3"/>
  <c r="L31" i="3"/>
  <c r="E31" i="3"/>
  <c r="D31" i="3"/>
  <c r="O31" i="3" s="1"/>
  <c r="B31" i="3"/>
  <c r="O30" i="3"/>
  <c r="L30" i="3"/>
  <c r="L29" i="3" s="1"/>
  <c r="E30" i="3"/>
  <c r="D30" i="3"/>
  <c r="B30" i="3"/>
  <c r="N29" i="3"/>
  <c r="M29" i="3"/>
  <c r="J29" i="3"/>
  <c r="J68" i="3" s="1"/>
  <c r="I29" i="3"/>
  <c r="I68" i="3" s="1"/>
  <c r="H29" i="3"/>
  <c r="G29" i="3"/>
  <c r="F29" i="3"/>
  <c r="D29" i="3"/>
  <c r="O29" i="3" s="1"/>
  <c r="C27" i="3"/>
  <c r="L26" i="3"/>
  <c r="E26" i="3"/>
  <c r="E27" i="3" s="1"/>
  <c r="D26" i="3"/>
  <c r="O26" i="3" s="1"/>
  <c r="B26" i="3"/>
  <c r="D25" i="3"/>
  <c r="D24" i="3"/>
  <c r="D23" i="3"/>
  <c r="O23" i="3" s="1"/>
  <c r="B23" i="3"/>
  <c r="D22" i="3"/>
  <c r="O22" i="3" s="1"/>
  <c r="B22" i="3"/>
  <c r="D21" i="3"/>
  <c r="O21" i="3" s="1"/>
  <c r="O20" i="3"/>
  <c r="D20" i="3"/>
  <c r="D27" i="3" s="1"/>
  <c r="B20" i="3"/>
  <c r="O19" i="3"/>
  <c r="D19" i="3"/>
  <c r="B19" i="3"/>
  <c r="O18" i="3"/>
  <c r="D18" i="3"/>
  <c r="B18" i="3"/>
  <c r="B27" i="3" s="1"/>
  <c r="D17" i="3"/>
  <c r="O17" i="3" s="1"/>
  <c r="B17" i="3"/>
  <c r="B16" i="3"/>
  <c r="D15" i="3"/>
  <c r="O15" i="3" s="1"/>
  <c r="B15" i="3"/>
  <c r="O14" i="3"/>
  <c r="L14" i="3"/>
  <c r="E14" i="3"/>
  <c r="D14" i="3"/>
  <c r="B14" i="3"/>
  <c r="O12" i="3"/>
  <c r="L12" i="3"/>
  <c r="L6" i="3" s="1"/>
  <c r="K12" i="3"/>
  <c r="K6" i="3" s="1"/>
  <c r="E12" i="3"/>
  <c r="D12" i="3"/>
  <c r="B12" i="3"/>
  <c r="O10" i="3"/>
  <c r="L10" i="3"/>
  <c r="E10" i="3"/>
  <c r="D10" i="3"/>
  <c r="B10" i="3"/>
  <c r="E9" i="3"/>
  <c r="D9" i="3"/>
  <c r="B9" i="3"/>
  <c r="E8" i="3"/>
  <c r="E6" i="3" s="1"/>
  <c r="E7" i="3"/>
  <c r="N6" i="3"/>
  <c r="N68" i="3" s="1"/>
  <c r="M6" i="3"/>
  <c r="J6" i="3"/>
  <c r="I6" i="3"/>
  <c r="H6" i="3"/>
  <c r="G6" i="3"/>
  <c r="F6" i="3"/>
  <c r="M99" i="2"/>
  <c r="L99" i="2"/>
  <c r="K99" i="2"/>
  <c r="J99" i="2"/>
  <c r="I99" i="2"/>
  <c r="H99" i="2"/>
  <c r="G99" i="2"/>
  <c r="F99" i="2"/>
  <c r="E99" i="2"/>
  <c r="D99" i="2"/>
  <c r="C99" i="2"/>
  <c r="B99" i="2"/>
  <c r="N99" i="2" s="1"/>
  <c r="N98" i="2"/>
  <c r="O98" i="2" s="1"/>
  <c r="O97" i="2"/>
  <c r="N97" i="2"/>
  <c r="N96" i="2"/>
  <c r="O96" i="2" s="1"/>
  <c r="N95" i="2"/>
  <c r="O95" i="2" s="1"/>
  <c r="O94" i="2"/>
  <c r="N94" i="2"/>
  <c r="N93" i="2"/>
  <c r="O93" i="2" s="1"/>
  <c r="N92" i="2"/>
  <c r="O92" i="2" s="1"/>
  <c r="O91" i="2"/>
  <c r="N91" i="2"/>
  <c r="N90" i="2"/>
  <c r="O90" i="2" s="1"/>
  <c r="N89" i="2"/>
  <c r="O89" i="2" s="1"/>
  <c r="O88" i="2"/>
  <c r="N88" i="2"/>
  <c r="N87" i="2"/>
  <c r="O87" i="2" s="1"/>
  <c r="N86" i="2"/>
  <c r="N85" i="2"/>
  <c r="N84" i="2"/>
  <c r="O84" i="2" s="1"/>
  <c r="O83" i="2"/>
  <c r="N83" i="2"/>
  <c r="O85" i="2" s="1"/>
  <c r="O71" i="2"/>
  <c r="N71" i="2"/>
  <c r="M71" i="2"/>
  <c r="L71" i="2"/>
  <c r="K71" i="2"/>
  <c r="J71" i="2"/>
  <c r="I71" i="2"/>
  <c r="H71" i="2"/>
  <c r="G71" i="2"/>
  <c r="F71" i="2"/>
  <c r="E71" i="2"/>
  <c r="P70" i="2"/>
  <c r="P71" i="2" s="1"/>
  <c r="I65" i="2"/>
  <c r="H65" i="2"/>
  <c r="O63" i="2"/>
  <c r="L63" i="2"/>
  <c r="K63" i="2"/>
  <c r="E63" i="2"/>
  <c r="B63" i="2"/>
  <c r="E62" i="2"/>
  <c r="O61" i="2"/>
  <c r="L61" i="2"/>
  <c r="E61" i="2"/>
  <c r="B61" i="2"/>
  <c r="E60" i="2"/>
  <c r="O59" i="2"/>
  <c r="L59" i="2"/>
  <c r="K59" i="2"/>
  <c r="E59" i="2"/>
  <c r="B59" i="2"/>
  <c r="O58" i="2"/>
  <c r="L58" i="2"/>
  <c r="K58" i="2"/>
  <c r="E58" i="2"/>
  <c r="B58" i="2"/>
  <c r="E57" i="2"/>
  <c r="E55" i="2" s="1"/>
  <c r="O56" i="2"/>
  <c r="L56" i="2"/>
  <c r="K56" i="2"/>
  <c r="E56" i="2"/>
  <c r="B56" i="2"/>
  <c r="O55" i="2"/>
  <c r="N55" i="2"/>
  <c r="M55" i="2"/>
  <c r="K55" i="2"/>
  <c r="I55" i="2"/>
  <c r="H55" i="2"/>
  <c r="D55" i="2"/>
  <c r="D53" i="2"/>
  <c r="O53" i="2" s="1"/>
  <c r="O51" i="2"/>
  <c r="L51" i="2"/>
  <c r="E51" i="2"/>
  <c r="D51" i="2"/>
  <c r="B51" i="2"/>
  <c r="O50" i="2"/>
  <c r="L50" i="2"/>
  <c r="E50" i="2"/>
  <c r="D50" i="2"/>
  <c r="B50" i="2"/>
  <c r="L49" i="2"/>
  <c r="L45" i="2" s="1"/>
  <c r="E49" i="2"/>
  <c r="D49" i="2"/>
  <c r="B49" i="2"/>
  <c r="O47" i="2"/>
  <c r="L47" i="2"/>
  <c r="K47" i="2"/>
  <c r="E47" i="2"/>
  <c r="D47" i="2"/>
  <c r="B47" i="2"/>
  <c r="B45" i="2" s="1"/>
  <c r="N45" i="2"/>
  <c r="M45" i="2"/>
  <c r="K45" i="2"/>
  <c r="J45" i="2"/>
  <c r="J65" i="2" s="1"/>
  <c r="I45" i="2"/>
  <c r="H45" i="2"/>
  <c r="G45" i="2"/>
  <c r="F45" i="2"/>
  <c r="O44" i="2"/>
  <c r="L44" i="2"/>
  <c r="E44" i="2"/>
  <c r="B44" i="2"/>
  <c r="O43" i="2"/>
  <c r="K43" i="2"/>
  <c r="E43" i="2"/>
  <c r="B43" i="2"/>
  <c r="O42" i="2"/>
  <c r="L42" i="2"/>
  <c r="E42" i="2"/>
  <c r="B42" i="2"/>
  <c r="O40" i="2"/>
  <c r="E40" i="2"/>
  <c r="B40" i="2"/>
  <c r="O39" i="2"/>
  <c r="L39" i="2"/>
  <c r="E39" i="2"/>
  <c r="B39" i="2"/>
  <c r="B33" i="2" s="1"/>
  <c r="O38" i="2"/>
  <c r="L38" i="2"/>
  <c r="E38" i="2"/>
  <c r="B38" i="2"/>
  <c r="O37" i="2"/>
  <c r="L37" i="2"/>
  <c r="K37" i="2"/>
  <c r="E37" i="2"/>
  <c r="B37" i="2"/>
  <c r="O36" i="2"/>
  <c r="L36" i="2"/>
  <c r="K36" i="2"/>
  <c r="K33" i="2" s="1"/>
  <c r="E36" i="2"/>
  <c r="B36" i="2"/>
  <c r="O35" i="2"/>
  <c r="L35" i="2"/>
  <c r="K35" i="2"/>
  <c r="E35" i="2"/>
  <c r="B35" i="2"/>
  <c r="O34" i="2"/>
  <c r="L34" i="2"/>
  <c r="E34" i="2"/>
  <c r="E33" i="2" s="1"/>
  <c r="B34" i="2"/>
  <c r="O33" i="2"/>
  <c r="N33" i="2"/>
  <c r="M33" i="2"/>
  <c r="J33" i="2"/>
  <c r="I33" i="2"/>
  <c r="H33" i="2"/>
  <c r="G33" i="2"/>
  <c r="F33" i="2"/>
  <c r="D33" i="2"/>
  <c r="O31" i="2"/>
  <c r="L31" i="2"/>
  <c r="K31" i="2"/>
  <c r="E31" i="2"/>
  <c r="C31" i="2"/>
  <c r="B31" i="2"/>
  <c r="L30" i="2"/>
  <c r="E30" i="2"/>
  <c r="E28" i="2" s="1"/>
  <c r="C30" i="2"/>
  <c r="O30" i="2" s="1"/>
  <c r="B30" i="2"/>
  <c r="O29" i="2"/>
  <c r="L29" i="2"/>
  <c r="L28" i="2" s="1"/>
  <c r="K29" i="2"/>
  <c r="K28" i="2" s="1"/>
  <c r="E29" i="2"/>
  <c r="B29" i="2"/>
  <c r="B28" i="2" s="1"/>
  <c r="N28" i="2"/>
  <c r="M28" i="2"/>
  <c r="J28" i="2"/>
  <c r="I28" i="2"/>
  <c r="H28" i="2"/>
  <c r="G28" i="2"/>
  <c r="F28" i="2"/>
  <c r="F65" i="2" s="1"/>
  <c r="D28" i="2"/>
  <c r="C28" i="2"/>
  <c r="C65" i="2" s="1"/>
  <c r="C66" i="2" s="1"/>
  <c r="C26" i="2"/>
  <c r="O25" i="2"/>
  <c r="L25" i="2"/>
  <c r="E25" i="2"/>
  <c r="E26" i="2" s="1"/>
  <c r="B25" i="2"/>
  <c r="D24" i="2"/>
  <c r="D23" i="2"/>
  <c r="B23" i="2"/>
  <c r="D22" i="2"/>
  <c r="B22" i="2"/>
  <c r="D21" i="2"/>
  <c r="D20" i="2"/>
  <c r="B20" i="2"/>
  <c r="D19" i="2"/>
  <c r="B19" i="2"/>
  <c r="B26" i="2" s="1"/>
  <c r="O18" i="2"/>
  <c r="D18" i="2"/>
  <c r="D26" i="2" s="1"/>
  <c r="B18" i="2"/>
  <c r="B17" i="2"/>
  <c r="E16" i="2"/>
  <c r="B16" i="2"/>
  <c r="O15" i="2"/>
  <c r="L15" i="2"/>
  <c r="K15" i="2"/>
  <c r="E15" i="2"/>
  <c r="B15" i="2"/>
  <c r="O14" i="2"/>
  <c r="L14" i="2"/>
  <c r="L6" i="2" s="1"/>
  <c r="K14" i="2"/>
  <c r="K6" i="2" s="1"/>
  <c r="K65" i="2" s="1"/>
  <c r="E14" i="2"/>
  <c r="B14" i="2"/>
  <c r="O12" i="2"/>
  <c r="L12" i="2"/>
  <c r="K12" i="2"/>
  <c r="E12" i="2"/>
  <c r="B12" i="2"/>
  <c r="E11" i="2"/>
  <c r="O10" i="2"/>
  <c r="L10" i="2"/>
  <c r="K10" i="2"/>
  <c r="E10" i="2"/>
  <c r="B10" i="2"/>
  <c r="O9" i="2"/>
  <c r="E9" i="2"/>
  <c r="E6" i="2" s="1"/>
  <c r="B9" i="2"/>
  <c r="E8" i="2"/>
  <c r="E7" i="2"/>
  <c r="O6" i="2"/>
  <c r="N6" i="2"/>
  <c r="N65" i="2" s="1"/>
  <c r="M6" i="2"/>
  <c r="J6" i="2"/>
  <c r="I6" i="2"/>
  <c r="H6" i="2"/>
  <c r="G6" i="2"/>
  <c r="G65" i="2" s="1"/>
  <c r="F6" i="2"/>
  <c r="D6" i="2"/>
  <c r="B6" i="2"/>
  <c r="M101" i="1"/>
  <c r="L101" i="1"/>
  <c r="K101" i="1"/>
  <c r="J101" i="1"/>
  <c r="I101" i="1"/>
  <c r="H101" i="1"/>
  <c r="G101" i="1"/>
  <c r="F101" i="1"/>
  <c r="E101" i="1"/>
  <c r="D101" i="1"/>
  <c r="C101" i="1"/>
  <c r="B101" i="1"/>
  <c r="N101" i="1" s="1"/>
  <c r="N100" i="1"/>
  <c r="N99" i="1"/>
  <c r="O99" i="1" s="1"/>
  <c r="N98" i="1"/>
  <c r="O98" i="1" s="1"/>
  <c r="O97" i="1"/>
  <c r="N97" i="1"/>
  <c r="N96" i="1"/>
  <c r="O96" i="1" s="1"/>
  <c r="N95" i="1"/>
  <c r="O95" i="1" s="1"/>
  <c r="N94" i="1"/>
  <c r="O94" i="1" s="1"/>
  <c r="O93" i="1"/>
  <c r="N93" i="1"/>
  <c r="N92" i="1"/>
  <c r="O92" i="1" s="1"/>
  <c r="O91" i="1"/>
  <c r="N91" i="1"/>
  <c r="N90" i="1"/>
  <c r="O90" i="1" s="1"/>
  <c r="N89" i="1"/>
  <c r="O89" i="1" s="1"/>
  <c r="N88" i="1"/>
  <c r="O88" i="1" s="1"/>
  <c r="N87" i="1"/>
  <c r="O87" i="1" s="1"/>
  <c r="N86" i="1"/>
  <c r="O86" i="1" s="1"/>
  <c r="O85" i="1"/>
  <c r="N85" i="1"/>
  <c r="O72" i="1"/>
  <c r="N72" i="1"/>
  <c r="M72" i="1"/>
  <c r="L72" i="1"/>
  <c r="K72" i="1"/>
  <c r="J72" i="1"/>
  <c r="I72" i="1"/>
  <c r="H72" i="1"/>
  <c r="G72" i="1"/>
  <c r="F72" i="1"/>
  <c r="E72" i="1"/>
  <c r="P71" i="1"/>
  <c r="N66" i="1"/>
  <c r="O64" i="1"/>
  <c r="L64" i="1"/>
  <c r="K64" i="1"/>
  <c r="E64" i="1"/>
  <c r="C64" i="1"/>
  <c r="B64" i="1"/>
  <c r="E63" i="1"/>
  <c r="L62" i="1"/>
  <c r="E62" i="1"/>
  <c r="D62" i="1"/>
  <c r="O62" i="1" s="1"/>
  <c r="C62" i="1"/>
  <c r="B62" i="1"/>
  <c r="E61" i="1"/>
  <c r="L60" i="1"/>
  <c r="L56" i="1" s="1"/>
  <c r="E60" i="1"/>
  <c r="D60" i="1"/>
  <c r="O60" i="1" s="1"/>
  <c r="C60" i="1"/>
  <c r="B60" i="1"/>
  <c r="L59" i="1"/>
  <c r="K59" i="1"/>
  <c r="K56" i="1" s="1"/>
  <c r="E59" i="1"/>
  <c r="D59" i="1"/>
  <c r="O59" i="1" s="1"/>
  <c r="C59" i="1"/>
  <c r="B59" i="1"/>
  <c r="E58" i="1"/>
  <c r="E57" i="1"/>
  <c r="E56" i="1" s="1"/>
  <c r="D57" i="1"/>
  <c r="O57" i="1" s="1"/>
  <c r="C57" i="1"/>
  <c r="B57" i="1"/>
  <c r="N56" i="1"/>
  <c r="M56" i="1"/>
  <c r="I56" i="1"/>
  <c r="H56" i="1"/>
  <c r="D56" i="1"/>
  <c r="C56" i="1"/>
  <c r="B56" i="1"/>
  <c r="E54" i="1"/>
  <c r="O53" i="1"/>
  <c r="O52" i="1"/>
  <c r="L52" i="1"/>
  <c r="E52" i="1"/>
  <c r="D52" i="1"/>
  <c r="C52" i="1"/>
  <c r="B52" i="1"/>
  <c r="L51" i="1"/>
  <c r="E51" i="1"/>
  <c r="D51" i="1"/>
  <c r="O51" i="1" s="1"/>
  <c r="B51" i="1"/>
  <c r="O50" i="1"/>
  <c r="L50" i="1"/>
  <c r="K50" i="1"/>
  <c r="E50" i="1"/>
  <c r="D50" i="1"/>
  <c r="C50" i="1"/>
  <c r="B50" i="1"/>
  <c r="L48" i="1"/>
  <c r="K48" i="1"/>
  <c r="K46" i="1" s="1"/>
  <c r="E48" i="1"/>
  <c r="D48" i="1"/>
  <c r="C48" i="1"/>
  <c r="B48" i="1"/>
  <c r="B46" i="1" s="1"/>
  <c r="N46" i="1"/>
  <c r="M46" i="1"/>
  <c r="J46" i="1"/>
  <c r="I46" i="1"/>
  <c r="H46" i="1"/>
  <c r="G46" i="1"/>
  <c r="F46" i="1"/>
  <c r="E46" i="1"/>
  <c r="D46" i="1"/>
  <c r="O46" i="1" s="1"/>
  <c r="C46" i="1"/>
  <c r="L44" i="1"/>
  <c r="K44" i="1"/>
  <c r="E44" i="1"/>
  <c r="C44" i="1"/>
  <c r="O45" i="1" s="1"/>
  <c r="B44" i="1"/>
  <c r="O43" i="1"/>
  <c r="L43" i="1"/>
  <c r="K43" i="1"/>
  <c r="E43" i="1"/>
  <c r="D43" i="1"/>
  <c r="O44" i="1" s="1"/>
  <c r="C43" i="1"/>
  <c r="B43" i="1"/>
  <c r="L42" i="1"/>
  <c r="E42" i="1"/>
  <c r="D42" i="1"/>
  <c r="C42" i="1"/>
  <c r="B42" i="1"/>
  <c r="O40" i="1"/>
  <c r="E40" i="1"/>
  <c r="D40" i="1"/>
  <c r="O41" i="1" s="1"/>
  <c r="C40" i="1"/>
  <c r="B40" i="1"/>
  <c r="O39" i="1"/>
  <c r="L39" i="1"/>
  <c r="K39" i="1"/>
  <c r="E39" i="1"/>
  <c r="D39" i="1"/>
  <c r="C39" i="1"/>
  <c r="B39" i="1"/>
  <c r="O38" i="1"/>
  <c r="L38" i="1"/>
  <c r="K38" i="1"/>
  <c r="E38" i="1"/>
  <c r="B38" i="1"/>
  <c r="L37" i="1"/>
  <c r="E37" i="1"/>
  <c r="D37" i="1"/>
  <c r="C37" i="1"/>
  <c r="B37" i="1"/>
  <c r="L36" i="1"/>
  <c r="E36" i="1"/>
  <c r="D36" i="1"/>
  <c r="C36" i="1"/>
  <c r="B36" i="1"/>
  <c r="L35" i="1"/>
  <c r="E35" i="1"/>
  <c r="D35" i="1"/>
  <c r="C35" i="1"/>
  <c r="O35" i="1" s="1"/>
  <c r="B35" i="1"/>
  <c r="L34" i="1"/>
  <c r="E34" i="1"/>
  <c r="E33" i="1" s="1"/>
  <c r="D34" i="1"/>
  <c r="O34" i="1" s="1"/>
  <c r="C34" i="1"/>
  <c r="B34" i="1"/>
  <c r="N33" i="1"/>
  <c r="M33" i="1"/>
  <c r="K33" i="1"/>
  <c r="J33" i="1"/>
  <c r="I33" i="1"/>
  <c r="H33" i="1"/>
  <c r="G33" i="1"/>
  <c r="F33" i="1"/>
  <c r="L30" i="1"/>
  <c r="K30" i="1"/>
  <c r="K27" i="1" s="1"/>
  <c r="E30" i="1"/>
  <c r="E27" i="1" s="1"/>
  <c r="D30" i="1"/>
  <c r="D27" i="1" s="1"/>
  <c r="O27" i="1" s="1"/>
  <c r="C30" i="1"/>
  <c r="B30" i="1"/>
  <c r="L29" i="1"/>
  <c r="E29" i="1"/>
  <c r="D29" i="1"/>
  <c r="C29" i="1"/>
  <c r="O29" i="1" s="1"/>
  <c r="B29" i="1"/>
  <c r="L28" i="1"/>
  <c r="L27" i="1" s="1"/>
  <c r="E28" i="1"/>
  <c r="D28" i="1"/>
  <c r="O28" i="1" s="1"/>
  <c r="B28" i="1"/>
  <c r="B27" i="1" s="1"/>
  <c r="N27" i="1"/>
  <c r="M27" i="1"/>
  <c r="J27" i="1"/>
  <c r="I27" i="1"/>
  <c r="H27" i="1"/>
  <c r="G27" i="1"/>
  <c r="F27" i="1"/>
  <c r="F66" i="1" s="1"/>
  <c r="C27" i="1"/>
  <c r="L25" i="1"/>
  <c r="E25" i="1"/>
  <c r="E26" i="1" s="1"/>
  <c r="D25" i="1"/>
  <c r="D26" i="1" s="1"/>
  <c r="C25" i="1"/>
  <c r="C26" i="1" s="1"/>
  <c r="B25" i="1"/>
  <c r="B23" i="1"/>
  <c r="B22" i="1"/>
  <c r="B26" i="1" s="1"/>
  <c r="B20" i="1"/>
  <c r="B19" i="1"/>
  <c r="B18" i="1"/>
  <c r="D17" i="1"/>
  <c r="B17" i="1"/>
  <c r="O16" i="1"/>
  <c r="B16" i="1"/>
  <c r="L15" i="1"/>
  <c r="K15" i="1"/>
  <c r="K6" i="1" s="1"/>
  <c r="K66" i="1" s="1"/>
  <c r="E15" i="1"/>
  <c r="D15" i="1"/>
  <c r="O15" i="1" s="1"/>
  <c r="C15" i="1"/>
  <c r="B15" i="1"/>
  <c r="L14" i="1"/>
  <c r="K14" i="1"/>
  <c r="E14" i="1"/>
  <c r="D14" i="1"/>
  <c r="C14" i="1"/>
  <c r="B14" i="1"/>
  <c r="L12" i="1"/>
  <c r="L6" i="1" s="1"/>
  <c r="E12" i="1"/>
  <c r="D12" i="1"/>
  <c r="O12" i="1" s="1"/>
  <c r="C12" i="1"/>
  <c r="B12" i="1"/>
  <c r="E11" i="1"/>
  <c r="L10" i="1"/>
  <c r="E10" i="1"/>
  <c r="D10" i="1"/>
  <c r="O10" i="1" s="1"/>
  <c r="C10" i="1"/>
  <c r="B10" i="1"/>
  <c r="B6" i="1" s="1"/>
  <c r="E9" i="1"/>
  <c r="D9" i="1"/>
  <c r="D6" i="1" s="1"/>
  <c r="C9" i="1"/>
  <c r="B9" i="1"/>
  <c r="E8" i="1"/>
  <c r="E6" i="1" s="1"/>
  <c r="E7" i="1"/>
  <c r="N6" i="1"/>
  <c r="M6" i="1"/>
  <c r="J6" i="1"/>
  <c r="J66" i="1" s="1"/>
  <c r="I6" i="1"/>
  <c r="I66" i="1" s="1"/>
  <c r="H6" i="1"/>
  <c r="H66" i="1" s="1"/>
  <c r="G6" i="1"/>
  <c r="G66" i="1" s="1"/>
  <c r="F6" i="1"/>
  <c r="L69" i="5" l="1"/>
  <c r="E66" i="1"/>
  <c r="E67" i="1" s="1"/>
  <c r="F75" i="6"/>
  <c r="E71" i="6"/>
  <c r="L66" i="1"/>
  <c r="B33" i="1"/>
  <c r="B66" i="1" s="1"/>
  <c r="B67" i="1" s="1"/>
  <c r="O56" i="1"/>
  <c r="O10" i="4"/>
  <c r="O6" i="8"/>
  <c r="D71" i="8"/>
  <c r="F106" i="9"/>
  <c r="H108" i="11"/>
  <c r="O105" i="11"/>
  <c r="O99" i="11"/>
  <c r="O104" i="11"/>
  <c r="O103" i="11"/>
  <c r="O102" i="11"/>
  <c r="O101" i="11"/>
  <c r="O95" i="12"/>
  <c r="O90" i="12"/>
  <c r="O94" i="12"/>
  <c r="O30" i="1"/>
  <c r="C33" i="1"/>
  <c r="O37" i="1"/>
  <c r="L33" i="2"/>
  <c r="K68" i="3"/>
  <c r="L48" i="3"/>
  <c r="D58" i="3"/>
  <c r="O58" i="3" s="1"/>
  <c r="O64" i="4"/>
  <c r="D58" i="4"/>
  <c r="O58" i="4" s="1"/>
  <c r="O99" i="9"/>
  <c r="O97" i="9"/>
  <c r="O102" i="9"/>
  <c r="K71" i="10"/>
  <c r="B71" i="10"/>
  <c r="O91" i="10"/>
  <c r="I108" i="11"/>
  <c r="O53" i="12"/>
  <c r="O99" i="12"/>
  <c r="O9" i="1"/>
  <c r="O48" i="1"/>
  <c r="K68" i="4"/>
  <c r="B49" i="4"/>
  <c r="L46" i="1"/>
  <c r="B6" i="3"/>
  <c r="B29" i="4"/>
  <c r="B68" i="4" s="1"/>
  <c r="B69" i="4" s="1"/>
  <c r="E71" i="7"/>
  <c r="L71" i="8"/>
  <c r="G71" i="8"/>
  <c r="M71" i="9"/>
  <c r="O103" i="9"/>
  <c r="L71" i="10"/>
  <c r="O92" i="10"/>
  <c r="O34" i="12"/>
  <c r="F107" i="12"/>
  <c r="O96" i="12"/>
  <c r="O100" i="12"/>
  <c r="L70" i="6"/>
  <c r="D33" i="1"/>
  <c r="O14" i="1"/>
  <c r="L55" i="2"/>
  <c r="L65" i="2" s="1"/>
  <c r="O9" i="3"/>
  <c r="D6" i="3"/>
  <c r="O104" i="9"/>
  <c r="O93" i="10"/>
  <c r="O106" i="11"/>
  <c r="O97" i="12"/>
  <c r="O101" i="12"/>
  <c r="O49" i="2"/>
  <c r="D45" i="2"/>
  <c r="O45" i="2" s="1"/>
  <c r="P77" i="9"/>
  <c r="B72" i="9"/>
  <c r="O25" i="1"/>
  <c r="L33" i="1"/>
  <c r="M66" i="1" s="1"/>
  <c r="O100" i="1"/>
  <c r="M65" i="2"/>
  <c r="E45" i="2"/>
  <c r="E65" i="2" s="1"/>
  <c r="E66" i="2" s="1"/>
  <c r="E35" i="3"/>
  <c r="E68" i="3" s="1"/>
  <c r="L58" i="3"/>
  <c r="L68" i="3" s="1"/>
  <c r="K69" i="5"/>
  <c r="D29" i="5"/>
  <c r="O29" i="5" s="1"/>
  <c r="O36" i="5"/>
  <c r="D35" i="5"/>
  <c r="O35" i="5" s="1"/>
  <c r="O60" i="5"/>
  <c r="D59" i="5"/>
  <c r="O59" i="5" s="1"/>
  <c r="D6" i="6"/>
  <c r="B71" i="7"/>
  <c r="O94" i="10"/>
  <c r="O89" i="10"/>
  <c r="L72" i="12"/>
  <c r="O104" i="12"/>
  <c r="O98" i="12"/>
  <c r="O102" i="12"/>
  <c r="E71" i="9"/>
  <c r="F68" i="3"/>
  <c r="O59" i="3"/>
  <c r="N102" i="3"/>
  <c r="E29" i="4"/>
  <c r="E35" i="4"/>
  <c r="K70" i="6"/>
  <c r="G106" i="9"/>
  <c r="O95" i="10"/>
  <c r="B73" i="11"/>
  <c r="B74" i="11" s="1"/>
  <c r="K108" i="11"/>
  <c r="O28" i="12"/>
  <c r="I107" i="12"/>
  <c r="O103" i="12"/>
  <c r="B55" i="2"/>
  <c r="G68" i="3"/>
  <c r="O37" i="3"/>
  <c r="B58" i="3"/>
  <c r="C6" i="4"/>
  <c r="C68" i="4" s="1"/>
  <c r="C69" i="4" s="1"/>
  <c r="O29" i="4"/>
  <c r="L35" i="4"/>
  <c r="M68" i="4" s="1"/>
  <c r="O41" i="4"/>
  <c r="B69" i="5"/>
  <c r="B70" i="5" s="1"/>
  <c r="O103" i="8"/>
  <c r="O97" i="8"/>
  <c r="O102" i="8"/>
  <c r="O101" i="8"/>
  <c r="O100" i="8"/>
  <c r="O99" i="8"/>
  <c r="O96" i="10"/>
  <c r="J108" i="11"/>
  <c r="B72" i="12"/>
  <c r="B73" i="12" s="1"/>
  <c r="J107" i="12"/>
  <c r="O50" i="3"/>
  <c r="D48" i="3"/>
  <c r="O48" i="3" s="1"/>
  <c r="E106" i="9"/>
  <c r="K106" i="10"/>
  <c r="E73" i="11"/>
  <c r="D65" i="2"/>
  <c r="H68" i="3"/>
  <c r="B35" i="4"/>
  <c r="O53" i="4"/>
  <c r="E58" i="4"/>
  <c r="E68" i="4" s="1"/>
  <c r="D6" i="5"/>
  <c r="D28" i="5"/>
  <c r="K71" i="8"/>
  <c r="O98" i="8"/>
  <c r="I106" i="9"/>
  <c r="G106" i="10"/>
  <c r="O102" i="10"/>
  <c r="O97" i="10"/>
  <c r="L73" i="11"/>
  <c r="O94" i="11"/>
  <c r="C72" i="12"/>
  <c r="C73" i="12" s="1"/>
  <c r="K107" i="12"/>
  <c r="O105" i="12"/>
  <c r="F77" i="12"/>
  <c r="E73" i="12"/>
  <c r="O28" i="2"/>
  <c r="O6" i="9"/>
  <c r="J106" i="10"/>
  <c r="P76" i="6"/>
  <c r="B71" i="6"/>
  <c r="B71" i="8"/>
  <c r="B65" i="2"/>
  <c r="B66" i="2" s="1"/>
  <c r="C6" i="1"/>
  <c r="C66" i="1" s="1"/>
  <c r="C67" i="1" s="1"/>
  <c r="O86" i="2"/>
  <c r="B29" i="3"/>
  <c r="H68" i="4"/>
  <c r="O19" i="4"/>
  <c r="L58" i="4"/>
  <c r="L68" i="4" s="1"/>
  <c r="E6" i="5"/>
  <c r="E69" i="5" s="1"/>
  <c r="M71" i="7"/>
  <c r="O91" i="9"/>
  <c r="O96" i="9"/>
  <c r="O90" i="9"/>
  <c r="O95" i="9"/>
  <c r="O89" i="9"/>
  <c r="O94" i="9"/>
  <c r="O93" i="9"/>
  <c r="O103" i="10"/>
  <c r="O98" i="11"/>
  <c r="O92" i="11"/>
  <c r="O91" i="11"/>
  <c r="O95" i="11"/>
  <c r="L107" i="12"/>
  <c r="D35" i="4"/>
  <c r="D6" i="7"/>
  <c r="E9" i="8"/>
  <c r="E6" i="8" s="1"/>
  <c r="E71" i="8" s="1"/>
  <c r="D106" i="8"/>
  <c r="O9" i="9"/>
  <c r="D61" i="9"/>
  <c r="O61" i="9" s="1"/>
  <c r="E44" i="10"/>
  <c r="D6" i="11"/>
  <c r="B107" i="11"/>
  <c r="O38" i="7"/>
  <c r="E106" i="8"/>
  <c r="O18" i="5"/>
  <c r="F106" i="8"/>
  <c r="D30" i="9"/>
  <c r="O30" i="9" s="1"/>
  <c r="O53" i="9"/>
  <c r="E30" i="10"/>
  <c r="E71" i="10" s="1"/>
  <c r="O41" i="12"/>
  <c r="B105" i="10"/>
  <c r="H6" i="11"/>
  <c r="H73" i="11" s="1"/>
  <c r="D34" i="11"/>
  <c r="O34" i="11" s="1"/>
  <c r="D39" i="12"/>
  <c r="O39" i="12" s="1"/>
  <c r="B106" i="12"/>
  <c r="O64" i="8"/>
  <c r="O55" i="10"/>
  <c r="D36" i="6"/>
  <c r="O36" i="6" s="1"/>
  <c r="D60" i="6"/>
  <c r="O60" i="6" s="1"/>
  <c r="I105" i="8"/>
  <c r="I106" i="8" s="1"/>
  <c r="O41" i="9"/>
  <c r="D6" i="10"/>
  <c r="N105" i="9"/>
  <c r="O18" i="7"/>
  <c r="O57" i="11"/>
  <c r="O6" i="12"/>
  <c r="F73" i="3" l="1"/>
  <c r="E69" i="3"/>
  <c r="F73" i="4"/>
  <c r="E69" i="4"/>
  <c r="F76" i="10"/>
  <c r="E72" i="10"/>
  <c r="O6" i="1"/>
  <c r="C106" i="10"/>
  <c r="N105" i="10"/>
  <c r="G78" i="12"/>
  <c r="F78" i="12"/>
  <c r="F76" i="9"/>
  <c r="E72" i="9"/>
  <c r="O6" i="11"/>
  <c r="D73" i="11"/>
  <c r="D71" i="10"/>
  <c r="O6" i="10"/>
  <c r="O33" i="1"/>
  <c r="F76" i="7"/>
  <c r="E72" i="7"/>
  <c r="B72" i="10"/>
  <c r="P77" i="10"/>
  <c r="F76" i="6"/>
  <c r="G76" i="6"/>
  <c r="D69" i="5"/>
  <c r="O6" i="5"/>
  <c r="F76" i="8"/>
  <c r="E72" i="8"/>
  <c r="B68" i="3"/>
  <c r="B69" i="3" s="1"/>
  <c r="D72" i="8"/>
  <c r="O72" i="8" s="1"/>
  <c r="O71" i="8"/>
  <c r="O6" i="7"/>
  <c r="D71" i="7"/>
  <c r="P77" i="8"/>
  <c r="B72" i="8"/>
  <c r="D72" i="12"/>
  <c r="O35" i="4"/>
  <c r="D68" i="4"/>
  <c r="O6" i="4"/>
  <c r="P72" i="1"/>
  <c r="P77" i="7"/>
  <c r="B72" i="7"/>
  <c r="F74" i="5"/>
  <c r="E70" i="5"/>
  <c r="D71" i="9"/>
  <c r="D66" i="2"/>
  <c r="O65" i="2"/>
  <c r="D70" i="6"/>
  <c r="O6" i="6"/>
  <c r="N105" i="8"/>
  <c r="C107" i="12"/>
  <c r="N106" i="12"/>
  <c r="C108" i="11"/>
  <c r="N107" i="11"/>
  <c r="F78" i="11"/>
  <c r="E74" i="11"/>
  <c r="O6" i="3"/>
  <c r="D68" i="3"/>
  <c r="D66" i="1"/>
  <c r="O72" i="12" l="1"/>
  <c r="D73" i="12"/>
  <c r="O73" i="12" s="1"/>
  <c r="G77" i="9"/>
  <c r="F77" i="9"/>
  <c r="D67" i="1"/>
  <c r="O66" i="1"/>
  <c r="D69" i="3"/>
  <c r="O68" i="3"/>
  <c r="P74" i="5"/>
  <c r="P75" i="5" s="1"/>
  <c r="G75" i="5"/>
  <c r="F75" i="5"/>
  <c r="D71" i="6"/>
  <c r="O70" i="6"/>
  <c r="D72" i="9"/>
  <c r="O72" i="9" s="1"/>
  <c r="O71" i="9"/>
  <c r="D72" i="7"/>
  <c r="O71" i="7"/>
  <c r="G79" i="11"/>
  <c r="F79" i="11"/>
  <c r="G77" i="7"/>
  <c r="F77" i="7"/>
  <c r="G77" i="10"/>
  <c r="F77" i="10"/>
  <c r="D72" i="10"/>
  <c r="O72" i="10" s="1"/>
  <c r="O71" i="10"/>
  <c r="D74" i="11"/>
  <c r="O74" i="11" s="1"/>
  <c r="O73" i="11"/>
  <c r="D69" i="4"/>
  <c r="O68" i="4"/>
  <c r="F77" i="8"/>
  <c r="G77" i="8"/>
  <c r="F74" i="4"/>
  <c r="P73" i="4"/>
  <c r="P74" i="4" s="1"/>
  <c r="G74" i="4"/>
  <c r="D70" i="5"/>
  <c r="O69" i="5"/>
  <c r="F74" i="3"/>
  <c r="P73" i="3"/>
  <c r="P74" i="3" s="1"/>
  <c r="G74" i="3"/>
</calcChain>
</file>

<file path=xl/sharedStrings.xml><?xml version="1.0" encoding="utf-8"?>
<sst xmlns="http://schemas.openxmlformats.org/spreadsheetml/2006/main" count="2221" uniqueCount="257">
  <si>
    <t>VPA - SẢN LƯỢNG CONTAINER (TEU) - THÁNG 1 NĂM 2025 / 2024</t>
  </si>
  <si>
    <t>KHU VỰC / Cảng</t>
  </si>
  <si>
    <t>Năm 
2024</t>
  </si>
  <si>
    <t>T1-2024</t>
  </si>
  <si>
    <t>T1-2025</t>
  </si>
  <si>
    <t>THÁNG 1-2025</t>
  </si>
  <si>
    <t>1T
(2025 / 2024)</t>
  </si>
  <si>
    <t>CỘNG</t>
  </si>
  <si>
    <t>Nhập Ngoại</t>
  </si>
  <si>
    <t>Xuất Ngoại</t>
  </si>
  <si>
    <t>Nhập nội</t>
  </si>
  <si>
    <t>Xuất nội</t>
  </si>
  <si>
    <t>Trung chuyển</t>
  </si>
  <si>
    <t>20'</t>
  </si>
  <si>
    <t>Rỗng</t>
  </si>
  <si>
    <t>Lạnh</t>
  </si>
  <si>
    <t>GN qua sà lan</t>
  </si>
  <si>
    <t>MIỀN BẮC</t>
  </si>
  <si>
    <t>Quang Ninh</t>
  </si>
  <si>
    <t>Cái Lân (CICT)</t>
  </si>
  <si>
    <t>Hai Phong (Chùa Vẽ+Tân Vũ)</t>
  </si>
  <si>
    <t xml:space="preserve">HICT (Lạch Huyện, HP) </t>
  </si>
  <si>
    <t>Đoạn Xá</t>
  </si>
  <si>
    <t>Đình vũ</t>
  </si>
  <si>
    <t>Nam Hải Đình Vũ</t>
  </si>
  <si>
    <t xml:space="preserve">Nam Đình Vũ </t>
  </si>
  <si>
    <t>Tân Cảng 128 Hải Phòng</t>
  </si>
  <si>
    <t>Transvina</t>
  </si>
  <si>
    <t xml:space="preserve">VIMC Đình Vũ </t>
  </si>
  <si>
    <t>Vip  Green Port (*)</t>
  </si>
  <si>
    <t xml:space="preserve">Green Port (*) </t>
  </si>
  <si>
    <t>Mipec (*)</t>
  </si>
  <si>
    <t>Hải An (*)</t>
  </si>
  <si>
    <t>TC 189 Hải Phòng (*)</t>
  </si>
  <si>
    <t>Nam Hải Dình Vũ (*)</t>
  </si>
  <si>
    <t>Nam Hải (*)</t>
  </si>
  <si>
    <t>PTSC Đình Vũ</t>
  </si>
  <si>
    <t>MIỀN TRUNG</t>
  </si>
  <si>
    <t>Nghe Tinh</t>
  </si>
  <si>
    <t>Da Nang</t>
  </si>
  <si>
    <t>Quy Nhon</t>
  </si>
  <si>
    <t>Cam Ranh</t>
  </si>
  <si>
    <t>TP HCM</t>
  </si>
  <si>
    <t>Binh Duong</t>
  </si>
  <si>
    <t>Đồng Nai</t>
  </si>
  <si>
    <t>Cảng Sai Gòn</t>
  </si>
  <si>
    <t>Ben Nghe</t>
  </si>
  <si>
    <t xml:space="preserve">Tan Cang - Hiệp Phước </t>
  </si>
  <si>
    <t>Tan Cang - Cat Lai</t>
  </si>
  <si>
    <t>VICT</t>
  </si>
  <si>
    <t>SPCT</t>
  </si>
  <si>
    <t>Lotus</t>
  </si>
  <si>
    <t>Phuoc Long ICD</t>
  </si>
  <si>
    <t>ITC- CORP (*)</t>
  </si>
  <si>
    <t>BR-VT</t>
  </si>
  <si>
    <t>SP-PSA</t>
  </si>
  <si>
    <t>Tân Cảng - TCIT</t>
  </si>
  <si>
    <t xml:space="preserve">Tân Cảng - TCTT (TCOT cũ) </t>
  </si>
  <si>
    <t>CMIT</t>
  </si>
  <si>
    <t xml:space="preserve">SSIT </t>
  </si>
  <si>
    <t xml:space="preserve">SITV </t>
  </si>
  <si>
    <t>GEMALINK (*)</t>
  </si>
  <si>
    <t>ĐỒNG BẰNG SCL</t>
  </si>
  <si>
    <t>Can Tho/ Cái Cui</t>
  </si>
  <si>
    <t>Tân Cảng Cái Cui</t>
  </si>
  <si>
    <t>Tra Noc CT</t>
  </si>
  <si>
    <t xml:space="preserve">An Giang </t>
  </si>
  <si>
    <t>Vinh Long</t>
  </si>
  <si>
    <t>Tan Cang - Sa Dec</t>
  </si>
  <si>
    <t>Tan Cang - Thốt Nốt (*)</t>
  </si>
  <si>
    <t>VIMC- Hậu Giang</t>
  </si>
  <si>
    <t>TỔNG CỘNG</t>
  </si>
  <si>
    <t>Tổng cộng VPA và Cảng khác</t>
  </si>
  <si>
    <t>Ngày 14 tháng 2 năm 2025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</si>
  <si>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</si>
  <si>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</si>
  <si>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</si>
  <si>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</si>
  <si>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</si>
  <si>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</si>
  <si>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</si>
  <si>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</si>
  <si>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</si>
  <si>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</si>
  <si>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</si>
  <si>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</si>
  <si>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Năm 2025</t>
  </si>
  <si>
    <t>Sản lượng hàng tháng</t>
  </si>
  <si>
    <t>% so với tháng trước đó</t>
  </si>
  <si>
    <t>(*) Cảng chưa là thành viên VPA (số liệu được ước tính/tham khảo/cung cấp từ nguồn khác). Riêng số liệu của Gemalink có tính bx sà lan.</t>
  </si>
  <si>
    <t xml:space="preserve">   Kể từ năm 2012, sản lượng thông qua không tính bốc xếp sà lan.</t>
  </si>
  <si>
    <t xml:space="preserve">   Số liệu container trung chuyển, container 20', rỗng, lạnh và GN qua Sà lan không chính xác do nhiều cảng chưa thống kê đầy đủ</t>
  </si>
  <si>
    <t xml:space="preserve">   Những ô để trống: không có số liệu (khác với trường hợp có số liệu = 0)</t>
  </si>
  <si>
    <t>Ban Thư ký VPA chân thành cám ơn các cảng đã cung cấp số liệu chi tiết nêu trên.</t>
  </si>
  <si>
    <t>Kính đề nghị các cảng xem xét và chỉnh sửa, bổ sung và báo ngay dùm cho BTK, nếu có thiếu sót.</t>
  </si>
  <si>
    <t>Dự kiến sẽ cung cấp thường xuyên số liệu cập nhật và chi tiết hơn cho các cảng để tham khảo, sử dụng.</t>
  </si>
  <si>
    <t>HÀNG HÓA (TẤN) NHẬP / XUẤT BẰNG CONTAINER QUA CẢNG NƯỚC SÂU CMTV TP HCM NĂM 2025</t>
  </si>
  <si>
    <t>NX  / BẾN CẢNG</t>
  </si>
  <si>
    <t>Thị phần %</t>
  </si>
  <si>
    <t>NHAP</t>
  </si>
  <si>
    <t>GEMADEPT</t>
  </si>
  <si>
    <t>TCCT</t>
  </si>
  <si>
    <t>TCIT</t>
  </si>
  <si>
    <t>TCTT</t>
  </si>
  <si>
    <t>SSIT</t>
  </si>
  <si>
    <t>KCN LONG SON</t>
  </si>
  <si>
    <t>XUAT</t>
  </si>
  <si>
    <t>CỘNG NHẬP XUẤT</t>
  </si>
  <si>
    <t>VPA - SẢN LƯỢNG CONTAINER (TEU) - THÁNG 2 NĂM 2025 / 2024</t>
  </si>
  <si>
    <t>2T-2024</t>
  </si>
  <si>
    <t>2T-2025</t>
  </si>
  <si>
    <t>THÁNG 2-2025</t>
  </si>
  <si>
    <t>2T
(2025 / 2024)</t>
  </si>
  <si>
    <t>SITV</t>
  </si>
  <si>
    <t>Ngày 14 tháng 3 năm 2025</t>
  </si>
  <si>
    <t>`</t>
  </si>
  <si>
    <t>VPA - SẢN LƯỢNG CONTAINER (TEU) - THÁNG 3 NĂM 2025 / 2024</t>
  </si>
  <si>
    <t>3T 2024</t>
  </si>
  <si>
    <t>3T-2025</t>
  </si>
  <si>
    <t>THÁNG 3-2025</t>
  </si>
  <si>
    <t>3T
(2025 / 2024)</t>
  </si>
  <si>
    <t>Cảng container QT Hateco HP (HHIT)</t>
  </si>
  <si>
    <t>Can Tho Cái Cui</t>
  </si>
  <si>
    <t>VPA - SẢN LƯỢNG CONTAINER (TEU) - THÁNG 4 NĂM 2025 / 2024</t>
  </si>
  <si>
    <t>4T 2024</t>
  </si>
  <si>
    <t>4T-2025</t>
  </si>
  <si>
    <t>THÁNG 4-2025</t>
  </si>
  <si>
    <t>4T
(2025 / 2024)</t>
  </si>
  <si>
    <t>Phước An</t>
  </si>
  <si>
    <t>Ngày 15 tháng 5 năm 2025</t>
  </si>
  <si>
    <t>VPA - SẢN LƯỢNG CONTAINER (TEU) - THÁNG 5 NĂM 2025 / 2024</t>
  </si>
  <si>
    <t>5T 2024</t>
  </si>
  <si>
    <t>5T-2025</t>
  </si>
  <si>
    <t>THÁNG 5-2025</t>
  </si>
  <si>
    <t>5T
(2025 / 2024)</t>
  </si>
  <si>
    <t>Cảng container QT Hai Phong TIL ( HTIT)</t>
  </si>
  <si>
    <t>Ngày 15 tháng 6 năm 2025</t>
  </si>
  <si>
    <t>VPA - SẢN LƯỢNG CONTAINER (TEU) - THÁNG 6 NĂM 2025 / 2024</t>
  </si>
  <si>
    <t>6T 2024</t>
  </si>
  <si>
    <t>6T-2025</t>
  </si>
  <si>
    <t>THÁNG 6-2025</t>
  </si>
  <si>
    <t>6T
(2025 / 2024)</t>
  </si>
  <si>
    <t>PTSC Đình Vũ (*)</t>
  </si>
  <si>
    <t>Ngày 15 tháng 7 năm 2025</t>
  </si>
  <si>
    <t>VPA - SẢN LƯỢNG CONTAINER (TEU) - THÁNG 7 NĂM 2025 / 2024</t>
  </si>
  <si>
    <t>7T2024</t>
  </si>
  <si>
    <t>7T-2025</t>
  </si>
  <si>
    <t>THÁNG 7-2025</t>
  </si>
  <si>
    <t>7T
(2025 / 2024)</t>
  </si>
  <si>
    <t>Cửa Lò</t>
  </si>
  <si>
    <t>Ngày 15 tháng 8 năm 2025</t>
  </si>
  <si>
    <t>VPA - SẢN LƯỢNG CONTAINER (TEU) - THÁNG 8 NĂM 2025 / 2024</t>
  </si>
  <si>
    <t>8T2024</t>
  </si>
  <si>
    <t>8T-2025</t>
  </si>
  <si>
    <t>THÁNG 8-2025</t>
  </si>
  <si>
    <t>8T
(2025 / 2024)</t>
  </si>
  <si>
    <t>Nam Đình Vũ</t>
  </si>
  <si>
    <t>R</t>
  </si>
  <si>
    <t>Đúng</t>
  </si>
  <si>
    <r>
      <rPr>
        <b/>
        <sz val="12"/>
        <color theme="4"/>
        <rFont val="Calibri"/>
        <charset val="134"/>
        <scheme val="minor"/>
      </rPr>
      <t xml:space="preserve">HÀNG HÓA (TẤN) NHẬP / XUẤT BẰNG CONTAINER QUA CẢNG NƯỚC SÂU CMTV TP HCM NĂM 2025 </t>
    </r>
    <r>
      <rPr>
        <sz val="12"/>
        <color theme="1"/>
        <rFont val="Calibri"/>
        <charset val="134"/>
        <scheme val="minor"/>
      </rPr>
      <t>(SỐ LIỆU THAM KHẢO)</t>
    </r>
  </si>
  <si>
    <t>VPA - SẢN LƯỢNG CONTAINER (TEU) - THÁNG 9 NĂM 2025 / 2024</t>
  </si>
  <si>
    <t>9T2024</t>
  </si>
  <si>
    <t>9T-2025</t>
  </si>
  <si>
    <t>THÁNG 9-2025</t>
  </si>
  <si>
    <t>9T
(2025 / 2024)</t>
  </si>
  <si>
    <r>
      <rPr>
        <b/>
        <sz val="12"/>
        <rFont val="Calibri"/>
        <charset val="134"/>
        <scheme val="minor"/>
      </rPr>
      <t xml:space="preserve">HÀNG HÓA (TẤN) NHẬP / XUẤT BẰNG CONTAINER QUA CẢNG NƯỚC SÂU CMTV TP HCM NĂM 2025 </t>
    </r>
    <r>
      <rPr>
        <sz val="12"/>
        <rFont val="Calibri"/>
        <charset val="134"/>
        <scheme val="minor"/>
      </rPr>
      <t>(SỐ LIỆU THAM KHẢO)</t>
    </r>
  </si>
  <si>
    <t>VPA - SẢN LƯỢNG CONTAINER (TEU) - THÁNG 10 NĂM 2025 / 2024</t>
  </si>
  <si>
    <t>10T2024</t>
  </si>
  <si>
    <t>10T-2025</t>
  </si>
  <si>
    <t>THÁNG 10-2025</t>
  </si>
  <si>
    <t>10T
(2025 / 2024)</t>
  </si>
  <si>
    <t>Ngày 15 tháng 10 năm 2025</t>
  </si>
  <si>
    <t>VPA - SẢN LƯỢNG CONTAINER (TEU) - THÁNG 11 NĂM 2025</t>
  </si>
  <si>
    <t>11T2024</t>
  </si>
  <si>
    <t>11T-2025</t>
  </si>
  <si>
    <t>THÁNG 11-2025</t>
  </si>
  <si>
    <t>11T
(2025 / 2024)</t>
  </si>
  <si>
    <t>MIỀN BẮC (VPA)</t>
  </si>
  <si>
    <t>Quảng Ninh</t>
  </si>
  <si>
    <t>Cái Lân (CICT) (*)</t>
  </si>
  <si>
    <t>Hải Phòng (Chùa Vẽ+Tân Vũ)</t>
  </si>
  <si>
    <t>HTIT</t>
  </si>
  <si>
    <t>Đình Vũ</t>
  </si>
  <si>
    <t>Nam Hải Đình Vũ (*)</t>
  </si>
  <si>
    <t>HHIT</t>
  </si>
  <si>
    <t>BẮC TRUNG BỘ (VPA)</t>
  </si>
  <si>
    <t>Nghệ Tĩnh</t>
  </si>
  <si>
    <t>NAM TRUNG BỘ (VPA)</t>
  </si>
  <si>
    <t>Đà Nẵng</t>
  </si>
  <si>
    <t>Quy Nhơn</t>
  </si>
  <si>
    <t>ĐÔNG NAM BỘ (TP.HCM  VÀ ĐỒNG NAI) (VPA)</t>
  </si>
  <si>
    <t>Bình Dương</t>
  </si>
  <si>
    <t>Cảng Sài Gòn</t>
  </si>
  <si>
    <t>Bến Nghé</t>
  </si>
  <si>
    <t xml:space="preserve">Tân Cảng - Hiệp Phước </t>
  </si>
  <si>
    <t>Tân Cảng - Cát Lái</t>
  </si>
  <si>
    <t>Phước Long ICD</t>
  </si>
  <si>
    <t>SP-ITC (*)</t>
  </si>
  <si>
    <t>CÁI MÉP - THỊ VẢI (VPA)</t>
  </si>
  <si>
    <t xml:space="preserve">Tân Cảng - TCTT </t>
  </si>
  <si>
    <t>ĐỒNG BẰNG SCL (VPA)</t>
  </si>
  <si>
    <t>Cần Thơ Cái Cui</t>
  </si>
  <si>
    <t>Tân Cảng Cái Cui (*)</t>
  </si>
  <si>
    <t>Trà Nóc Cần Thơ</t>
  </si>
  <si>
    <t>Vĩnh Long</t>
  </si>
  <si>
    <t>Tân Cảng - Sa Đéc</t>
  </si>
  <si>
    <t>Tân Cảng - Thốt Nốt (*)</t>
  </si>
  <si>
    <t xml:space="preserve">Sản lượng hàng qua các cảng thành viên VPA (container) </t>
  </si>
  <si>
    <t xml:space="preserve">(*) Cảng chưa là thành viên VPA (số liệu được ước tính/tham khảo/cung cấp từ nguồn khác). </t>
  </si>
  <si>
    <t xml:space="preserve">   Số liệu container trung chuyển, container 20', rỗng, lạnh và GN qua Sà lan nhiều cảng chưa thống kê</t>
  </si>
  <si>
    <t>VPA - SẢN LƯỢNG CONTAINER (TEU) - THÁNG 12 NĂM 2025</t>
  </si>
  <si>
    <t>12T2024</t>
  </si>
  <si>
    <t>12T-2025</t>
  </si>
  <si>
    <t>THÁNG 12-2025</t>
  </si>
  <si>
    <t>12T
(2025 / 2024)</t>
  </si>
  <si>
    <t xml:space="preserve">Cam Ranh </t>
  </si>
  <si>
    <t>SẢN LƯỢNG CONTAINER (TEU) - THÁNG 1 NĂM 2026</t>
  </si>
  <si>
    <t>Năm 
2025</t>
  </si>
  <si>
    <t>1T2025</t>
  </si>
  <si>
    <t>1T-2026</t>
  </si>
  <si>
    <t>THÁNG 1-2026</t>
  </si>
  <si>
    <t>1T
(2026 / 2025)</t>
  </si>
  <si>
    <t xml:space="preserve">MIỀN BẮC </t>
  </si>
  <si>
    <t xml:space="preserve">BẮC TRUNG BỘ </t>
  </si>
  <si>
    <t xml:space="preserve">NAM TRUNG BỘ </t>
  </si>
  <si>
    <t xml:space="preserve">ĐÔNG NAM BỘ (TP.HCM  VÀ ĐỒNG NAI) </t>
  </si>
  <si>
    <t xml:space="preserve">CÁI MÉP - THỊ VẢI </t>
  </si>
  <si>
    <t xml:space="preserve">ĐỒNG BẰNG SCL </t>
  </si>
  <si>
    <t>SẢN LƯỢNG CONTAINER (TEU) - THÁNG 2 NĂM 2026</t>
  </si>
  <si>
    <t>2T2025</t>
  </si>
  <si>
    <t>2T-2026</t>
  </si>
  <si>
    <t>THÁNG 2-2026</t>
  </si>
  <si>
    <t>2T
(2026 / 2025)</t>
  </si>
  <si>
    <t xml:space="preserve"> </t>
  </si>
  <si>
    <t>SẢN LƯỢNG CONTAINER (TEU) - THÁNG 3 NĂM 2026</t>
  </si>
  <si>
    <t>3T2025</t>
  </si>
  <si>
    <t>3T-2026</t>
  </si>
  <si>
    <t>THÁNG 3-2026</t>
  </si>
  <si>
    <t>3T
(2026 / 2025)</t>
  </si>
  <si>
    <t>SẢN LƯỢNG CONTAINER (TEU) - THÁNG 4 NĂM 2026</t>
  </si>
  <si>
    <t>4T2025</t>
  </si>
  <si>
    <t>4T-2026</t>
  </si>
  <si>
    <t>THÁNG 4-2026</t>
  </si>
  <si>
    <t>4T
(2026 / 2025)</t>
  </si>
  <si>
    <t>Lào-Việt</t>
  </si>
  <si>
    <t>SẢN LƯỢNG CONTAINER (TEU) - THÁNG 5 NĂM 2026</t>
  </si>
  <si>
    <t>5T2025</t>
  </si>
  <si>
    <t>5T-2026</t>
  </si>
  <si>
    <t>THÁNG 5-2026</t>
  </si>
  <si>
    <t>5T
(2026 / 2025)</t>
  </si>
  <si>
    <t xml:space="preserve">Cái Lân (CICT) </t>
  </si>
  <si>
    <t>SẢN LƯỢNG CONTAINER (TEU) - THÁNG 6 NĂM 2026</t>
  </si>
  <si>
    <t>6T2025</t>
  </si>
  <si>
    <t>6T-2026</t>
  </si>
  <si>
    <t>THÁNG 6-2026</t>
  </si>
  <si>
    <t>6T
(2026 / 2025)</t>
  </si>
  <si>
    <t xml:space="preserve">Sản lượng hàng qua các cảng (container)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</si>
</sst>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0_);[Red]\(0\)"/>
    <numFmt numFmtId="165" formatCode="[&lt;1]\(0%\);0%;0%"/>
    <numFmt numFmtId="166" formatCode="_(* #,##0_);_(* \(#,##0\);_(* &quot;-&quot;??_);_(@_)"/>
    <numFmt numFmtId="167" formatCode="#,##0.0"/>
    <numFmt numFmtId="168" formatCode="_(* #,##0.00000_);_(* \(#,##0.00000\);_(* &quot;-&quot;??_);_(@_)"/>
    <numFmt numFmtId="169" formatCode="#,##0.00000000"/>
    <numFmt numFmtId="170" formatCode="0.0"/>
    <numFmt numFmtId="171" formatCode="#,##0;[Red]#,##0"/>
    <numFmt numFmtId="172" formatCode="_(* #,##0.0000_);_(* \(#,##0.0000\);_(* &quot;-&quot;??_);_(@_)"/>
  </numFmts>
  <fonts count="97">
    <font>
      <sz val="11"/>
      <color theme="1"/>
      <name val="Calibri"/>
      <charset val="134"/>
      <scheme val="minor"/>
    </font>
    <font>
      <b/>
      <sz val="12"/>
      <name val="Arial"/>
      <charset val="134"/>
    </font>
    <font>
      <sz val="11"/>
      <name val="Arial"/>
      <charset val="134"/>
    </font>
    <font>
      <b/>
      <sz val="11"/>
      <name val="Arial"/>
      <charset val="134"/>
    </font>
    <font>
      <sz val="11"/>
      <color theme="1"/>
      <name val="Arial"/>
      <charset val="134"/>
    </font>
    <font>
      <sz val="11"/>
      <color rgb="FF0066CC"/>
      <name val="Arial"/>
      <charset val="134"/>
    </font>
    <font>
      <sz val="11"/>
      <color theme="4" tint="0.79995117038483843"/>
      <name val="Arial"/>
      <charset val="134"/>
    </font>
    <font>
      <i/>
      <sz val="11"/>
      <color rgb="FF0070C0"/>
      <name val="Arial"/>
      <charset val="134"/>
    </font>
    <font>
      <i/>
      <sz val="12"/>
      <color rgb="FF0070C0"/>
      <name val="Arial"/>
      <charset val="134"/>
    </font>
    <font>
      <i/>
      <sz val="12"/>
      <color theme="4"/>
      <name val="Arial"/>
      <charset val="134"/>
    </font>
    <font>
      <b/>
      <i/>
      <sz val="11"/>
      <color rgb="FF0070C0"/>
      <name val="Arial"/>
      <charset val="134"/>
    </font>
    <font>
      <i/>
      <sz val="11"/>
      <color theme="4"/>
      <name val="Arial"/>
      <charset val="134"/>
    </font>
    <font>
      <b/>
      <i/>
      <sz val="11"/>
      <color theme="4"/>
      <name val="Arial"/>
      <charset val="134"/>
    </font>
    <font>
      <i/>
      <sz val="11"/>
      <name val="Arial"/>
      <charset val="134"/>
    </font>
    <font>
      <b/>
      <sz val="11"/>
      <color theme="1"/>
      <name val="Arial"/>
      <charset val="134"/>
    </font>
    <font>
      <i/>
      <sz val="11"/>
      <color rgb="FF0066CC"/>
      <name val="Arial"/>
      <charset val="134"/>
    </font>
    <font>
      <b/>
      <i/>
      <sz val="11"/>
      <name val="Arial"/>
      <charset val="134"/>
    </font>
    <font>
      <b/>
      <i/>
      <sz val="11"/>
      <color rgb="FF1323C1"/>
      <name val="Arial"/>
      <charset val="134"/>
    </font>
    <font>
      <sz val="11"/>
      <color rgb="FF0070C0"/>
      <name val="Arial"/>
      <charset val="134"/>
    </font>
    <font>
      <sz val="11"/>
      <name val="Calibri"/>
      <charset val="134"/>
      <scheme val="minor"/>
    </font>
    <font>
      <b/>
      <sz val="11"/>
      <color theme="4"/>
      <name val="Arial"/>
      <charset val="134"/>
    </font>
    <font>
      <b/>
      <sz val="12"/>
      <name val="Calibri"/>
      <charset val="134"/>
      <scheme val="minor"/>
    </font>
    <font>
      <b/>
      <sz val="11"/>
      <name val="Calibri"/>
      <charset val="134"/>
      <scheme val="minor"/>
    </font>
    <font>
      <i/>
      <sz val="11"/>
      <name val="Calibri"/>
      <charset val="134"/>
      <scheme val="minor"/>
    </font>
    <font>
      <b/>
      <sz val="12"/>
      <color theme="1"/>
      <name val="Arial"/>
      <charset val="134"/>
    </font>
    <font>
      <i/>
      <sz val="11"/>
      <color rgb="FFFF0000"/>
      <name val="Arial"/>
      <charset val="134"/>
    </font>
    <font>
      <sz val="12"/>
      <color theme="1"/>
      <name val="Calibri"/>
      <charset val="134"/>
      <scheme val="minor"/>
    </font>
    <font>
      <sz val="12"/>
      <color theme="1"/>
      <name val="Arial"/>
      <charset val="134"/>
    </font>
    <font>
      <i/>
      <sz val="11"/>
      <color theme="1"/>
      <name val="Arial"/>
      <charset val="134"/>
    </font>
    <font>
      <i/>
      <sz val="12"/>
      <color theme="4"/>
      <name val="Calibri"/>
      <charset val="134"/>
      <scheme val="minor"/>
    </font>
    <font>
      <sz val="11"/>
      <color theme="4"/>
      <name val="Calibri"/>
      <charset val="134"/>
      <scheme val="minor"/>
    </font>
    <font>
      <sz val="11"/>
      <color theme="4"/>
      <name val="Arial"/>
      <charset val="134"/>
    </font>
    <font>
      <i/>
      <sz val="12"/>
      <color theme="1"/>
      <name val="Calibri"/>
      <charset val="134"/>
      <scheme val="minor"/>
    </font>
    <font>
      <b/>
      <i/>
      <sz val="11"/>
      <color theme="1"/>
      <name val="Arial"/>
      <charset val="134"/>
    </font>
    <font>
      <i/>
      <sz val="12"/>
      <color theme="1"/>
      <name val="Arial"/>
      <charset val="134"/>
    </font>
    <font>
      <b/>
      <i/>
      <sz val="12"/>
      <color theme="1"/>
      <name val="Arial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  <scheme val="minor"/>
    </font>
    <font>
      <b/>
      <sz val="11"/>
      <color theme="4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2"/>
      <name val="Arial"/>
      <charset val="134"/>
    </font>
    <font>
      <sz val="11"/>
      <color rgb="FFFF0000"/>
      <name val="Arial"/>
      <charset val="134"/>
    </font>
    <font>
      <sz val="12"/>
      <name val="Calibri"/>
      <charset val="134"/>
      <scheme val="minor"/>
    </font>
    <font>
      <i/>
      <sz val="12"/>
      <color rgb="FF0070C0"/>
      <name val="Calibri"/>
      <charset val="134"/>
      <scheme val="minor"/>
    </font>
    <font>
      <i/>
      <sz val="12"/>
      <name val="Calibri"/>
      <charset val="134"/>
      <scheme val="minor"/>
    </font>
    <font>
      <i/>
      <sz val="12"/>
      <name val="Arial"/>
      <charset val="134"/>
    </font>
    <font>
      <sz val="11"/>
      <name val="Calibri"/>
      <charset val="134"/>
    </font>
    <font>
      <b/>
      <i/>
      <sz val="11"/>
      <name val="Calibri"/>
      <charset val="134"/>
      <scheme val="minor"/>
    </font>
    <font>
      <b/>
      <i/>
      <sz val="12"/>
      <name val="Calibri"/>
      <charset val="134"/>
      <scheme val="minor"/>
    </font>
    <font>
      <b/>
      <sz val="11"/>
      <color rgb="FF0070C0"/>
      <name val="Arial"/>
      <charset val="134"/>
    </font>
    <font>
      <b/>
      <i/>
      <sz val="12"/>
      <color rgb="FF0070C0"/>
      <name val="Calibri"/>
      <charset val="134"/>
      <scheme val="minor"/>
    </font>
    <font>
      <sz val="12"/>
      <color rgb="FF0070C0"/>
      <name val="Arial"/>
      <charset val="134"/>
    </font>
    <font>
      <b/>
      <sz val="12"/>
      <color theme="4"/>
      <name val="Calibri"/>
      <charset val="134"/>
      <scheme val="minor"/>
    </font>
    <font>
      <b/>
      <sz val="11"/>
      <color theme="8"/>
      <name val="Calibri"/>
      <charset val="134"/>
      <scheme val="minor"/>
    </font>
    <font>
      <b/>
      <i/>
      <sz val="11"/>
      <color theme="4"/>
      <name val="Calibri"/>
      <charset val="134"/>
      <scheme val="minor"/>
    </font>
    <font>
      <b/>
      <sz val="11"/>
      <color theme="8" tint="0.79992065187536243"/>
      <name val="Arial"/>
      <charset val="134"/>
    </font>
    <font>
      <sz val="11"/>
      <color theme="8" tint="0.79992065187536243"/>
      <name val="Calibri"/>
      <charset val="134"/>
      <scheme val="minor"/>
    </font>
    <font>
      <sz val="11"/>
      <color theme="8" tint="0.79992065187536243"/>
      <name val="Arial"/>
      <charset val="134"/>
    </font>
    <font>
      <sz val="11"/>
      <color rgb="FF0070C0"/>
      <name val="Calibri"/>
      <charset val="134"/>
      <scheme val="minor"/>
    </font>
    <font>
      <i/>
      <sz val="11"/>
      <color theme="8" tint="-0.249977111117893"/>
      <name val="Arial"/>
      <charset val="134"/>
    </font>
    <font>
      <i/>
      <sz val="12"/>
      <color theme="8" tint="-0.249977111117893"/>
      <name val="Calibri"/>
      <charset val="134"/>
      <scheme val="minor"/>
    </font>
    <font>
      <i/>
      <sz val="12"/>
      <color theme="8" tint="-0.249977111117893"/>
      <name val="Arial"/>
      <charset val="134"/>
    </font>
    <font>
      <b/>
      <i/>
      <sz val="11"/>
      <color rgb="FFFF0000"/>
      <name val="Arial"/>
      <charset val="134"/>
    </font>
    <font>
      <b/>
      <sz val="11"/>
      <color theme="8" tint="-0.249977111117893"/>
      <name val="Arial"/>
      <charset val="134"/>
    </font>
    <font>
      <b/>
      <i/>
      <sz val="11"/>
      <color theme="8" tint="-0.249977111117893"/>
      <name val="Arial"/>
      <charset val="134"/>
    </font>
    <font>
      <sz val="11"/>
      <color theme="8" tint="-0.249977111117893"/>
      <name val="Calibri"/>
      <charset val="134"/>
      <scheme val="minor"/>
    </font>
    <font>
      <sz val="12"/>
      <color rgb="FF0070C0"/>
      <name val="Calibri"/>
      <charset val="134"/>
      <scheme val="minor"/>
    </font>
    <font>
      <b/>
      <sz val="11"/>
      <color rgb="FFFF0000"/>
      <name val="Arial"/>
      <charset val="134"/>
    </font>
    <font>
      <sz val="12"/>
      <color rgb="FFFF0000"/>
      <name val="Arial"/>
      <charset val="134"/>
    </font>
    <font>
      <i/>
      <sz val="12"/>
      <color rgb="FFFF0000"/>
      <name val="Arial"/>
      <charset val="134"/>
    </font>
    <font>
      <b/>
      <sz val="12"/>
      <color rgb="FF0070C0"/>
      <name val="Calibri"/>
      <charset val="134"/>
      <scheme val="minor"/>
    </font>
    <font>
      <b/>
      <sz val="11"/>
      <color theme="8"/>
      <name val="Arial"/>
      <charset val="134"/>
    </font>
    <font>
      <b/>
      <i/>
      <sz val="11"/>
      <color theme="8"/>
      <name val="Arial"/>
      <charset val="134"/>
    </font>
    <font>
      <i/>
      <sz val="11"/>
      <color rgb="FF0070C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i/>
      <sz val="11"/>
      <color theme="4"/>
      <name val="Arial"/>
      <family val="2"/>
    </font>
    <font>
      <i/>
      <sz val="11"/>
      <color rgb="FF0070C0"/>
      <name val="Arial"/>
      <family val="2"/>
    </font>
    <font>
      <i/>
      <sz val="11"/>
      <color theme="8" tint="-0.249977111117893"/>
      <name val="Arial"/>
      <family val="2"/>
    </font>
    <font>
      <sz val="11"/>
      <color rgb="FF00B0F0"/>
      <name val="Arial"/>
      <family val="2"/>
      <charset val="163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11"/>
      <name val="Arial"/>
      <family val="2"/>
    </font>
    <font>
      <b/>
      <i/>
      <sz val="11"/>
      <name val="Arial"/>
      <family val="2"/>
    </font>
    <font>
      <b/>
      <i/>
      <sz val="11"/>
      <color rgb="FF1323C1"/>
      <name val="Arial"/>
      <family val="2"/>
    </font>
    <font>
      <sz val="11"/>
      <color theme="1"/>
      <name val="Arial"/>
      <family val="2"/>
    </font>
    <font>
      <sz val="11"/>
      <color rgb="FF0066CC"/>
      <name val="Arial"/>
      <family val="2"/>
    </font>
    <font>
      <sz val="11"/>
      <color theme="4" tint="0.79989013336588644"/>
      <name val="Arial"/>
      <family val="2"/>
    </font>
    <font>
      <i/>
      <sz val="12"/>
      <color rgb="FF0070C0"/>
      <name val="Arial"/>
      <family val="2"/>
    </font>
    <font>
      <i/>
      <sz val="12"/>
      <color theme="4"/>
      <name val="Arial"/>
      <family val="2"/>
    </font>
    <font>
      <b/>
      <i/>
      <sz val="11"/>
      <color rgb="FF0070C0"/>
      <name val="Arial"/>
      <family val="2"/>
    </font>
    <font>
      <sz val="11"/>
      <color rgb="FF0070C0"/>
      <name val="Arial"/>
      <family val="2"/>
    </font>
    <font>
      <i/>
      <sz val="11"/>
      <color rgb="FF0066CC"/>
      <name val="Arial"/>
      <family val="2"/>
    </font>
    <font>
      <b/>
      <sz val="11"/>
      <name val="Calibri"/>
      <family val="2"/>
      <scheme val="minor"/>
    </font>
    <font>
      <sz val="11"/>
      <color theme="4" tint="0.79989013336588644"/>
      <name val="Arial"/>
      <charset val="134"/>
    </font>
  </fonts>
  <fills count="25">
    <fill>
      <patternFill patternType="none"/>
    </fill>
    <fill>
      <patternFill patternType="gray125"/>
    </fill>
    <fill>
      <patternFill patternType="solid">
        <fgColor theme="7" tint="0.7993408001953185"/>
        <bgColor indexed="64"/>
      </patternFill>
    </fill>
    <fill>
      <patternFill patternType="solid">
        <fgColor theme="8" tint="0.7993408001953185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76805932798245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8" tint="0.79970702230903046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8" tint="0.79979857783745845"/>
        <bgColor indexed="64"/>
      </patternFill>
    </fill>
    <fill>
      <patternFill patternType="solid">
        <fgColor theme="4" tint="0.79985961485641044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43" fontId="74" fillId="0" borderId="0" applyFont="0" applyFill="0" applyBorder="0" applyAlignment="0" applyProtection="0"/>
    <xf numFmtId="9" fontId="74" fillId="0" borderId="0" applyFont="0" applyFill="0" applyBorder="0" applyAlignment="0" applyProtection="0"/>
  </cellStyleXfs>
  <cellXfs count="19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166" fontId="2" fillId="0" borderId="0" xfId="1" applyNumberFormat="1" applyFont="1"/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166" fontId="3" fillId="3" borderId="7" xfId="1" applyNumberFormat="1" applyFont="1" applyFill="1" applyBorder="1" applyAlignment="1">
      <alignment horizontal="center" vertical="center" wrapText="1"/>
    </xf>
    <xf numFmtId="166" fontId="3" fillId="3" borderId="8" xfId="1" applyNumberFormat="1" applyFont="1" applyFill="1" applyBorder="1" applyAlignment="1">
      <alignment horizontal="center" vertical="center" wrapText="1"/>
    </xf>
    <xf numFmtId="166" fontId="3" fillId="0" borderId="9" xfId="1" applyNumberFormat="1" applyFont="1" applyFill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166" fontId="3" fillId="0" borderId="12" xfId="1" applyNumberFormat="1" applyFont="1" applyBorder="1"/>
    <xf numFmtId="166" fontId="3" fillId="0" borderId="13" xfId="1" applyNumberFormat="1" applyFont="1" applyBorder="1"/>
    <xf numFmtId="0" fontId="3" fillId="2" borderId="14" xfId="1" applyNumberFormat="1" applyFont="1" applyFill="1" applyBorder="1" applyAlignment="1">
      <alignment horizontal="left"/>
    </xf>
    <xf numFmtId="3" fontId="3" fillId="4" borderId="11" xfId="0" applyNumberFormat="1" applyFont="1" applyFill="1" applyBorder="1" applyAlignment="1">
      <alignment horizontal="right" vertical="center"/>
    </xf>
    <xf numFmtId="166" fontId="3" fillId="4" borderId="11" xfId="1" applyNumberFormat="1" applyFont="1" applyFill="1" applyBorder="1" applyAlignment="1">
      <alignment horizontal="right" vertical="center"/>
    </xf>
    <xf numFmtId="166" fontId="3" fillId="4" borderId="14" xfId="1" applyNumberFormat="1" applyFont="1" applyFill="1" applyBorder="1" applyAlignment="1">
      <alignment horizontal="right" vertical="center"/>
    </xf>
    <xf numFmtId="166" fontId="3" fillId="4" borderId="15" xfId="1" applyNumberFormat="1" applyFont="1" applyFill="1" applyBorder="1" applyAlignment="1">
      <alignment horizontal="right" vertical="center"/>
    </xf>
    <xf numFmtId="0" fontId="4" fillId="0" borderId="14" xfId="1" applyNumberFormat="1" applyFont="1" applyFill="1" applyBorder="1" applyAlignment="1">
      <alignment horizontal="left"/>
    </xf>
    <xf numFmtId="3" fontId="4" fillId="5" borderId="11" xfId="0" applyNumberFormat="1" applyFont="1" applyFill="1" applyBorder="1" applyAlignment="1">
      <alignment horizontal="right" vertical="top" wrapText="1"/>
    </xf>
    <xf numFmtId="166" fontId="4" fillId="6" borderId="11" xfId="1" applyNumberFormat="1" applyFont="1" applyFill="1" applyBorder="1" applyAlignment="1">
      <alignment horizontal="right" vertical="top" wrapText="1"/>
    </xf>
    <xf numFmtId="166" fontId="4" fillId="6" borderId="16" xfId="1" applyNumberFormat="1" applyFont="1" applyFill="1" applyBorder="1" applyAlignment="1">
      <alignment horizontal="right" vertical="center"/>
    </xf>
    <xf numFmtId="166" fontId="2" fillId="6" borderId="15" xfId="1" applyNumberFormat="1" applyFont="1" applyFill="1" applyBorder="1"/>
    <xf numFmtId="0" fontId="5" fillId="0" borderId="14" xfId="1" applyNumberFormat="1" applyFont="1" applyFill="1" applyBorder="1" applyAlignment="1">
      <alignment horizontal="left"/>
    </xf>
    <xf numFmtId="166" fontId="2" fillId="6" borderId="15" xfId="1" applyNumberFormat="1" applyFont="1" applyFill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vertical="center"/>
    </xf>
    <xf numFmtId="166" fontId="4" fillId="7" borderId="11" xfId="1" applyNumberFormat="1" applyFont="1" applyFill="1" applyBorder="1" applyAlignment="1">
      <alignment vertical="center"/>
    </xf>
    <xf numFmtId="166" fontId="4" fillId="7" borderId="16" xfId="1" applyNumberFormat="1" applyFont="1" applyFill="1" applyBorder="1" applyAlignment="1">
      <alignment horizontal="right" vertical="center"/>
    </xf>
    <xf numFmtId="166" fontId="2" fillId="7" borderId="15" xfId="1" applyNumberFormat="1" applyFont="1" applyFill="1" applyBorder="1" applyAlignment="1">
      <alignment vertical="center"/>
    </xf>
    <xf numFmtId="164" fontId="2" fillId="7" borderId="15" xfId="1" applyNumberFormat="1" applyFont="1" applyFill="1" applyBorder="1" applyAlignment="1">
      <alignment vertical="center"/>
    </xf>
    <xf numFmtId="3" fontId="4" fillId="8" borderId="11" xfId="0" applyNumberFormat="1" applyFont="1" applyFill="1" applyBorder="1" applyAlignment="1">
      <alignment horizontal="right" vertical="top" wrapText="1"/>
    </xf>
    <xf numFmtId="3" fontId="4" fillId="6" borderId="16" xfId="0" applyNumberFormat="1" applyFont="1" applyFill="1" applyBorder="1" applyAlignment="1">
      <alignment horizontal="right" vertical="center"/>
    </xf>
    <xf numFmtId="166" fontId="2" fillId="9" borderId="15" xfId="1" applyNumberFormat="1" applyFont="1" applyFill="1" applyBorder="1"/>
    <xf numFmtId="166" fontId="4" fillId="8" borderId="11" xfId="1" applyNumberFormat="1" applyFont="1" applyFill="1" applyBorder="1" applyAlignment="1">
      <alignment horizontal="right" vertical="top" wrapText="1"/>
    </xf>
    <xf numFmtId="0" fontId="4" fillId="0" borderId="14" xfId="0" applyFont="1" applyBorder="1"/>
    <xf numFmtId="166" fontId="2" fillId="6" borderId="15" xfId="1" applyNumberFormat="1" applyFont="1" applyFill="1" applyBorder="1" applyAlignment="1">
      <alignment horizontal="right"/>
    </xf>
    <xf numFmtId="0" fontId="4" fillId="0" borderId="7" xfId="1" applyNumberFormat="1" applyFont="1" applyFill="1" applyBorder="1" applyAlignment="1">
      <alignment horizontal="left"/>
    </xf>
    <xf numFmtId="166" fontId="4" fillId="5" borderId="8" xfId="1" applyNumberFormat="1" applyFont="1" applyFill="1" applyBorder="1" applyAlignment="1">
      <alignment horizontal="right" vertical="top" wrapText="1"/>
    </xf>
    <xf numFmtId="166" fontId="4" fillId="7" borderId="17" xfId="1" applyNumberFormat="1" applyFont="1" applyFill="1" applyBorder="1" applyAlignment="1">
      <alignment horizontal="right" vertical="top" wrapText="1"/>
    </xf>
    <xf numFmtId="166" fontId="4" fillId="6" borderId="7" xfId="1" applyNumberFormat="1" applyFont="1" applyFill="1" applyBorder="1" applyAlignment="1">
      <alignment horizontal="right" vertical="center"/>
    </xf>
    <xf numFmtId="166" fontId="6" fillId="10" borderId="8" xfId="1" applyNumberFormat="1" applyFont="1" applyFill="1" applyBorder="1"/>
    <xf numFmtId="0" fontId="7" fillId="0" borderId="9" xfId="1" applyNumberFormat="1" applyFont="1" applyFill="1" applyBorder="1" applyAlignment="1">
      <alignment horizontal="left"/>
    </xf>
    <xf numFmtId="166" fontId="7" fillId="5" borderId="10" xfId="1" applyNumberFormat="1" applyFont="1" applyFill="1" applyBorder="1" applyAlignment="1"/>
    <xf numFmtId="166" fontId="8" fillId="10" borderId="10" xfId="1" applyNumberFormat="1" applyFont="1" applyFill="1" applyBorder="1" applyAlignment="1"/>
    <xf numFmtId="166" fontId="9" fillId="10" borderId="18" xfId="1" applyNumberFormat="1" applyFont="1" applyFill="1" applyBorder="1" applyAlignment="1"/>
    <xf numFmtId="166" fontId="2" fillId="5" borderId="13" xfId="1" applyNumberFormat="1" applyFont="1" applyFill="1" applyBorder="1"/>
    <xf numFmtId="0" fontId="7" fillId="0" borderId="14" xfId="1" applyNumberFormat="1" applyFont="1" applyFill="1" applyBorder="1" applyAlignment="1">
      <alignment horizontal="left"/>
    </xf>
    <xf numFmtId="166" fontId="7" fillId="5" borderId="11" xfId="1" applyNumberFormat="1" applyFont="1" applyFill="1" applyBorder="1" applyAlignment="1"/>
    <xf numFmtId="166" fontId="8" fillId="10" borderId="11" xfId="1" applyNumberFormat="1" applyFont="1" applyFill="1" applyBorder="1" applyAlignment="1"/>
    <xf numFmtId="166" fontId="9" fillId="10" borderId="16" xfId="1" applyNumberFormat="1" applyFont="1" applyFill="1" applyBorder="1" applyAlignment="1"/>
    <xf numFmtId="166" fontId="2" fillId="5" borderId="15" xfId="1" applyNumberFormat="1" applyFont="1" applyFill="1" applyBorder="1"/>
    <xf numFmtId="166" fontId="9" fillId="10" borderId="12" xfId="1" applyNumberFormat="1" applyFont="1" applyFill="1" applyBorder="1" applyAlignment="1"/>
    <xf numFmtId="0" fontId="7" fillId="0" borderId="14" xfId="0" applyFont="1" applyBorder="1"/>
    <xf numFmtId="0" fontId="7" fillId="5" borderId="11" xfId="1" applyNumberFormat="1" applyFont="1" applyFill="1" applyBorder="1" applyAlignment="1"/>
    <xf numFmtId="166" fontId="7" fillId="10" borderId="11" xfId="1" applyNumberFormat="1" applyFont="1" applyFill="1" applyBorder="1" applyAlignment="1"/>
    <xf numFmtId="0" fontId="10" fillId="0" borderId="14" xfId="1" applyNumberFormat="1" applyFont="1" applyFill="1" applyBorder="1" applyAlignment="1">
      <alignment horizontal="left"/>
    </xf>
    <xf numFmtId="166" fontId="7" fillId="5" borderId="11" xfId="1" applyNumberFormat="1" applyFont="1" applyFill="1" applyBorder="1" applyAlignment="1">
      <alignment horizontal="right" vertical="top" wrapText="1"/>
    </xf>
    <xf numFmtId="166" fontId="11" fillId="7" borderId="11" xfId="1" applyNumberFormat="1" applyFont="1" applyFill="1" applyBorder="1" applyAlignment="1">
      <alignment horizontal="right" vertical="top" wrapText="1"/>
    </xf>
    <xf numFmtId="3" fontId="7" fillId="6" borderId="16" xfId="0" applyNumberFormat="1" applyFont="1" applyFill="1" applyBorder="1" applyAlignment="1">
      <alignment horizontal="right" vertical="center"/>
    </xf>
    <xf numFmtId="164" fontId="5" fillId="7" borderId="15" xfId="1" applyNumberFormat="1" applyFont="1" applyFill="1" applyBorder="1" applyAlignment="1">
      <alignment vertical="center"/>
    </xf>
    <xf numFmtId="166" fontId="7" fillId="7" borderId="15" xfId="1" applyNumberFormat="1" applyFont="1" applyFill="1" applyBorder="1" applyAlignment="1">
      <alignment horizontal="right" vertical="center"/>
    </xf>
    <xf numFmtId="0" fontId="2" fillId="0" borderId="16" xfId="0" applyFont="1" applyBorder="1"/>
    <xf numFmtId="166" fontId="12" fillId="0" borderId="0" xfId="0" applyNumberFormat="1" applyFont="1"/>
    <xf numFmtId="166" fontId="12" fillId="5" borderId="15" xfId="0" applyNumberFormat="1" applyFont="1" applyFill="1" applyBorder="1"/>
    <xf numFmtId="166" fontId="12" fillId="5" borderId="0" xfId="0" applyNumberFormat="1" applyFont="1" applyFill="1"/>
    <xf numFmtId="166" fontId="12" fillId="5" borderId="19" xfId="0" applyNumberFormat="1" applyFont="1" applyFill="1" applyBorder="1"/>
    <xf numFmtId="166" fontId="13" fillId="7" borderId="15" xfId="1" applyNumberFormat="1" applyFont="1" applyFill="1" applyBorder="1" applyAlignment="1">
      <alignment horizontal="right" vertical="center"/>
    </xf>
    <xf numFmtId="0" fontId="2" fillId="0" borderId="14" xfId="0" applyFont="1" applyBorder="1"/>
    <xf numFmtId="3" fontId="13" fillId="5" borderId="11" xfId="0" applyNumberFormat="1" applyFont="1" applyFill="1" applyBorder="1" applyAlignment="1">
      <alignment horizontal="right" vertical="center"/>
    </xf>
    <xf numFmtId="166" fontId="13" fillId="5" borderId="11" xfId="0" applyNumberFormat="1" applyFont="1" applyFill="1" applyBorder="1"/>
    <xf numFmtId="166" fontId="13" fillId="5" borderId="14" xfId="1" applyNumberFormat="1" applyFont="1" applyFill="1" applyBorder="1" applyAlignment="1">
      <alignment horizontal="right" vertical="center"/>
    </xf>
    <xf numFmtId="0" fontId="14" fillId="2" borderId="14" xfId="1" applyNumberFormat="1" applyFont="1" applyFill="1" applyBorder="1" applyAlignment="1">
      <alignment horizontal="left"/>
    </xf>
    <xf numFmtId="3" fontId="14" fillId="4" borderId="11" xfId="0" applyNumberFormat="1" applyFont="1" applyFill="1" applyBorder="1" applyAlignment="1">
      <alignment horizontal="right" vertical="center"/>
    </xf>
    <xf numFmtId="3" fontId="4" fillId="5" borderId="11" xfId="0" applyNumberFormat="1" applyFont="1" applyFill="1" applyBorder="1" applyAlignment="1">
      <alignment horizontal="right" vertical="center"/>
    </xf>
    <xf numFmtId="166" fontId="4" fillId="7" borderId="11" xfId="1" applyNumberFormat="1" applyFont="1" applyFill="1" applyBorder="1" applyAlignment="1">
      <alignment horizontal="right" vertical="center"/>
    </xf>
    <xf numFmtId="164" fontId="4" fillId="7" borderId="15" xfId="1" applyNumberFormat="1" applyFont="1" applyFill="1" applyBorder="1"/>
    <xf numFmtId="166" fontId="4" fillId="6" borderId="15" xfId="1" applyNumberFormat="1" applyFont="1" applyFill="1" applyBorder="1" applyAlignment="1">
      <alignment horizontal="right" vertical="center"/>
    </xf>
    <xf numFmtId="3" fontId="4" fillId="0" borderId="11" xfId="0" applyNumberFormat="1" applyFont="1" applyBorder="1" applyAlignment="1">
      <alignment horizontal="right" vertical="center"/>
    </xf>
    <xf numFmtId="3" fontId="14" fillId="11" borderId="11" xfId="0" applyNumberFormat="1" applyFont="1" applyFill="1" applyBorder="1" applyAlignment="1">
      <alignment horizontal="right" vertical="center"/>
    </xf>
    <xf numFmtId="0" fontId="4" fillId="0" borderId="14" xfId="0" applyFont="1" applyBorder="1" applyAlignment="1">
      <alignment horizontal="left"/>
    </xf>
    <xf numFmtId="166" fontId="4" fillId="6" borderId="11" xfId="1" applyNumberFormat="1" applyFont="1" applyFill="1" applyBorder="1" applyAlignment="1">
      <alignment horizontal="right" vertical="center"/>
    </xf>
    <xf numFmtId="166" fontId="4" fillId="6" borderId="15" xfId="1" applyNumberFormat="1" applyFont="1" applyFill="1" applyBorder="1"/>
    <xf numFmtId="166" fontId="4" fillId="5" borderId="11" xfId="1" applyNumberFormat="1" applyFont="1" applyFill="1" applyBorder="1" applyAlignment="1">
      <alignment horizontal="right"/>
    </xf>
    <xf numFmtId="166" fontId="4" fillId="6" borderId="11" xfId="1" applyNumberFormat="1" applyFont="1" applyFill="1" applyBorder="1" applyAlignment="1">
      <alignment horizontal="right"/>
    </xf>
    <xf numFmtId="166" fontId="4" fillId="12" borderId="15" xfId="1" applyNumberFormat="1" applyFont="1" applyFill="1" applyBorder="1"/>
    <xf numFmtId="3" fontId="4" fillId="5" borderId="15" xfId="0" applyNumberFormat="1" applyFont="1" applyFill="1" applyBorder="1" applyAlignment="1">
      <alignment horizontal="right" vertical="top" wrapText="1"/>
    </xf>
    <xf numFmtId="0" fontId="2" fillId="0" borderId="14" xfId="0" applyFont="1" applyBorder="1" applyAlignment="1">
      <alignment horizontal="left"/>
    </xf>
    <xf numFmtId="3" fontId="2" fillId="0" borderId="11" xfId="0" applyNumberFormat="1" applyFont="1" applyBorder="1" applyAlignment="1">
      <alignment horizontal="right" vertical="top" wrapText="1"/>
    </xf>
    <xf numFmtId="3" fontId="2" fillId="0" borderId="15" xfId="0" applyNumberFormat="1" applyFont="1" applyBorder="1" applyAlignment="1">
      <alignment horizontal="right" vertical="top" wrapText="1"/>
    </xf>
    <xf numFmtId="166" fontId="2" fillId="0" borderId="11" xfId="1" applyNumberFormat="1" applyFont="1" applyBorder="1" applyAlignment="1">
      <alignment horizontal="right" vertical="top" wrapText="1"/>
    </xf>
    <xf numFmtId="166" fontId="2" fillId="0" borderId="16" xfId="1" applyNumberFormat="1" applyFont="1" applyBorder="1" applyAlignment="1">
      <alignment horizontal="right" vertical="center"/>
    </xf>
    <xf numFmtId="166" fontId="2" fillId="0" borderId="15" xfId="1" applyNumberFormat="1" applyFont="1" applyBorder="1"/>
    <xf numFmtId="0" fontId="3" fillId="2" borderId="14" xfId="1" applyNumberFormat="1" applyFont="1" applyFill="1" applyBorder="1" applyAlignment="1">
      <alignment horizontal="left" wrapText="1"/>
    </xf>
    <xf numFmtId="3" fontId="3" fillId="4" borderId="15" xfId="0" applyNumberFormat="1" applyFont="1" applyFill="1" applyBorder="1" applyAlignment="1">
      <alignment horizontal="right" vertical="center"/>
    </xf>
    <xf numFmtId="3" fontId="4" fillId="6" borderId="11" xfId="0" applyNumberFormat="1" applyFont="1" applyFill="1" applyBorder="1" applyAlignment="1">
      <alignment horizontal="right" vertical="top" wrapText="1"/>
    </xf>
    <xf numFmtId="3" fontId="4" fillId="5" borderId="11" xfId="1" applyNumberFormat="1" applyFont="1" applyFill="1" applyBorder="1" applyAlignment="1">
      <alignment horizontal="right"/>
    </xf>
    <xf numFmtId="3" fontId="4" fillId="5" borderId="11" xfId="1" applyNumberFormat="1" applyFont="1" applyFill="1" applyBorder="1"/>
    <xf numFmtId="166" fontId="4" fillId="6" borderId="11" xfId="1" applyNumberFormat="1" applyFont="1" applyFill="1" applyBorder="1"/>
    <xf numFmtId="166" fontId="2" fillId="7" borderId="15" xfId="1" applyNumberFormat="1" applyFont="1" applyFill="1" applyBorder="1"/>
    <xf numFmtId="166" fontId="2" fillId="6" borderId="20" xfId="1" applyNumberFormat="1" applyFont="1" applyFill="1" applyBorder="1"/>
    <xf numFmtId="3" fontId="4" fillId="6" borderId="11" xfId="1" applyNumberFormat="1" applyFont="1" applyFill="1" applyBorder="1"/>
    <xf numFmtId="3" fontId="2" fillId="6" borderId="15" xfId="0" applyNumberFormat="1" applyFont="1" applyFill="1" applyBorder="1" applyAlignment="1">
      <alignment vertical="center"/>
    </xf>
    <xf numFmtId="3" fontId="4" fillId="6" borderId="11" xfId="0" applyNumberFormat="1" applyFont="1" applyFill="1" applyBorder="1" applyAlignment="1">
      <alignment horizontal="right" vertical="center"/>
    </xf>
    <xf numFmtId="3" fontId="2" fillId="6" borderId="15" xfId="0" applyNumberFormat="1" applyFont="1" applyFill="1" applyBorder="1" applyAlignment="1">
      <alignment horizontal="right" vertical="center"/>
    </xf>
    <xf numFmtId="3" fontId="4" fillId="5" borderId="11" xfId="0" applyNumberFormat="1" applyFont="1" applyFill="1" applyBorder="1"/>
    <xf numFmtId="3" fontId="4" fillId="6" borderId="11" xfId="0" applyNumberFormat="1" applyFont="1" applyFill="1" applyBorder="1"/>
    <xf numFmtId="0" fontId="4" fillId="0" borderId="21" xfId="0" applyFont="1" applyBorder="1" applyAlignment="1">
      <alignment horizontal="left"/>
    </xf>
    <xf numFmtId="3" fontId="4" fillId="5" borderId="17" xfId="0" applyNumberFormat="1" applyFont="1" applyFill="1" applyBorder="1"/>
    <xf numFmtId="166" fontId="4" fillId="6" borderId="17" xfId="1" applyNumberFormat="1" applyFont="1" applyFill="1" applyBorder="1"/>
    <xf numFmtId="166" fontId="2" fillId="6" borderId="8" xfId="1" applyNumberFormat="1" applyFont="1" applyFill="1" applyBorder="1" applyAlignment="1">
      <alignment horizontal="right" vertical="center"/>
    </xf>
    <xf numFmtId="164" fontId="4" fillId="7" borderId="8" xfId="1" applyNumberFormat="1" applyFont="1" applyFill="1" applyBorder="1"/>
    <xf numFmtId="0" fontId="10" fillId="0" borderId="9" xfId="1" applyNumberFormat="1" applyFont="1" applyFill="1" applyBorder="1" applyAlignment="1">
      <alignment horizontal="left"/>
    </xf>
    <xf numFmtId="3" fontId="10" fillId="5" borderId="10" xfId="0" applyNumberFormat="1" applyFont="1" applyFill="1" applyBorder="1" applyAlignment="1">
      <alignment horizontal="right" vertical="center" wrapText="1"/>
    </xf>
    <xf numFmtId="166" fontId="10" fillId="6" borderId="10" xfId="1" applyNumberFormat="1" applyFont="1" applyFill="1" applyBorder="1" applyAlignment="1">
      <alignment horizontal="right" vertical="center" wrapText="1"/>
    </xf>
    <xf numFmtId="3" fontId="10" fillId="6" borderId="12" xfId="0" applyNumberFormat="1" applyFont="1" applyFill="1" applyBorder="1" applyAlignment="1">
      <alignment horizontal="right" vertical="center"/>
    </xf>
    <xf numFmtId="166" fontId="7" fillId="6" borderId="13" xfId="1" applyNumberFormat="1" applyFont="1" applyFill="1" applyBorder="1" applyAlignment="1">
      <alignment horizontal="right" vertical="center"/>
    </xf>
    <xf numFmtId="164" fontId="15" fillId="7" borderId="13" xfId="1" applyNumberFormat="1" applyFont="1" applyFill="1" applyBorder="1"/>
    <xf numFmtId="3" fontId="2" fillId="0" borderId="11" xfId="0" applyNumberFormat="1" applyFont="1" applyBorder="1"/>
    <xf numFmtId="3" fontId="2" fillId="0" borderId="15" xfId="0" applyNumberFormat="1" applyFont="1" applyBorder="1"/>
    <xf numFmtId="166" fontId="13" fillId="0" borderId="16" xfId="1" applyNumberFormat="1" applyFont="1" applyFill="1" applyBorder="1"/>
    <xf numFmtId="166" fontId="13" fillId="0" borderId="15" xfId="1" applyNumberFormat="1" applyFont="1" applyFill="1" applyBorder="1"/>
    <xf numFmtId="166" fontId="3" fillId="4" borderId="16" xfId="1" applyNumberFormat="1" applyFont="1" applyFill="1" applyBorder="1" applyAlignment="1">
      <alignment horizontal="right" vertical="center"/>
    </xf>
    <xf numFmtId="0" fontId="4" fillId="0" borderId="22" xfId="0" applyFont="1" applyBorder="1" applyAlignment="1">
      <alignment horizontal="left" vertical="center"/>
    </xf>
    <xf numFmtId="166" fontId="4" fillId="6" borderId="23" xfId="1" applyNumberFormat="1" applyFont="1" applyFill="1" applyBorder="1" applyAlignment="1">
      <alignment horizontal="center" vertical="center"/>
    </xf>
    <xf numFmtId="166" fontId="2" fillId="6" borderId="24" xfId="1" applyNumberFormat="1" applyFont="1" applyFill="1" applyBorder="1" applyAlignment="1">
      <alignment horizontal="center" vertical="center"/>
    </xf>
    <xf numFmtId="3" fontId="4" fillId="5" borderId="11" xfId="0" applyNumberFormat="1" applyFont="1" applyFill="1" applyBorder="1" applyAlignment="1">
      <alignment horizontal="right"/>
    </xf>
    <xf numFmtId="166" fontId="2" fillId="7" borderId="0" xfId="1" applyNumberFormat="1" applyFont="1" applyFill="1" applyBorder="1"/>
    <xf numFmtId="0" fontId="4" fillId="0" borderId="7" xfId="0" applyFont="1" applyBorder="1"/>
    <xf numFmtId="0" fontId="2" fillId="0" borderId="8" xfId="0" applyFont="1" applyBorder="1"/>
    <xf numFmtId="166" fontId="2" fillId="0" borderId="17" xfId="1" applyNumberFormat="1" applyFont="1" applyBorder="1"/>
    <xf numFmtId="166" fontId="2" fillId="0" borderId="7" xfId="1" applyNumberFormat="1" applyFont="1" applyBorder="1"/>
    <xf numFmtId="166" fontId="2" fillId="0" borderId="8" xfId="1" applyNumberFormat="1" applyFont="1" applyBorder="1"/>
    <xf numFmtId="0" fontId="7" fillId="0" borderId="19" xfId="0" applyFont="1" applyBorder="1"/>
    <xf numFmtId="3" fontId="15" fillId="5" borderId="10" xfId="0" applyNumberFormat="1" applyFont="1" applyFill="1" applyBorder="1" applyAlignment="1">
      <alignment horizontal="right" vertical="center"/>
    </xf>
    <xf numFmtId="166" fontId="15" fillId="6" borderId="10" xfId="1" applyNumberFormat="1" applyFont="1" applyFill="1" applyBorder="1" applyAlignment="1">
      <alignment horizontal="right" vertical="center"/>
    </xf>
    <xf numFmtId="166" fontId="15" fillId="6" borderId="12" xfId="1" applyNumberFormat="1" applyFont="1" applyFill="1" applyBorder="1" applyAlignment="1">
      <alignment horizontal="right" vertical="center"/>
    </xf>
    <xf numFmtId="166" fontId="15" fillId="7" borderId="13" xfId="1" applyNumberFormat="1" applyFont="1" applyFill="1" applyBorder="1"/>
    <xf numFmtId="166" fontId="2" fillId="0" borderId="11" xfId="1" applyNumberFormat="1" applyFont="1" applyBorder="1"/>
    <xf numFmtId="166" fontId="2" fillId="5" borderId="0" xfId="1" applyNumberFormat="1" applyFont="1" applyFill="1" applyBorder="1"/>
    <xf numFmtId="0" fontId="3" fillId="2" borderId="14" xfId="0" applyFont="1" applyFill="1" applyBorder="1"/>
    <xf numFmtId="3" fontId="3" fillId="4" borderId="11" xfId="0" applyNumberFormat="1" applyFont="1" applyFill="1" applyBorder="1"/>
    <xf numFmtId="3" fontId="3" fillId="4" borderId="15" xfId="0" applyNumberFormat="1" applyFont="1" applyFill="1" applyBorder="1"/>
    <xf numFmtId="166" fontId="3" fillId="4" borderId="11" xfId="1" applyNumberFormat="1" applyFont="1" applyFill="1" applyBorder="1"/>
    <xf numFmtId="166" fontId="3" fillId="4" borderId="16" xfId="1" applyNumberFormat="1" applyFont="1" applyFill="1" applyBorder="1"/>
    <xf numFmtId="166" fontId="4" fillId="7" borderId="11" xfId="1" applyNumberFormat="1" applyFont="1" applyFill="1" applyBorder="1"/>
    <xf numFmtId="166" fontId="2" fillId="8" borderId="0" xfId="1" applyNumberFormat="1" applyFont="1" applyFill="1"/>
    <xf numFmtId="0" fontId="5" fillId="0" borderId="14" xfId="0" applyFont="1" applyBorder="1"/>
    <xf numFmtId="166" fontId="4" fillId="7" borderId="11" xfId="1" applyNumberFormat="1" applyFont="1" applyFill="1" applyBorder="1" applyAlignment="1">
      <alignment horizontal="right" vertical="top" wrapText="1"/>
    </xf>
    <xf numFmtId="166" fontId="2" fillId="9" borderId="15" xfId="1" applyNumberFormat="1" applyFont="1" applyFill="1" applyBorder="1" applyAlignment="1">
      <alignment horizontal="right" vertical="top" wrapText="1"/>
    </xf>
    <xf numFmtId="166" fontId="2" fillId="6" borderId="25" xfId="1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3" fontId="2" fillId="0" borderId="0" xfId="0" applyNumberFormat="1" applyFont="1"/>
    <xf numFmtId="0" fontId="3" fillId="13" borderId="27" xfId="0" applyFont="1" applyFill="1" applyBorder="1" applyAlignment="1">
      <alignment horizontal="center" vertical="center" wrapText="1"/>
    </xf>
    <xf numFmtId="0" fontId="1" fillId="0" borderId="0" xfId="0" applyFont="1"/>
    <xf numFmtId="166" fontId="16" fillId="3" borderId="8" xfId="1" applyNumberFormat="1" applyFont="1" applyFill="1" applyBorder="1" applyAlignment="1">
      <alignment horizontal="center" vertical="center" wrapText="1"/>
    </xf>
    <xf numFmtId="166" fontId="3" fillId="14" borderId="8" xfId="1" applyNumberFormat="1" applyFont="1" applyFill="1" applyBorder="1" applyAlignment="1">
      <alignment horizontal="center" vertical="center" wrapText="1"/>
    </xf>
    <xf numFmtId="166" fontId="16" fillId="14" borderId="8" xfId="1" applyNumberFormat="1" applyFont="1" applyFill="1" applyBorder="1" applyAlignment="1">
      <alignment horizontal="center" vertical="center" wrapText="1"/>
    </xf>
    <xf numFmtId="166" fontId="16" fillId="14" borderId="28" xfId="1" applyNumberFormat="1" applyFont="1" applyFill="1" applyBorder="1" applyAlignment="1">
      <alignment horizontal="center" vertical="center" wrapText="1"/>
    </xf>
    <xf numFmtId="0" fontId="3" fillId="13" borderId="29" xfId="0" applyFont="1" applyFill="1" applyBorder="1" applyAlignment="1">
      <alignment horizontal="center" vertical="center" wrapText="1"/>
    </xf>
    <xf numFmtId="166" fontId="16" fillId="0" borderId="13" xfId="1" applyNumberFormat="1" applyFont="1" applyBorder="1"/>
    <xf numFmtId="166" fontId="16" fillId="0" borderId="30" xfId="1" applyNumberFormat="1" applyFont="1" applyBorder="1"/>
    <xf numFmtId="0" fontId="3" fillId="0" borderId="31" xfId="0" applyFont="1" applyBorder="1"/>
    <xf numFmtId="166" fontId="3" fillId="4" borderId="32" xfId="1" applyNumberFormat="1" applyFont="1" applyFill="1" applyBorder="1" applyAlignment="1">
      <alignment horizontal="right" vertical="center"/>
    </xf>
    <xf numFmtId="165" fontId="17" fillId="15" borderId="20" xfId="0" applyNumberFormat="1" applyFont="1" applyFill="1" applyBorder="1"/>
    <xf numFmtId="0" fontId="2" fillId="0" borderId="0" xfId="0" applyFont="1" applyAlignment="1">
      <alignment horizontal="center" vertical="center" wrapText="1"/>
    </xf>
    <xf numFmtId="166" fontId="2" fillId="5" borderId="33" xfId="1" applyNumberFormat="1" applyFont="1" applyFill="1" applyBorder="1"/>
    <xf numFmtId="166" fontId="2" fillId="7" borderId="15" xfId="1" applyNumberFormat="1" applyFont="1" applyFill="1" applyBorder="1" applyAlignment="1">
      <alignment horizontal="right" vertical="center"/>
    </xf>
    <xf numFmtId="166" fontId="2" fillId="5" borderId="15" xfId="1" applyNumberFormat="1" applyFont="1" applyFill="1" applyBorder="1" applyAlignment="1">
      <alignment horizontal="right" vertical="center"/>
    </xf>
    <xf numFmtId="166" fontId="2" fillId="5" borderId="33" xfId="1" applyNumberFormat="1" applyFont="1" applyFill="1" applyBorder="1" applyAlignment="1">
      <alignment horizontal="right" vertical="center"/>
    </xf>
    <xf numFmtId="3" fontId="2" fillId="5" borderId="0" xfId="0" applyNumberFormat="1" applyFont="1" applyFill="1" applyAlignment="1">
      <alignment horizontal="right" vertical="top" wrapText="1"/>
    </xf>
    <xf numFmtId="164" fontId="2" fillId="7" borderId="15" xfId="1" applyNumberFormat="1" applyFont="1" applyFill="1" applyBorder="1"/>
    <xf numFmtId="3" fontId="2" fillId="5" borderId="0" xfId="0" applyNumberFormat="1" applyFont="1" applyFill="1" applyAlignment="1">
      <alignment horizontal="left" vertical="top" wrapText="1"/>
    </xf>
    <xf numFmtId="166" fontId="2" fillId="0" borderId="15" xfId="1" applyNumberFormat="1" applyFont="1" applyBorder="1" applyAlignment="1">
      <alignment vertical="center"/>
    </xf>
    <xf numFmtId="166" fontId="2" fillId="0" borderId="33" xfId="1" applyNumberFormat="1" applyFont="1" applyBorder="1" applyAlignment="1">
      <alignment vertical="center"/>
    </xf>
    <xf numFmtId="164" fontId="2" fillId="5" borderId="15" xfId="1" applyNumberFormat="1" applyFont="1" applyFill="1" applyBorder="1"/>
    <xf numFmtId="166" fontId="2" fillId="5" borderId="15" xfId="1" applyNumberFormat="1" applyFont="1" applyFill="1" applyBorder="1" applyAlignment="1">
      <alignment horizontal="right"/>
    </xf>
    <xf numFmtId="166" fontId="2" fillId="5" borderId="33" xfId="1" applyNumberFormat="1" applyFont="1" applyFill="1" applyBorder="1" applyAlignment="1">
      <alignment horizontal="right"/>
    </xf>
    <xf numFmtId="166" fontId="2" fillId="5" borderId="0" xfId="1" applyNumberFormat="1" applyFont="1" applyFill="1" applyBorder="1" applyAlignment="1">
      <alignment horizontal="right" vertical="top" wrapText="1"/>
    </xf>
    <xf numFmtId="166" fontId="2" fillId="5" borderId="8" xfId="1" applyNumberFormat="1" applyFont="1" applyFill="1" applyBorder="1"/>
    <xf numFmtId="166" fontId="2" fillId="5" borderId="28" xfId="1" applyNumberFormat="1" applyFont="1" applyFill="1" applyBorder="1"/>
    <xf numFmtId="165" fontId="17" fillId="15" borderId="34" xfId="0" applyNumberFormat="1" applyFont="1" applyFill="1" applyBorder="1"/>
    <xf numFmtId="166" fontId="2" fillId="5" borderId="0" xfId="1" applyNumberFormat="1" applyFont="1" applyFill="1" applyBorder="1" applyAlignment="1">
      <alignment horizontal="left" vertical="top" wrapText="1"/>
    </xf>
    <xf numFmtId="166" fontId="2" fillId="5" borderId="30" xfId="1" applyNumberFormat="1" applyFont="1" applyFill="1" applyBorder="1"/>
    <xf numFmtId="165" fontId="17" fillId="15" borderId="31" xfId="0" applyNumberFormat="1" applyFont="1" applyFill="1" applyBorder="1"/>
    <xf numFmtId="3" fontId="13" fillId="0" borderId="0" xfId="0" applyNumberFormat="1" applyFont="1" applyAlignment="1">
      <alignment horizontal="left" vertical="top" wrapText="1"/>
    </xf>
    <xf numFmtId="3" fontId="13" fillId="0" borderId="0" xfId="0" applyNumberFormat="1" applyFont="1" applyAlignment="1">
      <alignment horizontal="right" vertical="top" wrapText="1"/>
    </xf>
    <xf numFmtId="166" fontId="13" fillId="0" borderId="0" xfId="1" applyNumberFormat="1" applyFont="1" applyFill="1" applyBorder="1" applyAlignment="1">
      <alignment horizontal="right" vertical="top" wrapText="1"/>
    </xf>
    <xf numFmtId="166" fontId="7" fillId="5" borderId="15" xfId="1" applyNumberFormat="1" applyFont="1" applyFill="1" applyBorder="1" applyAlignment="1">
      <alignment horizontal="right" vertical="center"/>
    </xf>
    <xf numFmtId="166" fontId="18" fillId="5" borderId="15" xfId="1" applyNumberFormat="1" applyFont="1" applyFill="1" applyBorder="1"/>
    <xf numFmtId="166" fontId="18" fillId="5" borderId="33" xfId="1" applyNumberFormat="1" applyFont="1" applyFill="1" applyBorder="1"/>
    <xf numFmtId="166" fontId="13" fillId="5" borderId="15" xfId="1" applyNumberFormat="1" applyFont="1" applyFill="1" applyBorder="1" applyAlignment="1">
      <alignment horizontal="right" vertical="center"/>
    </xf>
    <xf numFmtId="3" fontId="16" fillId="0" borderId="0" xfId="0" applyNumberFormat="1" applyFont="1" applyAlignment="1">
      <alignment horizontal="right" vertical="top" wrapText="1"/>
    </xf>
    <xf numFmtId="3" fontId="2" fillId="0" borderId="0" xfId="0" applyNumberFormat="1" applyFont="1" applyAlignment="1">
      <alignment horizontal="left" vertical="top" wrapText="1"/>
    </xf>
    <xf numFmtId="166" fontId="2" fillId="5" borderId="24" xfId="1" applyNumberFormat="1" applyFont="1" applyFill="1" applyBorder="1"/>
    <xf numFmtId="166" fontId="2" fillId="5" borderId="35" xfId="1" applyNumberFormat="1" applyFont="1" applyFill="1" applyBorder="1"/>
    <xf numFmtId="166" fontId="3" fillId="4" borderId="33" xfId="1" applyNumberFormat="1" applyFont="1" applyFill="1" applyBorder="1" applyAlignment="1">
      <alignment horizontal="right" vertical="center"/>
    </xf>
    <xf numFmtId="0" fontId="3" fillId="0" borderId="0" xfId="0" applyFont="1"/>
    <xf numFmtId="166" fontId="2" fillId="5" borderId="13" xfId="1" applyNumberFormat="1" applyFont="1" applyFill="1" applyBorder="1" applyAlignment="1">
      <alignment horizontal="right" vertical="center"/>
    </xf>
    <xf numFmtId="3" fontId="2" fillId="5" borderId="15" xfId="1" applyNumberFormat="1" applyFont="1" applyFill="1" applyBorder="1" applyAlignment="1">
      <alignment horizontal="right" vertical="center"/>
    </xf>
    <xf numFmtId="3" fontId="2" fillId="5" borderId="33" xfId="1" applyNumberFormat="1" applyFont="1" applyFill="1" applyBorder="1" applyAlignment="1">
      <alignment horizontal="right" vertical="center"/>
    </xf>
    <xf numFmtId="3" fontId="2" fillId="5" borderId="15" xfId="1" applyNumberFormat="1" applyFont="1" applyFill="1" applyBorder="1" applyAlignment="1">
      <alignment vertical="center"/>
    </xf>
    <xf numFmtId="0" fontId="13" fillId="0" borderId="0" xfId="0" applyFont="1"/>
    <xf numFmtId="166" fontId="2" fillId="5" borderId="15" xfId="1" applyNumberFormat="1" applyFont="1" applyFill="1" applyBorder="1" applyAlignment="1">
      <alignment vertical="center"/>
    </xf>
    <xf numFmtId="166" fontId="2" fillId="0" borderId="8" xfId="1" applyNumberFormat="1" applyFont="1" applyFill="1" applyBorder="1"/>
    <xf numFmtId="166" fontId="2" fillId="5" borderId="8" xfId="1" applyNumberFormat="1" applyFont="1" applyFill="1" applyBorder="1" applyAlignment="1">
      <alignment horizontal="right" vertical="center"/>
    </xf>
    <xf numFmtId="164" fontId="2" fillId="5" borderId="8" xfId="1" applyNumberFormat="1" applyFont="1" applyFill="1" applyBorder="1"/>
    <xf numFmtId="166" fontId="2" fillId="5" borderId="28" xfId="1" applyNumberFormat="1" applyFont="1" applyFill="1" applyBorder="1" applyAlignment="1">
      <alignment horizontal="right" vertical="center"/>
    </xf>
    <xf numFmtId="166" fontId="15" fillId="6" borderId="13" xfId="1" applyNumberFormat="1" applyFont="1" applyFill="1" applyBorder="1" applyAlignment="1">
      <alignment horizontal="right" vertical="center"/>
    </xf>
    <xf numFmtId="166" fontId="15" fillId="5" borderId="13" xfId="1" applyNumberFormat="1" applyFont="1" applyFill="1" applyBorder="1" applyAlignment="1">
      <alignment vertical="center"/>
    </xf>
    <xf numFmtId="164" fontId="15" fillId="0" borderId="13" xfId="1" applyNumberFormat="1" applyFont="1" applyFill="1" applyBorder="1"/>
    <xf numFmtId="166" fontId="15" fillId="5" borderId="30" xfId="1" applyNumberFormat="1" applyFont="1" applyFill="1" applyBorder="1"/>
    <xf numFmtId="166" fontId="13" fillId="5" borderId="15" xfId="1" applyNumberFormat="1" applyFont="1" applyFill="1" applyBorder="1"/>
    <xf numFmtId="166" fontId="13" fillId="5" borderId="33" xfId="1" applyNumberFormat="1" applyFont="1" applyFill="1" applyBorder="1"/>
    <xf numFmtId="9" fontId="13" fillId="5" borderId="0" xfId="0" applyNumberFormat="1" applyFont="1" applyFill="1"/>
    <xf numFmtId="166" fontId="2" fillId="5" borderId="15" xfId="1" applyNumberFormat="1" applyFont="1" applyFill="1" applyBorder="1" applyAlignment="1">
      <alignment horizontal="center"/>
    </xf>
    <xf numFmtId="166" fontId="2" fillId="5" borderId="33" xfId="1" applyNumberFormat="1" applyFont="1" applyFill="1" applyBorder="1" applyAlignment="1">
      <alignment horizontal="center"/>
    </xf>
    <xf numFmtId="3" fontId="2" fillId="0" borderId="0" xfId="0" applyNumberFormat="1" applyFont="1" applyAlignment="1">
      <alignment horizontal="left" vertical="center"/>
    </xf>
    <xf numFmtId="166" fontId="13" fillId="0" borderId="0" xfId="1" applyNumberFormat="1" applyFont="1"/>
    <xf numFmtId="166" fontId="15" fillId="5" borderId="13" xfId="1" applyNumberFormat="1" applyFont="1" applyFill="1" applyBorder="1" applyAlignment="1">
      <alignment horizontal="right" vertical="center"/>
    </xf>
    <xf numFmtId="166" fontId="15" fillId="5" borderId="30" xfId="1" applyNumberFormat="1" applyFont="1" applyFill="1" applyBorder="1" applyAlignment="1">
      <alignment horizontal="right" vertical="center"/>
    </xf>
    <xf numFmtId="3" fontId="19" fillId="0" borderId="0" xfId="0" applyNumberFormat="1" applyFont="1" applyAlignment="1">
      <alignment vertical="center"/>
    </xf>
    <xf numFmtId="3" fontId="2" fillId="0" borderId="0" xfId="0" applyNumberFormat="1" applyFont="1" applyAlignment="1">
      <alignment horizontal="right" vertical="top" wrapText="1"/>
    </xf>
    <xf numFmtId="166" fontId="2" fillId="0" borderId="0" xfId="1" applyNumberFormat="1" applyFont="1" applyFill="1" applyBorder="1" applyAlignment="1">
      <alignment horizontal="right" vertical="top" wrapText="1"/>
    </xf>
    <xf numFmtId="168" fontId="2" fillId="0" borderId="0" xfId="1" applyNumberFormat="1" applyFont="1"/>
    <xf numFmtId="166" fontId="3" fillId="0" borderId="0" xfId="1" applyNumberFormat="1" applyFont="1"/>
    <xf numFmtId="0" fontId="4" fillId="0" borderId="22" xfId="0" applyFont="1" applyBorder="1"/>
    <xf numFmtId="166" fontId="2" fillId="9" borderId="15" xfId="1" applyNumberFormat="1" applyFont="1" applyFill="1" applyBorder="1" applyAlignment="1">
      <alignment horizontal="right" vertical="center"/>
    </xf>
    <xf numFmtId="166" fontId="4" fillId="9" borderId="11" xfId="1" applyNumberFormat="1" applyFont="1" applyFill="1" applyBorder="1" applyAlignment="1">
      <alignment horizontal="right" vertical="top" wrapText="1"/>
    </xf>
    <xf numFmtId="166" fontId="2" fillId="6" borderId="25" xfId="1" applyNumberFormat="1" applyFont="1" applyFill="1" applyBorder="1"/>
    <xf numFmtId="3" fontId="4" fillId="7" borderId="11" xfId="0" applyNumberFormat="1" applyFont="1" applyFill="1" applyBorder="1"/>
    <xf numFmtId="0" fontId="2" fillId="5" borderId="19" xfId="0" applyFont="1" applyFill="1" applyBorder="1" applyAlignment="1">
      <alignment horizontal="left" vertical="center"/>
    </xf>
    <xf numFmtId="169" fontId="2" fillId="0" borderId="24" xfId="0" applyNumberFormat="1" applyFont="1" applyBorder="1"/>
    <xf numFmtId="166" fontId="2" fillId="0" borderId="23" xfId="1" applyNumberFormat="1" applyFont="1" applyBorder="1"/>
    <xf numFmtId="166" fontId="2" fillId="0" borderId="24" xfId="1" applyNumberFormat="1" applyFont="1" applyBorder="1"/>
    <xf numFmtId="0" fontId="3" fillId="2" borderId="36" xfId="0" applyFont="1" applyFill="1" applyBorder="1" applyAlignment="1">
      <alignment horizontal="left" vertical="center"/>
    </xf>
    <xf numFmtId="3" fontId="3" fillId="4" borderId="37" xfId="0" applyNumberFormat="1" applyFont="1" applyFill="1" applyBorder="1" applyAlignment="1">
      <alignment horizontal="right" vertical="center"/>
    </xf>
    <xf numFmtId="0" fontId="20" fillId="0" borderId="13" xfId="0" applyFont="1" applyBorder="1" applyAlignment="1">
      <alignment vertical="center"/>
    </xf>
    <xf numFmtId="3" fontId="12" fillId="0" borderId="13" xfId="0" applyNumberFormat="1" applyFont="1" applyBorder="1" applyAlignment="1">
      <alignment horizontal="right" vertical="center"/>
    </xf>
    <xf numFmtId="166" fontId="12" fillId="0" borderId="13" xfId="1" applyNumberFormat="1" applyFont="1" applyBorder="1" applyAlignment="1">
      <alignment horizontal="right" vertical="center"/>
    </xf>
    <xf numFmtId="166" fontId="3" fillId="0" borderId="0" xfId="1" applyNumberFormat="1" applyFont="1" applyAlignment="1">
      <alignment vertical="center"/>
    </xf>
    <xf numFmtId="3" fontId="13" fillId="0" borderId="0" xfId="0" applyNumberFormat="1" applyFont="1" applyAlignment="1">
      <alignment horizontal="right"/>
    </xf>
    <xf numFmtId="166" fontId="13" fillId="0" borderId="0" xfId="1" applyNumberFormat="1" applyFont="1" applyAlignment="1">
      <alignment horizontal="right"/>
    </xf>
    <xf numFmtId="0" fontId="2" fillId="0" borderId="0" xfId="0" applyFont="1" applyAlignment="1">
      <alignment horizontal="center" wrapText="1"/>
    </xf>
    <xf numFmtId="0" fontId="2" fillId="7" borderId="15" xfId="0" applyFont="1" applyFill="1" applyBorder="1" applyAlignment="1">
      <alignment horizontal="center" vertical="center"/>
    </xf>
    <xf numFmtId="166" fontId="2" fillId="3" borderId="15" xfId="1" applyNumberFormat="1" applyFont="1" applyFill="1" applyBorder="1" applyAlignment="1">
      <alignment horizontal="center" vertical="center"/>
    </xf>
    <xf numFmtId="3" fontId="2" fillId="16" borderId="11" xfId="0" applyNumberFormat="1" applyFont="1" applyFill="1" applyBorder="1" applyAlignment="1">
      <alignment vertical="center"/>
    </xf>
    <xf numFmtId="3" fontId="2" fillId="16" borderId="15" xfId="0" applyNumberFormat="1" applyFont="1" applyFill="1" applyBorder="1" applyAlignment="1">
      <alignment vertical="center"/>
    </xf>
    <xf numFmtId="166" fontId="2" fillId="0" borderId="15" xfId="1" applyNumberFormat="1" applyFont="1" applyBorder="1" applyAlignment="1">
      <alignment horizontal="right" vertical="center"/>
    </xf>
    <xf numFmtId="3" fontId="13" fillId="16" borderId="11" xfId="0" applyNumberFormat="1" applyFont="1" applyFill="1" applyBorder="1" applyAlignment="1">
      <alignment vertical="center"/>
    </xf>
    <xf numFmtId="166" fontId="13" fillId="17" borderId="15" xfId="1" applyNumberFormat="1" applyFont="1" applyFill="1" applyBorder="1" applyAlignment="1">
      <alignment horizontal="right" vertical="center"/>
    </xf>
    <xf numFmtId="3" fontId="2" fillId="16" borderId="0" xfId="0" applyNumberFormat="1" applyFont="1" applyFill="1" applyAlignment="1">
      <alignment horizontal="right" vertical="center"/>
    </xf>
    <xf numFmtId="166" fontId="2" fillId="0" borderId="0" xfId="1" applyNumberFormat="1" applyFont="1" applyAlignment="1">
      <alignment horizontal="right" vertical="center"/>
    </xf>
    <xf numFmtId="166" fontId="2" fillId="16" borderId="0" xfId="1" applyNumberFormat="1" applyFont="1" applyFill="1" applyAlignment="1">
      <alignment horizontal="right" vertical="center"/>
    </xf>
    <xf numFmtId="0" fontId="21" fillId="7" borderId="15" xfId="0" applyFont="1" applyFill="1" applyBorder="1" applyAlignment="1">
      <alignment horizontal="center" vertical="center"/>
    </xf>
    <xf numFmtId="0" fontId="19" fillId="7" borderId="15" xfId="0" applyFont="1" applyFill="1" applyBorder="1" applyAlignment="1">
      <alignment vertical="center"/>
    </xf>
    <xf numFmtId="0" fontId="19" fillId="7" borderId="15" xfId="0" applyFont="1" applyFill="1" applyBorder="1" applyAlignment="1">
      <alignment horizontal="center" vertical="center"/>
    </xf>
    <xf numFmtId="0" fontId="19" fillId="15" borderId="15" xfId="0" applyFont="1" applyFill="1" applyBorder="1" applyAlignment="1">
      <alignment vertical="center"/>
    </xf>
    <xf numFmtId="166" fontId="19" fillId="15" borderId="15" xfId="1" applyNumberFormat="1" applyFont="1" applyFill="1" applyBorder="1" applyAlignment="1">
      <alignment vertical="center"/>
    </xf>
    <xf numFmtId="0" fontId="19" fillId="0" borderId="15" xfId="0" applyFont="1" applyBorder="1"/>
    <xf numFmtId="166" fontId="19" fillId="0" borderId="15" xfId="1" applyNumberFormat="1" applyFont="1" applyBorder="1"/>
    <xf numFmtId="166" fontId="19" fillId="15" borderId="15" xfId="0" applyNumberFormat="1" applyFont="1" applyFill="1" applyBorder="1" applyAlignment="1">
      <alignment vertical="center"/>
    </xf>
    <xf numFmtId="9" fontId="19" fillId="0" borderId="0" xfId="2" applyFont="1"/>
    <xf numFmtId="0" fontId="22" fillId="0" borderId="0" xfId="0" applyFont="1"/>
    <xf numFmtId="166" fontId="22" fillId="0" borderId="0" xfId="1" applyNumberFormat="1" applyFont="1"/>
    <xf numFmtId="166" fontId="19" fillId="0" borderId="0" xfId="1" applyNumberFormat="1" applyFont="1"/>
    <xf numFmtId="0" fontId="3" fillId="0" borderId="0" xfId="0" applyFont="1" applyAlignment="1">
      <alignment vertical="center"/>
    </xf>
    <xf numFmtId="3" fontId="2" fillId="3" borderId="15" xfId="0" applyNumberFormat="1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right" vertical="center"/>
    </xf>
    <xf numFmtId="166" fontId="4" fillId="5" borderId="24" xfId="1" applyNumberFormat="1" applyFont="1" applyFill="1" applyBorder="1" applyAlignment="1">
      <alignment horizontal="right" vertical="center"/>
    </xf>
    <xf numFmtId="3" fontId="2" fillId="5" borderId="15" xfId="0" applyNumberFormat="1" applyFont="1" applyFill="1" applyBorder="1" applyAlignment="1">
      <alignment horizontal="right" vertical="center"/>
    </xf>
    <xf numFmtId="167" fontId="13" fillId="17" borderId="15" xfId="0" applyNumberFormat="1" applyFont="1" applyFill="1" applyBorder="1" applyAlignment="1">
      <alignment horizontal="right" vertical="center"/>
    </xf>
    <xf numFmtId="4" fontId="13" fillId="0" borderId="0" xfId="0" applyNumberFormat="1" applyFont="1" applyAlignment="1">
      <alignment horizontal="right" vertical="center"/>
    </xf>
    <xf numFmtId="43" fontId="2" fillId="0" borderId="0" xfId="1" applyFont="1"/>
    <xf numFmtId="166" fontId="19" fillId="15" borderId="0" xfId="1" applyNumberFormat="1" applyFont="1" applyFill="1"/>
    <xf numFmtId="9" fontId="19" fillId="15" borderId="15" xfId="2" applyFont="1" applyFill="1" applyBorder="1" applyAlignment="1">
      <alignment vertical="center"/>
    </xf>
    <xf numFmtId="166" fontId="23" fillId="0" borderId="15" xfId="1" applyNumberFormat="1" applyFont="1" applyBorder="1"/>
    <xf numFmtId="166" fontId="19" fillId="0" borderId="15" xfId="1" applyNumberFormat="1" applyFont="1" applyBorder="1" applyAlignment="1">
      <alignment vertical="center"/>
    </xf>
    <xf numFmtId="9" fontId="19" fillId="0" borderId="15" xfId="2" applyFont="1" applyBorder="1" applyAlignment="1">
      <alignment vertical="center"/>
    </xf>
    <xf numFmtId="166" fontId="23" fillId="15" borderId="15" xfId="0" applyNumberFormat="1" applyFont="1" applyFill="1" applyBorder="1" applyAlignment="1">
      <alignment vertical="center"/>
    </xf>
    <xf numFmtId="43" fontId="19" fillId="0" borderId="0" xfId="1" applyFont="1"/>
    <xf numFmtId="43" fontId="19" fillId="0" borderId="0" xfId="0" applyNumberFormat="1" applyFont="1"/>
    <xf numFmtId="0" fontId="4" fillId="0" borderId="11" xfId="0" applyFont="1" applyBorder="1" applyAlignment="1">
      <alignment vertical="center"/>
    </xf>
    <xf numFmtId="0" fontId="4" fillId="0" borderId="23" xfId="1" applyNumberFormat="1" applyFont="1" applyFill="1" applyBorder="1" applyAlignment="1">
      <alignment horizontal="left"/>
    </xf>
    <xf numFmtId="166" fontId="4" fillId="5" borderId="24" xfId="1" applyNumberFormat="1" applyFont="1" applyFill="1" applyBorder="1" applyAlignment="1">
      <alignment horizontal="right" vertical="top" wrapText="1"/>
    </xf>
    <xf numFmtId="166" fontId="4" fillId="5" borderId="38" xfId="1" applyNumberFormat="1" applyFont="1" applyFill="1" applyBorder="1" applyAlignment="1">
      <alignment horizontal="right" vertical="top" wrapText="1"/>
    </xf>
    <xf numFmtId="166" fontId="4" fillId="7" borderId="38" xfId="1" applyNumberFormat="1" applyFont="1" applyFill="1" applyBorder="1" applyAlignment="1">
      <alignment horizontal="right" vertical="top" wrapText="1"/>
    </xf>
    <xf numFmtId="166" fontId="4" fillId="6" borderId="23" xfId="1" applyNumberFormat="1" applyFont="1" applyFill="1" applyBorder="1" applyAlignment="1">
      <alignment horizontal="right" vertical="center"/>
    </xf>
    <xf numFmtId="166" fontId="6" fillId="10" borderId="15" xfId="1" applyNumberFormat="1" applyFont="1" applyFill="1" applyBorder="1"/>
    <xf numFmtId="0" fontId="7" fillId="0" borderId="39" xfId="1" applyNumberFormat="1" applyFont="1" applyFill="1" applyBorder="1" applyAlignment="1">
      <alignment horizontal="left"/>
    </xf>
    <xf numFmtId="166" fontId="7" fillId="5" borderId="40" xfId="1" applyNumberFormat="1" applyFont="1" applyFill="1" applyBorder="1" applyAlignment="1"/>
    <xf numFmtId="166" fontId="8" fillId="0" borderId="40" xfId="1" applyNumberFormat="1" applyFont="1" applyFill="1" applyBorder="1" applyAlignment="1"/>
    <xf numFmtId="166" fontId="8" fillId="10" borderId="40" xfId="1" applyNumberFormat="1" applyFont="1" applyFill="1" applyBorder="1" applyAlignment="1"/>
    <xf numFmtId="166" fontId="9" fillId="10" borderId="41" xfId="1" applyNumberFormat="1" applyFont="1" applyFill="1" applyBorder="1" applyAlignment="1"/>
    <xf numFmtId="166" fontId="8" fillId="0" borderId="11" xfId="1" applyNumberFormat="1" applyFont="1" applyFill="1" applyBorder="1" applyAlignment="1"/>
    <xf numFmtId="0" fontId="7" fillId="0" borderId="11" xfId="1" applyNumberFormat="1" applyFont="1" applyFill="1" applyBorder="1" applyAlignment="1"/>
    <xf numFmtId="166" fontId="10" fillId="5" borderId="11" xfId="1" applyNumberFormat="1" applyFont="1" applyFill="1" applyBorder="1" applyAlignment="1">
      <alignment horizontal="right" vertical="top" wrapText="1"/>
    </xf>
    <xf numFmtId="166" fontId="20" fillId="7" borderId="16" xfId="1" applyNumberFormat="1" applyFont="1" applyFill="1" applyBorder="1" applyAlignment="1">
      <alignment horizontal="right" vertical="center"/>
    </xf>
    <xf numFmtId="3" fontId="4" fillId="5" borderId="15" xfId="0" applyNumberFormat="1" applyFont="1" applyFill="1" applyBorder="1" applyAlignment="1">
      <alignment horizontal="right" vertical="center"/>
    </xf>
    <xf numFmtId="3" fontId="4" fillId="0" borderId="15" xfId="0" applyNumberFormat="1" applyFont="1" applyBorder="1" applyAlignment="1">
      <alignment horizontal="right" vertical="center"/>
    </xf>
    <xf numFmtId="166" fontId="4" fillId="5" borderId="15" xfId="1" applyNumberFormat="1" applyFont="1" applyFill="1" applyBorder="1" applyAlignment="1">
      <alignment horizontal="right"/>
    </xf>
    <xf numFmtId="3" fontId="4" fillId="5" borderId="15" xfId="1" applyNumberFormat="1" applyFont="1" applyFill="1" applyBorder="1" applyAlignment="1">
      <alignment horizontal="right"/>
    </xf>
    <xf numFmtId="3" fontId="4" fillId="5" borderId="15" xfId="1" applyNumberFormat="1" applyFont="1" applyFill="1" applyBorder="1"/>
    <xf numFmtId="3" fontId="4" fillId="5" borderId="15" xfId="0" applyNumberFormat="1" applyFont="1" applyFill="1" applyBorder="1"/>
    <xf numFmtId="3" fontId="4" fillId="5" borderId="8" xfId="0" applyNumberFormat="1" applyFont="1" applyFill="1" applyBorder="1"/>
    <xf numFmtId="3" fontId="10" fillId="5" borderId="13" xfId="0" applyNumberFormat="1" applyFont="1" applyFill="1" applyBorder="1" applyAlignment="1">
      <alignment horizontal="right" vertical="center" wrapText="1"/>
    </xf>
    <xf numFmtId="0" fontId="4" fillId="0" borderId="9" xfId="0" applyFont="1" applyBorder="1" applyAlignment="1">
      <alignment horizontal="left" vertical="center"/>
    </xf>
    <xf numFmtId="166" fontId="4" fillId="6" borderId="12" xfId="1" applyNumberFormat="1" applyFont="1" applyFill="1" applyBorder="1" applyAlignment="1">
      <alignment horizontal="center" vertical="center"/>
    </xf>
    <xf numFmtId="166" fontId="2" fillId="6" borderId="13" xfId="1" applyNumberFormat="1" applyFont="1" applyFill="1" applyBorder="1" applyAlignment="1">
      <alignment horizontal="center" vertical="center"/>
    </xf>
    <xf numFmtId="3" fontId="4" fillId="5" borderId="15" xfId="0" applyNumberFormat="1" applyFont="1" applyFill="1" applyBorder="1" applyAlignment="1">
      <alignment horizontal="right"/>
    </xf>
    <xf numFmtId="3" fontId="15" fillId="5" borderId="13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169" fontId="2" fillId="0" borderId="0" xfId="0" applyNumberFormat="1" applyFont="1"/>
    <xf numFmtId="0" fontId="4" fillId="0" borderId="0" xfId="0" applyFont="1"/>
    <xf numFmtId="166" fontId="4" fillId="0" borderId="0" xfId="1" applyNumberFormat="1" applyFont="1"/>
    <xf numFmtId="0" fontId="14" fillId="2" borderId="1" xfId="0" applyFont="1" applyFill="1" applyBorder="1" applyAlignment="1">
      <alignment horizontal="left" vertical="center"/>
    </xf>
    <xf numFmtId="0" fontId="14" fillId="2" borderId="40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166" fontId="14" fillId="3" borderId="42" xfId="1" applyNumberFormat="1" applyFont="1" applyFill="1" applyBorder="1" applyAlignment="1">
      <alignment horizontal="center" vertical="center" wrapText="1"/>
    </xf>
    <xf numFmtId="166" fontId="14" fillId="3" borderId="43" xfId="1" applyNumberFormat="1" applyFont="1" applyFill="1" applyBorder="1" applyAlignment="1">
      <alignment horizontal="center" vertical="center"/>
    </xf>
    <xf numFmtId="166" fontId="14" fillId="3" borderId="4" xfId="1" applyNumberFormat="1" applyFont="1" applyFill="1" applyBorder="1" applyAlignment="1">
      <alignment horizontal="center"/>
    </xf>
    <xf numFmtId="0" fontId="14" fillId="2" borderId="5" xfId="0" applyFont="1" applyFill="1" applyBorder="1" applyAlignment="1">
      <alignment horizontal="left" vertical="center"/>
    </xf>
    <xf numFmtId="0" fontId="14" fillId="2" borderId="17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166" fontId="14" fillId="3" borderId="44" xfId="1" applyNumberFormat="1" applyFont="1" applyFill="1" applyBorder="1" applyAlignment="1">
      <alignment horizontal="center" vertical="center" wrapText="1"/>
    </xf>
    <xf numFmtId="166" fontId="14" fillId="3" borderId="45" xfId="1" applyNumberFormat="1" applyFont="1" applyFill="1" applyBorder="1" applyAlignment="1">
      <alignment horizontal="center" vertical="center" wrapText="1"/>
    </xf>
    <xf numFmtId="166" fontId="14" fillId="3" borderId="8" xfId="1" applyNumberFormat="1" applyFont="1" applyFill="1" applyBorder="1" applyAlignment="1">
      <alignment horizontal="center" vertical="center" wrapText="1"/>
    </xf>
    <xf numFmtId="166" fontId="14" fillId="0" borderId="9" xfId="1" applyNumberFormat="1" applyFont="1" applyFill="1" applyBorder="1" applyAlignment="1">
      <alignment horizontal="center"/>
    </xf>
    <xf numFmtId="0" fontId="14" fillId="0" borderId="10" xfId="0" applyFont="1" applyBorder="1"/>
    <xf numFmtId="0" fontId="14" fillId="0" borderId="33" xfId="0" applyFont="1" applyBorder="1"/>
    <xf numFmtId="166" fontId="14" fillId="0" borderId="46" xfId="1" applyNumberFormat="1" applyFont="1" applyBorder="1"/>
    <xf numFmtId="166" fontId="14" fillId="0" borderId="13" xfId="1" applyNumberFormat="1" applyFont="1" applyBorder="1"/>
    <xf numFmtId="166" fontId="14" fillId="4" borderId="33" xfId="1" applyNumberFormat="1" applyFont="1" applyFill="1" applyBorder="1" applyAlignment="1">
      <alignment horizontal="right" vertical="center"/>
    </xf>
    <xf numFmtId="166" fontId="14" fillId="4" borderId="47" xfId="1" applyNumberFormat="1" applyFont="1" applyFill="1" applyBorder="1" applyAlignment="1">
      <alignment horizontal="right" vertical="center"/>
    </xf>
    <xf numFmtId="166" fontId="14" fillId="4" borderId="15" xfId="1" applyNumberFormat="1" applyFont="1" applyFill="1" applyBorder="1" applyAlignment="1">
      <alignment horizontal="right" vertical="center"/>
    </xf>
    <xf numFmtId="166" fontId="4" fillId="6" borderId="33" xfId="1" applyNumberFormat="1" applyFont="1" applyFill="1" applyBorder="1" applyAlignment="1">
      <alignment horizontal="right" vertical="top" wrapText="1"/>
    </xf>
    <xf numFmtId="166" fontId="4" fillId="6" borderId="25" xfId="1" applyNumberFormat="1" applyFont="1" applyFill="1" applyBorder="1" applyAlignment="1">
      <alignment horizontal="right" vertical="center"/>
    </xf>
    <xf numFmtId="166" fontId="0" fillId="6" borderId="15" xfId="1" applyNumberFormat="1" applyFont="1" applyFill="1" applyBorder="1"/>
    <xf numFmtId="0" fontId="25" fillId="0" borderId="14" xfId="0" applyFont="1" applyBorder="1"/>
    <xf numFmtId="0" fontId="26" fillId="0" borderId="15" xfId="0" applyFont="1" applyBorder="1"/>
    <xf numFmtId="0" fontId="26" fillId="0" borderId="11" xfId="0" applyFont="1" applyBorder="1"/>
    <xf numFmtId="166" fontId="27" fillId="7" borderId="33" xfId="1" applyNumberFormat="1" applyFont="1" applyFill="1" applyBorder="1"/>
    <xf numFmtId="166" fontId="4" fillId="7" borderId="25" xfId="1" applyNumberFormat="1" applyFont="1" applyFill="1" applyBorder="1" applyAlignment="1">
      <alignment horizontal="right" vertical="center"/>
    </xf>
    <xf numFmtId="166" fontId="26" fillId="7" borderId="15" xfId="1" applyNumberFormat="1" applyFont="1" applyFill="1" applyBorder="1"/>
    <xf numFmtId="0" fontId="14" fillId="0" borderId="14" xfId="1" applyNumberFormat="1" applyFont="1" applyFill="1" applyBorder="1" applyAlignment="1">
      <alignment horizontal="left"/>
    </xf>
    <xf numFmtId="3" fontId="4" fillId="8" borderId="33" xfId="0" applyNumberFormat="1" applyFont="1" applyFill="1" applyBorder="1" applyAlignment="1">
      <alignment horizontal="right" vertical="top" wrapText="1"/>
    </xf>
    <xf numFmtId="3" fontId="4" fillId="6" borderId="25" xfId="0" applyNumberFormat="1" applyFont="1" applyFill="1" applyBorder="1" applyAlignment="1">
      <alignment horizontal="right" vertical="center"/>
    </xf>
    <xf numFmtId="166" fontId="4" fillId="9" borderId="15" xfId="1" applyNumberFormat="1" applyFont="1" applyFill="1" applyBorder="1"/>
    <xf numFmtId="166" fontId="0" fillId="9" borderId="15" xfId="1" applyNumberFormat="1" applyFont="1" applyFill="1" applyBorder="1"/>
    <xf numFmtId="166" fontId="4" fillId="8" borderId="33" xfId="1" applyNumberFormat="1" applyFont="1" applyFill="1" applyBorder="1" applyAlignment="1">
      <alignment horizontal="right" vertical="top" wrapText="1"/>
    </xf>
    <xf numFmtId="0" fontId="28" fillId="0" borderId="14" xfId="1" applyNumberFormat="1" applyFont="1" applyFill="1" applyBorder="1" applyAlignment="1">
      <alignment horizontal="left"/>
    </xf>
    <xf numFmtId="166" fontId="4" fillId="6" borderId="15" xfId="1" applyNumberFormat="1" applyFont="1" applyFill="1" applyBorder="1" applyAlignment="1">
      <alignment horizontal="right"/>
    </xf>
    <xf numFmtId="0" fontId="14" fillId="0" borderId="23" xfId="1" applyNumberFormat="1" applyFont="1" applyFill="1" applyBorder="1" applyAlignment="1">
      <alignment horizontal="left"/>
    </xf>
    <xf numFmtId="166" fontId="4" fillId="7" borderId="35" xfId="1" applyNumberFormat="1" applyFont="1" applyFill="1" applyBorder="1" applyAlignment="1">
      <alignment horizontal="right" vertical="top" wrapText="1"/>
    </xf>
    <xf numFmtId="166" fontId="4" fillId="6" borderId="48" xfId="1" applyNumberFormat="1" applyFont="1" applyFill="1" applyBorder="1" applyAlignment="1">
      <alignment horizontal="right" vertical="center"/>
    </xf>
    <xf numFmtId="166" fontId="4" fillId="7" borderId="24" xfId="1" applyNumberFormat="1" applyFont="1" applyFill="1" applyBorder="1" applyAlignment="1">
      <alignment horizontal="right" vertical="center"/>
    </xf>
    <xf numFmtId="0" fontId="11" fillId="0" borderId="39" xfId="1" applyNumberFormat="1" applyFont="1" applyFill="1" applyBorder="1" applyAlignment="1">
      <alignment horizontal="left"/>
    </xf>
    <xf numFmtId="166" fontId="29" fillId="5" borderId="40" xfId="1" applyNumberFormat="1" applyFont="1" applyFill="1" applyBorder="1"/>
    <xf numFmtId="166" fontId="29" fillId="17" borderId="26" xfId="1" applyNumberFormat="1" applyFont="1" applyFill="1" applyBorder="1"/>
    <xf numFmtId="166" fontId="29" fillId="17" borderId="43" xfId="1" applyNumberFormat="1" applyFont="1" applyFill="1" applyBorder="1"/>
    <xf numFmtId="166" fontId="30" fillId="7" borderId="4" xfId="1" applyNumberFormat="1" applyFont="1" applyFill="1" applyBorder="1"/>
    <xf numFmtId="0" fontId="11" fillId="0" borderId="14" xfId="1" applyNumberFormat="1" applyFont="1" applyFill="1" applyBorder="1" applyAlignment="1">
      <alignment horizontal="left"/>
    </xf>
    <xf numFmtId="166" fontId="29" fillId="5" borderId="11" xfId="1" applyNumberFormat="1" applyFont="1" applyFill="1" applyBorder="1"/>
    <xf numFmtId="166" fontId="29" fillId="17" borderId="33" xfId="1" applyNumberFormat="1" applyFont="1" applyFill="1" applyBorder="1"/>
    <xf numFmtId="166" fontId="29" fillId="17" borderId="47" xfId="1" applyNumberFormat="1" applyFont="1" applyFill="1" applyBorder="1"/>
    <xf numFmtId="166" fontId="31" fillId="7" borderId="13" xfId="1" applyNumberFormat="1" applyFont="1" applyFill="1" applyBorder="1" applyAlignment="1">
      <alignment horizontal="right" vertical="center"/>
    </xf>
    <xf numFmtId="166" fontId="29" fillId="17" borderId="25" xfId="1" applyNumberFormat="1" applyFont="1" applyFill="1" applyBorder="1"/>
    <xf numFmtId="166" fontId="31" fillId="7" borderId="15" xfId="1" applyNumberFormat="1" applyFont="1" applyFill="1" applyBorder="1" applyAlignment="1">
      <alignment horizontal="right" vertical="center"/>
    </xf>
    <xf numFmtId="0" fontId="11" fillId="0" borderId="14" xfId="0" applyFont="1" applyBorder="1"/>
    <xf numFmtId="166" fontId="9" fillId="5" borderId="11" xfId="1" applyNumberFormat="1" applyFont="1" applyFill="1" applyBorder="1"/>
    <xf numFmtId="166" fontId="9" fillId="17" borderId="33" xfId="1" applyNumberFormat="1" applyFont="1" applyFill="1" applyBorder="1"/>
    <xf numFmtId="166" fontId="11" fillId="17" borderId="25" xfId="1" applyNumberFormat="1" applyFont="1" applyFill="1" applyBorder="1"/>
    <xf numFmtId="166" fontId="11" fillId="5" borderId="11" xfId="1" applyNumberFormat="1" applyFont="1" applyFill="1" applyBorder="1"/>
    <xf numFmtId="166" fontId="11" fillId="17" borderId="33" xfId="1" applyNumberFormat="1" applyFont="1" applyFill="1" applyBorder="1"/>
    <xf numFmtId="166" fontId="30" fillId="7" borderId="15" xfId="1" applyNumberFormat="1" applyFont="1" applyFill="1" applyBorder="1"/>
    <xf numFmtId="166" fontId="11" fillId="5" borderId="11" xfId="1" applyNumberFormat="1" applyFont="1" applyFill="1" applyBorder="1" applyAlignment="1">
      <alignment horizontal="right" vertical="top" wrapText="1"/>
    </xf>
    <xf numFmtId="166" fontId="11" fillId="7" borderId="33" xfId="1" applyNumberFormat="1" applyFont="1" applyFill="1" applyBorder="1" applyAlignment="1">
      <alignment horizontal="right" vertical="top" wrapText="1"/>
    </xf>
    <xf numFmtId="166" fontId="31" fillId="7" borderId="25" xfId="1" applyNumberFormat="1" applyFont="1" applyFill="1" applyBorder="1" applyAlignment="1">
      <alignment horizontal="right" vertical="center"/>
    </xf>
    <xf numFmtId="166" fontId="11" fillId="7" borderId="15" xfId="1" applyNumberFormat="1" applyFont="1" applyFill="1" applyBorder="1" applyAlignment="1">
      <alignment horizontal="right" vertical="center"/>
    </xf>
    <xf numFmtId="0" fontId="30" fillId="0" borderId="16" xfId="0" applyFont="1" applyBorder="1"/>
    <xf numFmtId="166" fontId="12" fillId="7" borderId="33" xfId="0" applyNumberFormat="1" applyFont="1" applyFill="1" applyBorder="1"/>
    <xf numFmtId="166" fontId="12" fillId="7" borderId="0" xfId="1" applyNumberFormat="1" applyFont="1" applyFill="1" applyBorder="1"/>
    <xf numFmtId="0" fontId="0" fillId="0" borderId="14" xfId="0" applyBorder="1"/>
    <xf numFmtId="3" fontId="32" fillId="5" borderId="11" xfId="0" applyNumberFormat="1" applyFont="1" applyFill="1" applyBorder="1" applyAlignment="1">
      <alignment horizontal="right" vertical="center"/>
    </xf>
    <xf numFmtId="166" fontId="28" fillId="5" borderId="33" xfId="0" applyNumberFormat="1" applyFont="1" applyFill="1" applyBorder="1"/>
    <xf numFmtId="166" fontId="32" fillId="5" borderId="47" xfId="1" applyNumberFormat="1" applyFont="1" applyFill="1" applyBorder="1" applyAlignment="1">
      <alignment horizontal="right" vertical="center"/>
    </xf>
    <xf numFmtId="166" fontId="0" fillId="5" borderId="15" xfId="1" applyNumberFormat="1" applyFont="1" applyFill="1" applyBorder="1"/>
    <xf numFmtId="3" fontId="14" fillId="4" borderId="15" xfId="0" applyNumberFormat="1" applyFont="1" applyFill="1" applyBorder="1" applyAlignment="1">
      <alignment horizontal="right" vertical="center"/>
    </xf>
    <xf numFmtId="166" fontId="14" fillId="4" borderId="25" xfId="1" applyNumberFormat="1" applyFont="1" applyFill="1" applyBorder="1" applyAlignment="1">
      <alignment horizontal="right" vertical="center"/>
    </xf>
    <xf numFmtId="166" fontId="4" fillId="7" borderId="15" xfId="1" applyNumberFormat="1" applyFont="1" applyFill="1" applyBorder="1" applyAlignment="1">
      <alignment horizontal="right" vertical="center"/>
    </xf>
    <xf numFmtId="166" fontId="0" fillId="7" borderId="15" xfId="1" applyNumberFormat="1" applyFont="1" applyFill="1" applyBorder="1"/>
    <xf numFmtId="166" fontId="4" fillId="7" borderId="47" xfId="1" applyNumberFormat="1" applyFont="1" applyFill="1" applyBorder="1" applyAlignment="1">
      <alignment horizontal="right" vertical="center"/>
    </xf>
    <xf numFmtId="166" fontId="4" fillId="6" borderId="15" xfId="1" applyNumberFormat="1" applyFont="1" applyFill="1" applyBorder="1" applyAlignment="1">
      <alignment horizontal="right" vertical="top" wrapText="1"/>
    </xf>
    <xf numFmtId="3" fontId="4" fillId="0" borderId="11" xfId="0" applyNumberFormat="1" applyFont="1" applyBorder="1" applyAlignment="1">
      <alignment horizontal="right" vertical="top" wrapText="1"/>
    </xf>
    <xf numFmtId="3" fontId="4" fillId="0" borderId="15" xfId="0" applyNumberFormat="1" applyFont="1" applyBorder="1" applyAlignment="1">
      <alignment horizontal="right" vertical="top" wrapText="1"/>
    </xf>
    <xf numFmtId="166" fontId="4" fillId="0" borderId="15" xfId="1" applyNumberFormat="1" applyFont="1" applyBorder="1" applyAlignment="1">
      <alignment horizontal="right" vertical="top" wrapText="1"/>
    </xf>
    <xf numFmtId="166" fontId="4" fillId="0" borderId="25" xfId="1" applyNumberFormat="1" applyFont="1" applyBorder="1" applyAlignment="1">
      <alignment horizontal="right" vertical="center"/>
    </xf>
    <xf numFmtId="166" fontId="4" fillId="0" borderId="15" xfId="1" applyNumberFormat="1" applyFont="1" applyBorder="1"/>
    <xf numFmtId="166" fontId="0" fillId="12" borderId="15" xfId="1" applyNumberFormat="1" applyFont="1" applyFill="1" applyBorder="1"/>
    <xf numFmtId="3" fontId="4" fillId="6" borderId="15" xfId="0" applyNumberFormat="1" applyFont="1" applyFill="1" applyBorder="1" applyAlignment="1">
      <alignment horizontal="right" vertical="top" wrapText="1"/>
    </xf>
    <xf numFmtId="3" fontId="4" fillId="6" borderId="15" xfId="0" applyNumberFormat="1" applyFont="1" applyFill="1" applyBorder="1" applyAlignment="1">
      <alignment horizontal="right" vertical="center"/>
    </xf>
    <xf numFmtId="166" fontId="0" fillId="7" borderId="0" xfId="1" applyNumberFormat="1" applyFont="1" applyFill="1" applyBorder="1"/>
    <xf numFmtId="3" fontId="4" fillId="6" borderId="15" xfId="1" applyNumberFormat="1" applyFont="1" applyFill="1" applyBorder="1"/>
    <xf numFmtId="3" fontId="4" fillId="6" borderId="15" xfId="0" applyNumberFormat="1" applyFont="1" applyFill="1" applyBorder="1" applyAlignment="1">
      <alignment vertical="center"/>
    </xf>
    <xf numFmtId="3" fontId="4" fillId="6" borderId="15" xfId="0" applyNumberFormat="1" applyFont="1" applyFill="1" applyBorder="1"/>
    <xf numFmtId="166" fontId="4" fillId="6" borderId="45" xfId="1" applyNumberFormat="1" applyFont="1" applyFill="1" applyBorder="1" applyAlignment="1">
      <alignment horizontal="right" vertical="center"/>
    </xf>
    <xf numFmtId="166" fontId="4" fillId="6" borderId="8" xfId="1" applyNumberFormat="1" applyFont="1" applyFill="1" applyBorder="1" applyAlignment="1">
      <alignment horizontal="right" vertical="center"/>
    </xf>
    <xf numFmtId="0" fontId="11" fillId="0" borderId="9" xfId="1" applyNumberFormat="1" applyFont="1" applyFill="1" applyBorder="1" applyAlignment="1">
      <alignment horizontal="left"/>
    </xf>
    <xf numFmtId="3" fontId="11" fillId="5" borderId="10" xfId="0" applyNumberFormat="1" applyFont="1" applyFill="1" applyBorder="1" applyAlignment="1">
      <alignment horizontal="right" vertical="center" wrapText="1"/>
    </xf>
    <xf numFmtId="3" fontId="11" fillId="5" borderId="15" xfId="0" applyNumberFormat="1" applyFont="1" applyFill="1" applyBorder="1" applyAlignment="1">
      <alignment horizontal="right" vertical="center" wrapText="1"/>
    </xf>
    <xf numFmtId="166" fontId="11" fillId="6" borderId="15" xfId="1" applyNumberFormat="1" applyFont="1" applyFill="1" applyBorder="1" applyAlignment="1">
      <alignment horizontal="right" vertical="center" wrapText="1"/>
    </xf>
    <xf numFmtId="3" fontId="31" fillId="6" borderId="46" xfId="0" applyNumberFormat="1" applyFont="1" applyFill="1" applyBorder="1" applyAlignment="1">
      <alignment horizontal="right" vertical="center"/>
    </xf>
    <xf numFmtId="166" fontId="11" fillId="6" borderId="13" xfId="1" applyNumberFormat="1" applyFont="1" applyFill="1" applyBorder="1" applyAlignment="1">
      <alignment horizontal="right" vertical="center"/>
    </xf>
    <xf numFmtId="3" fontId="4" fillId="0" borderId="11" xfId="0" applyNumberFormat="1" applyFont="1" applyBorder="1"/>
    <xf numFmtId="3" fontId="4" fillId="0" borderId="15" xfId="0" applyNumberFormat="1" applyFont="1" applyBorder="1"/>
    <xf numFmtId="166" fontId="28" fillId="0" borderId="25" xfId="1" applyNumberFormat="1" applyFont="1" applyFill="1" applyBorder="1"/>
    <xf numFmtId="166" fontId="28" fillId="0" borderId="15" xfId="1" applyNumberFormat="1" applyFont="1" applyFill="1" applyBorder="1"/>
    <xf numFmtId="166" fontId="14" fillId="4" borderId="11" xfId="1" applyNumberFormat="1" applyFont="1" applyFill="1" applyBorder="1" applyAlignment="1">
      <alignment horizontal="right" vertical="center"/>
    </xf>
    <xf numFmtId="166" fontId="4" fillId="6" borderId="48" xfId="1" applyNumberFormat="1" applyFont="1" applyFill="1" applyBorder="1" applyAlignment="1">
      <alignment horizontal="center" vertical="center"/>
    </xf>
    <xf numFmtId="166" fontId="4" fillId="6" borderId="24" xfId="1" applyNumberFormat="1" applyFont="1" applyFill="1" applyBorder="1" applyAlignment="1">
      <alignment horizontal="center" vertical="center"/>
    </xf>
    <xf numFmtId="166" fontId="4" fillId="6" borderId="46" xfId="1" applyNumberFormat="1" applyFont="1" applyFill="1" applyBorder="1" applyAlignment="1">
      <alignment horizontal="center" vertical="center"/>
    </xf>
    <xf numFmtId="166" fontId="4" fillId="6" borderId="13" xfId="1" applyNumberFormat="1" applyFont="1" applyFill="1" applyBorder="1" applyAlignment="1">
      <alignment horizontal="center" vertical="center"/>
    </xf>
    <xf numFmtId="0" fontId="0" fillId="0" borderId="8" xfId="0" applyBorder="1"/>
    <xf numFmtId="166" fontId="0" fillId="0" borderId="8" xfId="1" applyNumberFormat="1" applyFont="1" applyBorder="1"/>
    <xf numFmtId="166" fontId="0" fillId="0" borderId="45" xfId="1" applyNumberFormat="1" applyFont="1" applyBorder="1"/>
    <xf numFmtId="0" fontId="11" fillId="0" borderId="19" xfId="0" applyFont="1" applyBorder="1"/>
    <xf numFmtId="3" fontId="11" fillId="5" borderId="10" xfId="0" applyNumberFormat="1" applyFont="1" applyFill="1" applyBorder="1" applyAlignment="1">
      <alignment horizontal="right" vertical="center"/>
    </xf>
    <xf numFmtId="3" fontId="11" fillId="5" borderId="13" xfId="0" applyNumberFormat="1" applyFont="1" applyFill="1" applyBorder="1" applyAlignment="1">
      <alignment horizontal="right" vertical="center"/>
    </xf>
    <xf numFmtId="166" fontId="31" fillId="6" borderId="46" xfId="1" applyNumberFormat="1" applyFont="1" applyFill="1" applyBorder="1" applyAlignment="1">
      <alignment horizontal="right" vertical="center"/>
    </xf>
    <xf numFmtId="166" fontId="31" fillId="7" borderId="13" xfId="1" applyNumberFormat="1" applyFont="1" applyFill="1" applyBorder="1"/>
    <xf numFmtId="166" fontId="11" fillId="6" borderId="13" xfId="1" applyNumberFormat="1" applyFont="1" applyFill="1" applyBorder="1"/>
    <xf numFmtId="166" fontId="0" fillId="0" borderId="11" xfId="1" applyNumberFormat="1" applyFont="1" applyBorder="1"/>
    <xf numFmtId="166" fontId="0" fillId="0" borderId="15" xfId="1" applyNumberFormat="1" applyFont="1" applyBorder="1"/>
    <xf numFmtId="166" fontId="0" fillId="5" borderId="0" xfId="1" applyNumberFormat="1" applyFont="1" applyFill="1" applyBorder="1"/>
    <xf numFmtId="0" fontId="14" fillId="2" borderId="14" xfId="0" applyFont="1" applyFill="1" applyBorder="1"/>
    <xf numFmtId="3" fontId="14" fillId="4" borderId="11" xfId="0" applyNumberFormat="1" applyFont="1" applyFill="1" applyBorder="1"/>
    <xf numFmtId="3" fontId="14" fillId="4" borderId="15" xfId="0" applyNumberFormat="1" applyFont="1" applyFill="1" applyBorder="1"/>
    <xf numFmtId="166" fontId="14" fillId="4" borderId="15" xfId="1" applyNumberFormat="1" applyFont="1" applyFill="1" applyBorder="1"/>
    <xf numFmtId="166" fontId="14" fillId="4" borderId="25" xfId="1" applyNumberFormat="1" applyFont="1" applyFill="1" applyBorder="1"/>
    <xf numFmtId="166" fontId="4" fillId="7" borderId="15" xfId="1" applyNumberFormat="1" applyFont="1" applyFill="1" applyBorder="1"/>
    <xf numFmtId="166" fontId="0" fillId="8" borderId="0" xfId="1" applyNumberFormat="1" applyFont="1" applyFill="1"/>
    <xf numFmtId="166" fontId="4" fillId="7" borderId="15" xfId="1" applyNumberFormat="1" applyFont="1" applyFill="1" applyBorder="1" applyAlignment="1">
      <alignment horizontal="right" vertical="top" wrapText="1"/>
    </xf>
    <xf numFmtId="166" fontId="4" fillId="9" borderId="15" xfId="1" applyNumberFormat="1" applyFont="1" applyFill="1" applyBorder="1" applyAlignment="1">
      <alignment horizontal="right" vertical="top" wrapText="1"/>
    </xf>
    <xf numFmtId="0" fontId="4" fillId="0" borderId="0" xfId="0" applyFont="1" applyAlignment="1">
      <alignment vertical="center"/>
    </xf>
    <xf numFmtId="3" fontId="4" fillId="0" borderId="0" xfId="0" applyNumberFormat="1" applyFont="1"/>
    <xf numFmtId="166" fontId="14" fillId="3" borderId="40" xfId="1" applyNumberFormat="1" applyFont="1" applyFill="1" applyBorder="1" applyAlignment="1">
      <alignment horizontal="center"/>
    </xf>
    <xf numFmtId="0" fontId="14" fillId="13" borderId="27" xfId="0" applyFont="1" applyFill="1" applyBorder="1" applyAlignment="1">
      <alignment horizontal="center" vertical="center" wrapText="1"/>
    </xf>
    <xf numFmtId="0" fontId="24" fillId="0" borderId="0" xfId="0" applyFont="1"/>
    <xf numFmtId="166" fontId="33" fillId="3" borderId="8" xfId="1" applyNumberFormat="1" applyFont="1" applyFill="1" applyBorder="1" applyAlignment="1">
      <alignment horizontal="center" vertical="center" wrapText="1"/>
    </xf>
    <xf numFmtId="166" fontId="14" fillId="14" borderId="8" xfId="1" applyNumberFormat="1" applyFont="1" applyFill="1" applyBorder="1" applyAlignment="1">
      <alignment horizontal="center" vertical="center" wrapText="1"/>
    </xf>
    <xf numFmtId="166" fontId="33" fillId="14" borderId="8" xfId="1" applyNumberFormat="1" applyFont="1" applyFill="1" applyBorder="1" applyAlignment="1">
      <alignment horizontal="center" vertical="center" wrapText="1"/>
    </xf>
    <xf numFmtId="166" fontId="33" fillId="14" borderId="17" xfId="1" applyNumberFormat="1" applyFont="1" applyFill="1" applyBorder="1" applyAlignment="1">
      <alignment horizontal="center" vertical="center" wrapText="1"/>
    </xf>
    <xf numFmtId="0" fontId="14" fillId="13" borderId="29" xfId="0" applyFont="1" applyFill="1" applyBorder="1" applyAlignment="1">
      <alignment horizontal="center" vertical="center" wrapText="1"/>
    </xf>
    <xf numFmtId="166" fontId="33" fillId="0" borderId="13" xfId="1" applyNumberFormat="1" applyFont="1" applyBorder="1"/>
    <xf numFmtId="166" fontId="33" fillId="0" borderId="10" xfId="1" applyNumberFormat="1" applyFont="1" applyBorder="1"/>
    <xf numFmtId="0" fontId="14" fillId="0" borderId="31" xfId="0" applyFont="1" applyBorder="1"/>
    <xf numFmtId="9" fontId="33" fillId="15" borderId="20" xfId="0" applyNumberFormat="1" applyFont="1" applyFill="1" applyBorder="1"/>
    <xf numFmtId="0" fontId="27" fillId="0" borderId="0" xfId="0" applyFont="1" applyAlignment="1">
      <alignment horizontal="center" vertical="center" wrapText="1"/>
    </xf>
    <xf numFmtId="166" fontId="0" fillId="5" borderId="11" xfId="1" applyNumberFormat="1" applyFont="1" applyFill="1" applyBorder="1"/>
    <xf numFmtId="9" fontId="28" fillId="15" borderId="20" xfId="0" applyNumberFormat="1" applyFont="1" applyFill="1" applyBorder="1"/>
    <xf numFmtId="166" fontId="4" fillId="5" borderId="15" xfId="1" applyNumberFormat="1" applyFont="1" applyFill="1" applyBorder="1" applyAlignment="1">
      <alignment horizontal="right" vertical="center"/>
    </xf>
    <xf numFmtId="166" fontId="4" fillId="5" borderId="11" xfId="1" applyNumberFormat="1" applyFont="1" applyFill="1" applyBorder="1" applyAlignment="1">
      <alignment horizontal="right" vertical="center"/>
    </xf>
    <xf numFmtId="3" fontId="4" fillId="5" borderId="0" xfId="0" applyNumberFormat="1" applyFont="1" applyFill="1" applyAlignment="1">
      <alignment horizontal="right" vertical="top" wrapText="1"/>
    </xf>
    <xf numFmtId="3" fontId="4" fillId="5" borderId="0" xfId="0" applyNumberFormat="1" applyFont="1" applyFill="1" applyAlignment="1">
      <alignment horizontal="left" vertical="top" wrapText="1"/>
    </xf>
    <xf numFmtId="166" fontId="26" fillId="0" borderId="15" xfId="1" applyNumberFormat="1" applyFont="1" applyBorder="1"/>
    <xf numFmtId="166" fontId="26" fillId="0" borderId="11" xfId="1" applyNumberFormat="1" applyFont="1" applyBorder="1"/>
    <xf numFmtId="166" fontId="4" fillId="7" borderId="15" xfId="1" applyNumberFormat="1" applyFont="1" applyFill="1" applyBorder="1" applyAlignment="1">
      <alignment horizontal="right"/>
    </xf>
    <xf numFmtId="166" fontId="4" fillId="5" borderId="15" xfId="1" applyNumberFormat="1" applyFont="1" applyFill="1" applyBorder="1"/>
    <xf numFmtId="166" fontId="4" fillId="5" borderId="0" xfId="1" applyNumberFormat="1" applyFont="1" applyFill="1" applyBorder="1" applyAlignment="1">
      <alignment horizontal="right" vertical="top" wrapText="1"/>
    </xf>
    <xf numFmtId="166" fontId="4" fillId="5" borderId="38" xfId="1" applyNumberFormat="1" applyFont="1" applyFill="1" applyBorder="1" applyAlignment="1">
      <alignment horizontal="right" vertical="center"/>
    </xf>
    <xf numFmtId="166" fontId="4" fillId="5" borderId="0" xfId="1" applyNumberFormat="1" applyFont="1" applyFill="1" applyBorder="1" applyAlignment="1">
      <alignment horizontal="left" vertical="top" wrapText="1"/>
    </xf>
    <xf numFmtId="166" fontId="30" fillId="5" borderId="4" xfId="1" applyNumberFormat="1" applyFont="1" applyFill="1" applyBorder="1"/>
    <xf numFmtId="166" fontId="30" fillId="5" borderId="26" xfId="1" applyNumberFormat="1" applyFont="1" applyFill="1" applyBorder="1"/>
    <xf numFmtId="9" fontId="11" fillId="15" borderId="20" xfId="0" applyNumberFormat="1" applyFont="1" applyFill="1" applyBorder="1"/>
    <xf numFmtId="3" fontId="34" fillId="0" borderId="0" xfId="0" applyNumberFormat="1" applyFont="1" applyAlignment="1">
      <alignment horizontal="left" vertical="top" wrapText="1"/>
    </xf>
    <xf numFmtId="166" fontId="31" fillId="5" borderId="13" xfId="1" applyNumberFormat="1" applyFont="1" applyFill="1" applyBorder="1" applyAlignment="1">
      <alignment horizontal="right" vertical="center"/>
    </xf>
    <xf numFmtId="166" fontId="31" fillId="5" borderId="30" xfId="1" applyNumberFormat="1" applyFont="1" applyFill="1" applyBorder="1" applyAlignment="1">
      <alignment horizontal="right" vertical="center"/>
    </xf>
    <xf numFmtId="3" fontId="34" fillId="0" borderId="0" xfId="0" applyNumberFormat="1" applyFont="1" applyAlignment="1">
      <alignment horizontal="right" vertical="top" wrapText="1"/>
    </xf>
    <xf numFmtId="166" fontId="31" fillId="5" borderId="15" xfId="1" applyNumberFormat="1" applyFont="1" applyFill="1" applyBorder="1" applyAlignment="1">
      <alignment horizontal="right" vertical="center"/>
    </xf>
    <xf numFmtId="166" fontId="31" fillId="5" borderId="33" xfId="1" applyNumberFormat="1" applyFont="1" applyFill="1" applyBorder="1" applyAlignment="1">
      <alignment horizontal="right" vertical="center"/>
    </xf>
    <xf numFmtId="166" fontId="34" fillId="0" borderId="0" xfId="1" applyNumberFormat="1" applyFont="1" applyFill="1" applyBorder="1" applyAlignment="1">
      <alignment horizontal="right" vertical="top" wrapText="1"/>
    </xf>
    <xf numFmtId="166" fontId="30" fillId="5" borderId="15" xfId="1" applyNumberFormat="1" applyFont="1" applyFill="1" applyBorder="1"/>
    <xf numFmtId="166" fontId="30" fillId="5" borderId="33" xfId="1" applyNumberFormat="1" applyFont="1" applyFill="1" applyBorder="1"/>
    <xf numFmtId="166" fontId="11" fillId="5" borderId="15" xfId="1" applyNumberFormat="1" applyFont="1" applyFill="1" applyBorder="1" applyAlignment="1">
      <alignment horizontal="right" vertical="center"/>
    </xf>
    <xf numFmtId="166" fontId="0" fillId="5" borderId="33" xfId="1" applyNumberFormat="1" applyFont="1" applyFill="1" applyBorder="1"/>
    <xf numFmtId="166" fontId="14" fillId="4" borderId="32" xfId="1" applyNumberFormat="1" applyFont="1" applyFill="1" applyBorder="1" applyAlignment="1">
      <alignment horizontal="right" vertical="center"/>
    </xf>
    <xf numFmtId="3" fontId="35" fillId="0" borderId="0" xfId="0" applyNumberFormat="1" applyFont="1" applyAlignment="1">
      <alignment horizontal="right" vertical="top" wrapText="1"/>
    </xf>
    <xf numFmtId="166" fontId="4" fillId="5" borderId="33" xfId="1" applyNumberFormat="1" applyFont="1" applyFill="1" applyBorder="1" applyAlignment="1">
      <alignment horizontal="right" vertical="center"/>
    </xf>
    <xf numFmtId="3" fontId="27" fillId="0" borderId="0" xfId="0" applyNumberFormat="1" applyFont="1" applyAlignment="1">
      <alignment horizontal="left" vertical="top" wrapText="1"/>
    </xf>
    <xf numFmtId="166" fontId="4" fillId="5" borderId="33" xfId="1" applyNumberFormat="1" applyFont="1" applyFill="1" applyBorder="1"/>
    <xf numFmtId="0" fontId="27" fillId="0" borderId="0" xfId="0" applyFont="1"/>
    <xf numFmtId="0" fontId="0" fillId="6" borderId="15" xfId="0" applyFill="1" applyBorder="1"/>
    <xf numFmtId="3" fontId="4" fillId="5" borderId="33" xfId="0" applyNumberFormat="1" applyFont="1" applyFill="1" applyBorder="1" applyAlignment="1">
      <alignment horizontal="right" vertical="center"/>
    </xf>
    <xf numFmtId="166" fontId="4" fillId="5" borderId="24" xfId="1" applyNumberFormat="1" applyFont="1" applyFill="1" applyBorder="1"/>
    <xf numFmtId="166" fontId="4" fillId="5" borderId="35" xfId="1" applyNumberFormat="1" applyFont="1" applyFill="1" applyBorder="1"/>
    <xf numFmtId="166" fontId="4" fillId="5" borderId="13" xfId="1" applyNumberFormat="1" applyFont="1" applyFill="1" applyBorder="1" applyAlignment="1">
      <alignment horizontal="right" vertical="center"/>
    </xf>
    <xf numFmtId="166" fontId="4" fillId="5" borderId="30" xfId="1" applyNumberFormat="1" applyFont="1" applyFill="1" applyBorder="1" applyAlignment="1">
      <alignment horizontal="right" vertical="center"/>
    </xf>
    <xf numFmtId="3" fontId="4" fillId="5" borderId="15" xfId="1" applyNumberFormat="1" applyFont="1" applyFill="1" applyBorder="1" applyAlignment="1">
      <alignment horizontal="right" vertical="center"/>
    </xf>
    <xf numFmtId="3" fontId="4" fillId="5" borderId="33" xfId="1" applyNumberFormat="1" applyFont="1" applyFill="1" applyBorder="1" applyAlignment="1">
      <alignment horizontal="right" vertical="center"/>
    </xf>
    <xf numFmtId="3" fontId="4" fillId="5" borderId="15" xfId="1" applyNumberFormat="1" applyFont="1" applyFill="1" applyBorder="1" applyAlignment="1">
      <alignment vertical="center"/>
    </xf>
    <xf numFmtId="0" fontId="34" fillId="0" borderId="0" xfId="0" applyFont="1"/>
    <xf numFmtId="166" fontId="4" fillId="6" borderId="15" xfId="1" applyNumberFormat="1" applyFont="1" applyFill="1" applyBorder="1" applyAlignment="1">
      <alignment vertical="center"/>
    </xf>
    <xf numFmtId="166" fontId="4" fillId="5" borderId="15" xfId="1" applyNumberFormat="1" applyFont="1" applyFill="1" applyBorder="1" applyAlignment="1">
      <alignment vertical="center"/>
    </xf>
    <xf numFmtId="166" fontId="0" fillId="6" borderId="8" xfId="1" applyNumberFormat="1" applyFont="1" applyFill="1" applyBorder="1"/>
    <xf numFmtId="166" fontId="4" fillId="5" borderId="8" xfId="1" applyNumberFormat="1" applyFont="1" applyFill="1" applyBorder="1" applyAlignment="1">
      <alignment vertical="center"/>
    </xf>
    <xf numFmtId="166" fontId="4" fillId="5" borderId="8" xfId="1" applyNumberFormat="1" applyFont="1" applyFill="1" applyBorder="1" applyAlignment="1">
      <alignment horizontal="right" vertical="center"/>
    </xf>
    <xf numFmtId="166" fontId="4" fillId="5" borderId="28" xfId="1" applyNumberFormat="1" applyFont="1" applyFill="1" applyBorder="1" applyAlignment="1">
      <alignment horizontal="right" vertical="center"/>
    </xf>
    <xf numFmtId="166" fontId="29" fillId="8" borderId="13" xfId="1" applyNumberFormat="1" applyFont="1" applyFill="1" applyBorder="1"/>
    <xf numFmtId="166" fontId="11" fillId="5" borderId="13" xfId="1" applyNumberFormat="1" applyFont="1" applyFill="1" applyBorder="1" applyAlignment="1">
      <alignment vertical="center"/>
    </xf>
    <xf numFmtId="166" fontId="11" fillId="5" borderId="13" xfId="1" applyNumberFormat="1" applyFont="1" applyFill="1" applyBorder="1" applyAlignment="1">
      <alignment horizontal="right" vertical="center"/>
    </xf>
    <xf numFmtId="166" fontId="11" fillId="5" borderId="30" xfId="1" applyNumberFormat="1" applyFont="1" applyFill="1" applyBorder="1"/>
    <xf numFmtId="166" fontId="27" fillId="0" borderId="0" xfId="1" applyNumberFormat="1" applyFont="1"/>
    <xf numFmtId="166" fontId="28" fillId="5" borderId="15" xfId="1" applyNumberFormat="1" applyFont="1" applyFill="1" applyBorder="1"/>
    <xf numFmtId="166" fontId="28" fillId="5" borderId="33" xfId="1" applyNumberFormat="1" applyFont="1" applyFill="1" applyBorder="1"/>
    <xf numFmtId="9" fontId="28" fillId="5" borderId="0" xfId="0" applyNumberFormat="1" applyFont="1" applyFill="1"/>
    <xf numFmtId="3" fontId="27" fillId="0" borderId="0" xfId="0" applyNumberFormat="1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166" fontId="34" fillId="0" borderId="0" xfId="1" applyNumberFormat="1" applyFont="1"/>
    <xf numFmtId="166" fontId="36" fillId="6" borderId="15" xfId="1" applyNumberFormat="1" applyFont="1" applyFill="1" applyBorder="1"/>
    <xf numFmtId="166" fontId="0" fillId="5" borderId="8" xfId="1" applyNumberFormat="1" applyFont="1" applyFill="1" applyBorder="1"/>
    <xf numFmtId="166" fontId="0" fillId="5" borderId="28" xfId="1" applyNumberFormat="1" applyFont="1" applyFill="1" applyBorder="1"/>
    <xf numFmtId="166" fontId="11" fillId="5" borderId="10" xfId="1" applyNumberFormat="1" applyFont="1" applyFill="1" applyBorder="1" applyAlignment="1">
      <alignment horizontal="right" vertical="center"/>
    </xf>
    <xf numFmtId="166" fontId="4" fillId="5" borderId="11" xfId="1" applyNumberFormat="1" applyFont="1" applyFill="1" applyBorder="1"/>
    <xf numFmtId="166" fontId="14" fillId="4" borderId="47" xfId="1" applyNumberFormat="1" applyFont="1" applyFill="1" applyBorder="1"/>
    <xf numFmtId="3" fontId="0" fillId="0" borderId="0" xfId="0" applyNumberFormat="1" applyAlignment="1">
      <alignment vertical="center"/>
    </xf>
    <xf numFmtId="3" fontId="4" fillId="0" borderId="0" xfId="0" applyNumberFormat="1" applyFont="1" applyAlignment="1">
      <alignment horizontal="right" vertical="top" wrapText="1"/>
    </xf>
    <xf numFmtId="166" fontId="4" fillId="0" borderId="0" xfId="1" applyNumberFormat="1" applyFont="1" applyFill="1" applyBorder="1" applyAlignment="1">
      <alignment horizontal="right" vertical="top" wrapText="1"/>
    </xf>
    <xf numFmtId="3" fontId="0" fillId="0" borderId="0" xfId="0" applyNumberFormat="1"/>
    <xf numFmtId="168" fontId="0" fillId="0" borderId="0" xfId="1" applyNumberFormat="1" applyFont="1"/>
    <xf numFmtId="166" fontId="0" fillId="0" borderId="0" xfId="1" applyNumberFormat="1" applyFont="1"/>
    <xf numFmtId="166" fontId="37" fillId="0" borderId="0" xfId="1" applyNumberFormat="1" applyFont="1"/>
    <xf numFmtId="166" fontId="4" fillId="9" borderId="15" xfId="1" applyNumberFormat="1" applyFont="1" applyFill="1" applyBorder="1" applyAlignment="1">
      <alignment horizontal="right" vertical="center"/>
    </xf>
    <xf numFmtId="0" fontId="28" fillId="0" borderId="14" xfId="0" applyFont="1" applyBorder="1"/>
    <xf numFmtId="166" fontId="0" fillId="6" borderId="25" xfId="1" applyNumberFormat="1" applyFont="1" applyFill="1" applyBorder="1"/>
    <xf numFmtId="3" fontId="4" fillId="7" borderId="15" xfId="0" applyNumberFormat="1" applyFont="1" applyFill="1" applyBorder="1"/>
    <xf numFmtId="0" fontId="4" fillId="5" borderId="19" xfId="0" applyFont="1" applyFill="1" applyBorder="1" applyAlignment="1">
      <alignment horizontal="left" vertical="center"/>
    </xf>
    <xf numFmtId="169" fontId="0" fillId="0" borderId="24" xfId="0" applyNumberFormat="1" applyBorder="1"/>
    <xf numFmtId="169" fontId="0" fillId="0" borderId="0" xfId="0" applyNumberFormat="1"/>
    <xf numFmtId="166" fontId="0" fillId="0" borderId="48" xfId="1" applyNumberFormat="1" applyFont="1" applyBorder="1"/>
    <xf numFmtId="166" fontId="0" fillId="0" borderId="24" xfId="1" applyNumberFormat="1" applyFont="1" applyBorder="1"/>
    <xf numFmtId="0" fontId="14" fillId="2" borderId="36" xfId="0" applyFont="1" applyFill="1" applyBorder="1" applyAlignment="1">
      <alignment horizontal="left" vertical="center"/>
    </xf>
    <xf numFmtId="3" fontId="14" fillId="4" borderId="37" xfId="0" applyNumberFormat="1" applyFont="1" applyFill="1" applyBorder="1" applyAlignment="1">
      <alignment horizontal="right" vertical="center"/>
    </xf>
    <xf numFmtId="166" fontId="14" fillId="4" borderId="49" xfId="1" applyNumberFormat="1" applyFont="1" applyFill="1" applyBorder="1" applyAlignment="1">
      <alignment horizontal="right" vertical="center"/>
    </xf>
    <xf numFmtId="166" fontId="14" fillId="4" borderId="50" xfId="1" applyNumberFormat="1" applyFont="1" applyFill="1" applyBorder="1" applyAlignment="1">
      <alignment horizontal="right" vertical="center"/>
    </xf>
    <xf numFmtId="166" fontId="14" fillId="4" borderId="37" xfId="1" applyNumberFormat="1" applyFont="1" applyFill="1" applyBorder="1" applyAlignment="1">
      <alignment horizontal="right" vertical="center"/>
    </xf>
    <xf numFmtId="166" fontId="20" fillId="0" borderId="0" xfId="1" applyNumberFormat="1" applyFont="1" applyAlignment="1">
      <alignment vertical="center"/>
    </xf>
    <xf numFmtId="3" fontId="28" fillId="0" borderId="0" xfId="0" applyNumberFormat="1" applyFont="1" applyAlignment="1">
      <alignment horizontal="right"/>
    </xf>
    <xf numFmtId="166" fontId="28" fillId="0" borderId="0" xfId="1" applyNumberFormat="1" applyFont="1" applyAlignment="1">
      <alignment horizontal="right"/>
    </xf>
    <xf numFmtId="0" fontId="4" fillId="7" borderId="15" xfId="0" applyFont="1" applyFill="1" applyBorder="1" applyAlignment="1">
      <alignment horizontal="center"/>
    </xf>
    <xf numFmtId="166" fontId="4" fillId="3" borderId="15" xfId="1" applyNumberFormat="1" applyFont="1" applyFill="1" applyBorder="1" applyAlignment="1">
      <alignment horizontal="right" vertical="center"/>
    </xf>
    <xf numFmtId="3" fontId="4" fillId="16" borderId="11" xfId="0" applyNumberFormat="1" applyFont="1" applyFill="1" applyBorder="1" applyAlignment="1">
      <alignment vertical="center"/>
    </xf>
    <xf numFmtId="166" fontId="4" fillId="0" borderId="15" xfId="1" applyNumberFormat="1" applyFont="1" applyBorder="1" applyAlignment="1">
      <alignment horizontal="right" vertical="center"/>
    </xf>
    <xf numFmtId="166" fontId="4" fillId="5" borderId="51" xfId="1" applyNumberFormat="1" applyFont="1" applyFill="1" applyBorder="1" applyAlignment="1">
      <alignment horizontal="right" vertical="center"/>
    </xf>
    <xf numFmtId="3" fontId="28" fillId="16" borderId="11" xfId="0" applyNumberFormat="1" applyFont="1" applyFill="1" applyBorder="1" applyAlignment="1">
      <alignment vertical="center"/>
    </xf>
    <xf numFmtId="166" fontId="28" fillId="17" borderId="15" xfId="1" applyNumberFormat="1" applyFont="1" applyFill="1" applyBorder="1" applyAlignment="1">
      <alignment horizontal="right" vertical="center"/>
    </xf>
    <xf numFmtId="3" fontId="4" fillId="16" borderId="0" xfId="0" applyNumberFormat="1" applyFont="1" applyFill="1" applyAlignment="1">
      <alignment horizontal="right" vertical="center"/>
    </xf>
    <xf numFmtId="166" fontId="4" fillId="0" borderId="0" xfId="1" applyNumberFormat="1" applyFont="1" applyAlignment="1">
      <alignment horizontal="right" vertical="center"/>
    </xf>
    <xf numFmtId="166" fontId="4" fillId="16" borderId="0" xfId="1" applyNumberFormat="1" applyFont="1" applyFill="1" applyAlignment="1">
      <alignment horizontal="right" vertical="center"/>
    </xf>
    <xf numFmtId="0" fontId="0" fillId="7" borderId="15" xfId="0" applyFill="1" applyBorder="1" applyAlignment="1">
      <alignment vertical="center"/>
    </xf>
    <xf numFmtId="0" fontId="0" fillId="7" borderId="15" xfId="0" applyFill="1" applyBorder="1" applyAlignment="1">
      <alignment horizontal="center" vertical="center"/>
    </xf>
    <xf numFmtId="0" fontId="0" fillId="15" borderId="15" xfId="0" applyFill="1" applyBorder="1" applyAlignment="1">
      <alignment vertical="center"/>
    </xf>
    <xf numFmtId="166" fontId="0" fillId="15" borderId="15" xfId="1" applyNumberFormat="1" applyFont="1" applyFill="1" applyBorder="1" applyAlignment="1">
      <alignment vertical="center"/>
    </xf>
    <xf numFmtId="0" fontId="0" fillId="0" borderId="15" xfId="0" applyBorder="1"/>
    <xf numFmtId="166" fontId="0" fillId="15" borderId="15" xfId="0" applyNumberFormat="1" applyFill="1" applyBorder="1" applyAlignment="1">
      <alignment vertical="center"/>
    </xf>
    <xf numFmtId="9" fontId="0" fillId="0" borderId="0" xfId="2" applyFont="1"/>
    <xf numFmtId="166" fontId="0" fillId="5" borderId="24" xfId="1" applyNumberFormat="1" applyFont="1" applyFill="1" applyBorder="1"/>
    <xf numFmtId="166" fontId="0" fillId="5" borderId="38" xfId="1" applyNumberFormat="1" applyFont="1" applyFill="1" applyBorder="1"/>
    <xf numFmtId="166" fontId="14" fillId="4" borderId="52" xfId="1" applyNumberFormat="1" applyFont="1" applyFill="1" applyBorder="1" applyAlignment="1">
      <alignment horizontal="right" vertical="center"/>
    </xf>
    <xf numFmtId="9" fontId="33" fillId="15" borderId="20" xfId="0" applyNumberFormat="1" applyFont="1" applyFill="1" applyBorder="1" applyAlignment="1">
      <alignment vertical="center"/>
    </xf>
    <xf numFmtId="0" fontId="24" fillId="0" borderId="0" xfId="0" applyFont="1" applyAlignment="1">
      <alignment vertical="center"/>
    </xf>
    <xf numFmtId="166" fontId="38" fillId="0" borderId="0" xfId="1" applyNumberFormat="1" applyFont="1" applyAlignment="1">
      <alignment vertical="center"/>
    </xf>
    <xf numFmtId="9" fontId="33" fillId="15" borderId="15" xfId="0" applyNumberFormat="1" applyFont="1" applyFill="1" applyBorder="1" applyAlignment="1">
      <alignment vertical="center"/>
    </xf>
    <xf numFmtId="3" fontId="4" fillId="3" borderId="15" xfId="0" applyNumberFormat="1" applyFont="1" applyFill="1" applyBorder="1" applyAlignment="1">
      <alignment horizontal="right" vertical="center"/>
    </xf>
    <xf numFmtId="166" fontId="4" fillId="5" borderId="50" xfId="1" applyNumberFormat="1" applyFont="1" applyFill="1" applyBorder="1" applyAlignment="1">
      <alignment horizontal="right" vertical="center"/>
    </xf>
    <xf numFmtId="3" fontId="4" fillId="5" borderId="24" xfId="0" applyNumberFormat="1" applyFont="1" applyFill="1" applyBorder="1" applyAlignment="1">
      <alignment horizontal="right" vertical="center"/>
    </xf>
    <xf numFmtId="3" fontId="0" fillId="0" borderId="15" xfId="0" applyNumberFormat="1" applyBorder="1"/>
    <xf numFmtId="167" fontId="28" fillId="17" borderId="15" xfId="0" applyNumberFormat="1" applyFont="1" applyFill="1" applyBorder="1" applyAlignment="1">
      <alignment horizontal="right" vertical="center"/>
    </xf>
    <xf numFmtId="4" fontId="28" fillId="17" borderId="15" xfId="0" applyNumberFormat="1" applyFont="1" applyFill="1" applyBorder="1" applyAlignment="1">
      <alignment horizontal="right" vertical="center"/>
    </xf>
    <xf numFmtId="43" fontId="4" fillId="0" borderId="0" xfId="1" applyFont="1"/>
    <xf numFmtId="166" fontId="0" fillId="15" borderId="0" xfId="1" applyNumberFormat="1" applyFont="1" applyFill="1"/>
    <xf numFmtId="9" fontId="0" fillId="15" borderId="15" xfId="2" applyFont="1" applyFill="1" applyBorder="1" applyAlignment="1">
      <alignment vertical="center"/>
    </xf>
    <xf numFmtId="166" fontId="39" fillId="0" borderId="15" xfId="1" applyNumberFormat="1" applyFont="1" applyBorder="1"/>
    <xf numFmtId="166" fontId="0" fillId="0" borderId="15" xfId="1" applyNumberFormat="1" applyFont="1" applyBorder="1" applyAlignment="1">
      <alignment vertical="center"/>
    </xf>
    <xf numFmtId="9" fontId="0" fillId="0" borderId="15" xfId="2" applyFont="1" applyBorder="1" applyAlignment="1">
      <alignment vertical="center"/>
    </xf>
    <xf numFmtId="166" fontId="39" fillId="15" borderId="15" xfId="0" applyNumberFormat="1" applyFont="1" applyFill="1" applyBorder="1" applyAlignment="1">
      <alignment vertical="center"/>
    </xf>
    <xf numFmtId="43" fontId="0" fillId="0" borderId="0" xfId="0" applyNumberFormat="1"/>
    <xf numFmtId="0" fontId="40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4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6" fontId="2" fillId="3" borderId="27" xfId="1" applyNumberFormat="1" applyFont="1" applyFill="1" applyBorder="1" applyAlignment="1">
      <alignment horizontal="center" vertical="center" wrapText="1"/>
    </xf>
    <xf numFmtId="166" fontId="2" fillId="3" borderId="43" xfId="1" applyNumberFormat="1" applyFont="1" applyFill="1" applyBorder="1" applyAlignment="1">
      <alignment horizontal="center" vertical="center"/>
    </xf>
    <xf numFmtId="166" fontId="2" fillId="3" borderId="4" xfId="1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66" fontId="2" fillId="3" borderId="29" xfId="1" applyNumberFormat="1" applyFont="1" applyFill="1" applyBorder="1" applyAlignment="1">
      <alignment horizontal="center" vertical="center" wrapText="1"/>
    </xf>
    <xf numFmtId="166" fontId="2" fillId="3" borderId="45" xfId="1" applyNumberFormat="1" applyFont="1" applyFill="1" applyBorder="1" applyAlignment="1">
      <alignment horizontal="center" vertical="center" wrapText="1"/>
    </xf>
    <xf numFmtId="166" fontId="2" fillId="3" borderId="8" xfId="1" applyNumberFormat="1" applyFont="1" applyFill="1" applyBorder="1" applyAlignment="1">
      <alignment horizontal="center" vertical="center" wrapText="1"/>
    </xf>
    <xf numFmtId="166" fontId="2" fillId="0" borderId="9" xfId="1" applyNumberFormat="1" applyFont="1" applyFill="1" applyBorder="1" applyAlignment="1">
      <alignment horizontal="center"/>
    </xf>
    <xf numFmtId="0" fontId="2" fillId="0" borderId="10" xfId="0" applyFont="1" applyBorder="1"/>
    <xf numFmtId="166" fontId="2" fillId="0" borderId="53" xfId="1" applyNumberFormat="1" applyFont="1" applyBorder="1"/>
    <xf numFmtId="166" fontId="2" fillId="0" borderId="46" xfId="1" applyNumberFormat="1" applyFont="1" applyBorder="1"/>
    <xf numFmtId="166" fontId="2" fillId="0" borderId="13" xfId="1" applyNumberFormat="1" applyFont="1" applyBorder="1"/>
    <xf numFmtId="0" fontId="2" fillId="2" borderId="14" xfId="1" applyNumberFormat="1" applyFont="1" applyFill="1" applyBorder="1" applyAlignment="1">
      <alignment horizontal="left"/>
    </xf>
    <xf numFmtId="3" fontId="2" fillId="4" borderId="11" xfId="0" applyNumberFormat="1" applyFont="1" applyFill="1" applyBorder="1" applyAlignment="1">
      <alignment horizontal="right" vertical="center"/>
    </xf>
    <xf numFmtId="166" fontId="2" fillId="4" borderId="20" xfId="1" applyNumberFormat="1" applyFont="1" applyFill="1" applyBorder="1" applyAlignment="1">
      <alignment horizontal="right" vertical="center"/>
    </xf>
    <xf numFmtId="166" fontId="2" fillId="4" borderId="47" xfId="1" applyNumberFormat="1" applyFont="1" applyFill="1" applyBorder="1" applyAlignment="1">
      <alignment horizontal="right" vertical="center"/>
    </xf>
    <xf numFmtId="166" fontId="2" fillId="4" borderId="15" xfId="1" applyNumberFormat="1" applyFont="1" applyFill="1" applyBorder="1" applyAlignment="1">
      <alignment horizontal="right" vertical="center"/>
    </xf>
    <xf numFmtId="0" fontId="2" fillId="0" borderId="14" xfId="1" applyNumberFormat="1" applyFont="1" applyFill="1" applyBorder="1" applyAlignment="1">
      <alignment horizontal="left"/>
    </xf>
    <xf numFmtId="3" fontId="41" fillId="5" borderId="11" xfId="0" applyNumberFormat="1" applyFont="1" applyFill="1" applyBorder="1" applyAlignment="1">
      <alignment horizontal="right" vertical="top" wrapText="1"/>
    </xf>
    <xf numFmtId="166" fontId="41" fillId="6" borderId="20" xfId="1" applyNumberFormat="1" applyFont="1" applyFill="1" applyBorder="1" applyAlignment="1">
      <alignment horizontal="right" vertical="top" wrapText="1"/>
    </xf>
    <xf numFmtId="166" fontId="19" fillId="6" borderId="15" xfId="1" applyNumberFormat="1" applyFont="1" applyFill="1" applyBorder="1"/>
    <xf numFmtId="0" fontId="41" fillId="0" borderId="14" xfId="1" applyNumberFormat="1" applyFont="1" applyFill="1" applyBorder="1" applyAlignment="1">
      <alignment horizontal="left"/>
    </xf>
    <xf numFmtId="0" fontId="13" fillId="0" borderId="14" xfId="0" applyFont="1" applyBorder="1"/>
    <xf numFmtId="0" fontId="42" fillId="0" borderId="15" xfId="0" applyFont="1" applyBorder="1"/>
    <xf numFmtId="166" fontId="40" fillId="7" borderId="15" xfId="1" applyNumberFormat="1" applyFont="1" applyFill="1" applyBorder="1"/>
    <xf numFmtId="166" fontId="42" fillId="7" borderId="15" xfId="1" applyNumberFormat="1" applyFont="1" applyFill="1" applyBorder="1"/>
    <xf numFmtId="3" fontId="2" fillId="5" borderId="11" xfId="0" applyNumberFormat="1" applyFont="1" applyFill="1" applyBorder="1" applyAlignment="1">
      <alignment horizontal="right" vertical="top" wrapText="1"/>
    </xf>
    <xf numFmtId="3" fontId="2" fillId="8" borderId="20" xfId="0" applyNumberFormat="1" applyFont="1" applyFill="1" applyBorder="1" applyAlignment="1">
      <alignment horizontal="right" vertical="top" wrapText="1"/>
    </xf>
    <xf numFmtId="3" fontId="2" fillId="6" borderId="25" xfId="0" applyNumberFormat="1" applyFont="1" applyFill="1" applyBorder="1" applyAlignment="1">
      <alignment horizontal="right" vertical="center"/>
    </xf>
    <xf numFmtId="166" fontId="19" fillId="9" borderId="15" xfId="1" applyNumberFormat="1" applyFont="1" applyFill="1" applyBorder="1"/>
    <xf numFmtId="166" fontId="2" fillId="8" borderId="20" xfId="1" applyNumberFormat="1" applyFont="1" applyFill="1" applyBorder="1" applyAlignment="1">
      <alignment horizontal="right" vertical="top" wrapText="1"/>
    </xf>
    <xf numFmtId="0" fontId="13" fillId="0" borderId="14" xfId="1" applyNumberFormat="1" applyFont="1" applyFill="1" applyBorder="1" applyAlignment="1">
      <alignment horizontal="left"/>
    </xf>
    <xf numFmtId="166" fontId="2" fillId="6" borderId="20" xfId="1" applyNumberFormat="1" applyFont="1" applyFill="1" applyBorder="1" applyAlignment="1">
      <alignment horizontal="right" vertical="top" wrapText="1"/>
    </xf>
    <xf numFmtId="0" fontId="2" fillId="0" borderId="8" xfId="1" applyNumberFormat="1" applyFont="1" applyFill="1" applyBorder="1" applyAlignment="1">
      <alignment horizontal="left"/>
    </xf>
    <xf numFmtId="166" fontId="2" fillId="5" borderId="8" xfId="1" applyNumberFormat="1" applyFont="1" applyFill="1" applyBorder="1" applyAlignment="1">
      <alignment horizontal="right" vertical="top" wrapText="1"/>
    </xf>
    <xf numFmtId="166" fontId="2" fillId="5" borderId="17" xfId="1" applyNumberFormat="1" applyFont="1" applyFill="1" applyBorder="1" applyAlignment="1">
      <alignment horizontal="right" vertical="top" wrapText="1"/>
    </xf>
    <xf numFmtId="166" fontId="2" fillId="7" borderId="34" xfId="1" applyNumberFormat="1" applyFont="1" applyFill="1" applyBorder="1" applyAlignment="1">
      <alignment horizontal="right" vertical="top" wrapText="1"/>
    </xf>
    <xf numFmtId="166" fontId="2" fillId="6" borderId="45" xfId="1" applyNumberFormat="1" applyFont="1" applyFill="1" applyBorder="1" applyAlignment="1">
      <alignment horizontal="right" vertical="center"/>
    </xf>
    <xf numFmtId="166" fontId="2" fillId="7" borderId="8" xfId="1" applyNumberFormat="1" applyFont="1" applyFill="1" applyBorder="1" applyAlignment="1">
      <alignment horizontal="right" vertical="center"/>
    </xf>
    <xf numFmtId="166" fontId="43" fillId="5" borderId="10" xfId="1" applyNumberFormat="1" applyFont="1" applyFill="1" applyBorder="1"/>
    <xf numFmtId="166" fontId="43" fillId="7" borderId="53" xfId="1" applyNumberFormat="1" applyFont="1" applyFill="1" applyBorder="1"/>
    <xf numFmtId="166" fontId="43" fillId="7" borderId="3" xfId="1" applyNumberFormat="1" applyFont="1" applyFill="1" applyBorder="1"/>
    <xf numFmtId="166" fontId="19" fillId="7" borderId="4" xfId="1" applyNumberFormat="1" applyFont="1" applyFill="1" applyBorder="1"/>
    <xf numFmtId="166" fontId="43" fillId="5" borderId="11" xfId="1" applyNumberFormat="1" applyFont="1" applyFill="1" applyBorder="1"/>
    <xf numFmtId="166" fontId="43" fillId="7" borderId="20" xfId="1" applyNumberFormat="1" applyFont="1" applyFill="1" applyBorder="1"/>
    <xf numFmtId="166" fontId="43" fillId="7" borderId="14" xfId="1" applyNumberFormat="1" applyFont="1" applyFill="1" applyBorder="1"/>
    <xf numFmtId="166" fontId="2" fillId="7" borderId="13" xfId="1" applyNumberFormat="1" applyFont="1" applyFill="1" applyBorder="1" applyAlignment="1">
      <alignment horizontal="right" vertical="center"/>
    </xf>
    <xf numFmtId="166" fontId="43" fillId="7" borderId="16" xfId="1" applyNumberFormat="1" applyFont="1" applyFill="1" applyBorder="1"/>
    <xf numFmtId="166" fontId="8" fillId="5" borderId="11" xfId="1" applyNumberFormat="1" applyFont="1" applyFill="1" applyBorder="1"/>
    <xf numFmtId="166" fontId="7" fillId="7" borderId="20" xfId="1" applyNumberFormat="1" applyFont="1" applyFill="1" applyBorder="1"/>
    <xf numFmtId="166" fontId="7" fillId="7" borderId="16" xfId="1" applyNumberFormat="1" applyFont="1" applyFill="1" applyBorder="1"/>
    <xf numFmtId="166" fontId="7" fillId="5" borderId="11" xfId="1" applyNumberFormat="1" applyFont="1" applyFill="1" applyBorder="1"/>
    <xf numFmtId="166" fontId="19" fillId="7" borderId="15" xfId="1" applyNumberFormat="1" applyFont="1" applyFill="1" applyBorder="1"/>
    <xf numFmtId="166" fontId="7" fillId="7" borderId="20" xfId="1" applyNumberFormat="1" applyFont="1" applyFill="1" applyBorder="1" applyAlignment="1">
      <alignment horizontal="right" vertical="top" wrapText="1"/>
    </xf>
    <xf numFmtId="166" fontId="18" fillId="6" borderId="16" xfId="1" applyNumberFormat="1" applyFont="1" applyFill="1" applyBorder="1" applyAlignment="1">
      <alignment horizontal="right" vertical="center"/>
    </xf>
    <xf numFmtId="166" fontId="28" fillId="7" borderId="20" xfId="1" applyNumberFormat="1" applyFont="1" applyFill="1" applyBorder="1"/>
    <xf numFmtId="166" fontId="28" fillId="7" borderId="19" xfId="1" applyNumberFormat="1" applyFont="1" applyFill="1" applyBorder="1"/>
    <xf numFmtId="0" fontId="19" fillId="0" borderId="14" xfId="0" applyFont="1" applyBorder="1"/>
    <xf numFmtId="3" fontId="44" fillId="5" borderId="11" xfId="0" applyNumberFormat="1" applyFont="1" applyFill="1" applyBorder="1" applyAlignment="1">
      <alignment horizontal="right" vertical="center"/>
    </xf>
    <xf numFmtId="166" fontId="13" fillId="0" borderId="11" xfId="0" applyNumberFormat="1" applyFont="1" applyBorder="1"/>
    <xf numFmtId="166" fontId="44" fillId="5" borderId="20" xfId="1" applyNumberFormat="1" applyFont="1" applyFill="1" applyBorder="1" applyAlignment="1">
      <alignment horizontal="right" vertical="center"/>
    </xf>
    <xf numFmtId="166" fontId="44" fillId="5" borderId="14" xfId="1" applyNumberFormat="1" applyFont="1" applyFill="1" applyBorder="1" applyAlignment="1">
      <alignment horizontal="right" vertical="center"/>
    </xf>
    <xf numFmtId="166" fontId="19" fillId="5" borderId="15" xfId="1" applyNumberFormat="1" applyFont="1" applyFill="1" applyBorder="1"/>
    <xf numFmtId="166" fontId="2" fillId="6" borderId="16" xfId="1" applyNumberFormat="1" applyFont="1" applyFill="1" applyBorder="1" applyAlignment="1">
      <alignment horizontal="right" vertical="center"/>
    </xf>
    <xf numFmtId="3" fontId="2" fillId="5" borderId="11" xfId="0" applyNumberFormat="1" applyFont="1" applyFill="1" applyBorder="1" applyAlignment="1">
      <alignment horizontal="right" vertical="center"/>
    </xf>
    <xf numFmtId="166" fontId="2" fillId="7" borderId="20" xfId="1" applyNumberFormat="1" applyFont="1" applyFill="1" applyBorder="1" applyAlignment="1">
      <alignment horizontal="right" vertical="center"/>
    </xf>
    <xf numFmtId="166" fontId="2" fillId="6" borderId="20" xfId="1" applyNumberFormat="1" applyFont="1" applyFill="1" applyBorder="1" applyAlignment="1">
      <alignment horizontal="right" vertical="center"/>
    </xf>
    <xf numFmtId="166" fontId="2" fillId="5" borderId="11" xfId="1" applyNumberFormat="1" applyFont="1" applyFill="1" applyBorder="1" applyAlignment="1">
      <alignment horizontal="right"/>
    </xf>
    <xf numFmtId="166" fontId="2" fillId="6" borderId="20" xfId="1" applyNumberFormat="1" applyFont="1" applyFill="1" applyBorder="1" applyAlignment="1">
      <alignment horizontal="right"/>
    </xf>
    <xf numFmtId="166" fontId="2" fillId="0" borderId="20" xfId="1" applyNumberFormat="1" applyFont="1" applyBorder="1" applyAlignment="1">
      <alignment horizontal="right" vertical="top" wrapText="1"/>
    </xf>
    <xf numFmtId="3" fontId="2" fillId="6" borderId="20" xfId="0" applyNumberFormat="1" applyFont="1" applyFill="1" applyBorder="1" applyAlignment="1">
      <alignment horizontal="right" vertical="top" wrapText="1"/>
    </xf>
    <xf numFmtId="166" fontId="19" fillId="7" borderId="0" xfId="1" applyNumberFormat="1" applyFont="1" applyFill="1" applyBorder="1"/>
    <xf numFmtId="0" fontId="19" fillId="6" borderId="15" xfId="0" applyFont="1" applyFill="1" applyBorder="1"/>
    <xf numFmtId="3" fontId="2" fillId="5" borderId="11" xfId="1" applyNumberFormat="1" applyFont="1" applyFill="1" applyBorder="1" applyAlignment="1">
      <alignment horizontal="right"/>
    </xf>
    <xf numFmtId="3" fontId="2" fillId="5" borderId="11" xfId="1" applyNumberFormat="1" applyFont="1" applyFill="1" applyBorder="1"/>
    <xf numFmtId="3" fontId="2" fillId="6" borderId="20" xfId="1" applyNumberFormat="1" applyFont="1" applyFill="1" applyBorder="1"/>
    <xf numFmtId="3" fontId="2" fillId="6" borderId="20" xfId="0" applyNumberFormat="1" applyFont="1" applyFill="1" applyBorder="1" applyAlignment="1">
      <alignment horizontal="right" vertical="center"/>
    </xf>
    <xf numFmtId="3" fontId="2" fillId="5" borderId="11" xfId="0" applyNumberFormat="1" applyFont="1" applyFill="1" applyBorder="1"/>
    <xf numFmtId="3" fontId="2" fillId="6" borderId="20" xfId="0" applyNumberFormat="1" applyFont="1" applyFill="1" applyBorder="1"/>
    <xf numFmtId="0" fontId="2" fillId="0" borderId="21" xfId="0" applyFont="1" applyBorder="1" applyAlignment="1">
      <alignment horizontal="left"/>
    </xf>
    <xf numFmtId="3" fontId="2" fillId="5" borderId="17" xfId="0" applyNumberFormat="1" applyFont="1" applyFill="1" applyBorder="1"/>
    <xf numFmtId="166" fontId="2" fillId="6" borderId="34" xfId="1" applyNumberFormat="1" applyFont="1" applyFill="1" applyBorder="1"/>
    <xf numFmtId="166" fontId="2" fillId="6" borderId="7" xfId="1" applyNumberFormat="1" applyFont="1" applyFill="1" applyBorder="1" applyAlignment="1">
      <alignment horizontal="right" vertical="center"/>
    </xf>
    <xf numFmtId="166" fontId="11" fillId="6" borderId="31" xfId="1" applyNumberFormat="1" applyFont="1" applyFill="1" applyBorder="1" applyAlignment="1">
      <alignment horizontal="right" vertical="center" wrapText="1"/>
    </xf>
    <xf numFmtId="166" fontId="13" fillId="0" borderId="20" xfId="1" applyNumberFormat="1" applyFont="1" applyFill="1" applyBorder="1"/>
    <xf numFmtId="166" fontId="13" fillId="0" borderId="25" xfId="1" applyNumberFormat="1" applyFont="1" applyFill="1" applyBorder="1"/>
    <xf numFmtId="166" fontId="2" fillId="4" borderId="25" xfId="1" applyNumberFormat="1" applyFont="1" applyFill="1" applyBorder="1" applyAlignment="1">
      <alignment horizontal="right" vertical="center"/>
    </xf>
    <xf numFmtId="166" fontId="2" fillId="4" borderId="11" xfId="1" applyNumberFormat="1" applyFont="1" applyFill="1" applyBorder="1" applyAlignment="1">
      <alignment horizontal="right" vertical="center"/>
    </xf>
    <xf numFmtId="0" fontId="2" fillId="0" borderId="22" xfId="0" applyFont="1" applyBorder="1" applyAlignment="1">
      <alignment horizontal="left" vertical="center"/>
    </xf>
    <xf numFmtId="166" fontId="2" fillId="6" borderId="23" xfId="1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166" fontId="2" fillId="6" borderId="12" xfId="1" applyNumberFormat="1" applyFont="1" applyFill="1" applyBorder="1" applyAlignment="1">
      <alignment horizontal="center" vertical="center"/>
    </xf>
    <xf numFmtId="3" fontId="2" fillId="5" borderId="11" xfId="0" applyNumberFormat="1" applyFont="1" applyFill="1" applyBorder="1" applyAlignment="1">
      <alignment horizontal="right"/>
    </xf>
    <xf numFmtId="166" fontId="19" fillId="7" borderId="0" xfId="1" applyNumberFormat="1" applyFont="1" applyFill="1"/>
    <xf numFmtId="0" fontId="19" fillId="0" borderId="8" xfId="0" applyFont="1" applyBorder="1"/>
    <xf numFmtId="0" fontId="19" fillId="0" borderId="17" xfId="0" applyFont="1" applyBorder="1"/>
    <xf numFmtId="166" fontId="19" fillId="0" borderId="34" xfId="1" applyNumberFormat="1" applyFont="1" applyBorder="1"/>
    <xf numFmtId="166" fontId="19" fillId="0" borderId="45" xfId="1" applyNumberFormat="1" applyFont="1" applyBorder="1"/>
    <xf numFmtId="166" fontId="19" fillId="0" borderId="8" xfId="1" applyNumberFormat="1" applyFont="1" applyBorder="1"/>
    <xf numFmtId="166" fontId="11" fillId="6" borderId="31" xfId="1" applyNumberFormat="1" applyFont="1" applyFill="1" applyBorder="1" applyAlignment="1">
      <alignment horizontal="right" vertical="center"/>
    </xf>
    <xf numFmtId="166" fontId="31" fillId="6" borderId="25" xfId="1" applyNumberFormat="1" applyFont="1" applyFill="1" applyBorder="1" applyAlignment="1">
      <alignment horizontal="right" vertical="center"/>
    </xf>
    <xf numFmtId="166" fontId="19" fillId="0" borderId="11" xfId="1" applyNumberFormat="1" applyFont="1" applyBorder="1"/>
    <xf numFmtId="166" fontId="13" fillId="0" borderId="20" xfId="1" applyNumberFormat="1" applyFont="1" applyBorder="1"/>
    <xf numFmtId="166" fontId="2" fillId="0" borderId="25" xfId="1" applyNumberFormat="1" applyFont="1" applyBorder="1" applyAlignment="1">
      <alignment horizontal="right" vertical="center"/>
    </xf>
    <xf numFmtId="166" fontId="19" fillId="5" borderId="0" xfId="1" applyNumberFormat="1" applyFont="1" applyFill="1" applyBorder="1"/>
    <xf numFmtId="0" fontId="2" fillId="2" borderId="14" xfId="0" applyFont="1" applyFill="1" applyBorder="1"/>
    <xf numFmtId="3" fontId="2" fillId="4" borderId="11" xfId="0" applyNumberFormat="1" applyFont="1" applyFill="1" applyBorder="1"/>
    <xf numFmtId="166" fontId="2" fillId="4" borderId="20" xfId="1" applyNumberFormat="1" applyFont="1" applyFill="1" applyBorder="1"/>
    <xf numFmtId="166" fontId="2" fillId="4" borderId="25" xfId="1" applyNumberFormat="1" applyFont="1" applyFill="1" applyBorder="1"/>
    <xf numFmtId="166" fontId="2" fillId="4" borderId="15" xfId="1" applyNumberFormat="1" applyFont="1" applyFill="1" applyBorder="1"/>
    <xf numFmtId="166" fontId="2" fillId="7" borderId="20" xfId="1" applyNumberFormat="1" applyFont="1" applyFill="1" applyBorder="1"/>
    <xf numFmtId="166" fontId="19" fillId="8" borderId="0" xfId="1" applyNumberFormat="1" applyFont="1" applyFill="1"/>
    <xf numFmtId="166" fontId="2" fillId="7" borderId="20" xfId="1" applyNumberFormat="1" applyFont="1" applyFill="1" applyBorder="1" applyAlignment="1">
      <alignment horizontal="right" vertical="top" wrapText="1"/>
    </xf>
    <xf numFmtId="166" fontId="2" fillId="3" borderId="40" xfId="1" applyNumberFormat="1" applyFont="1" applyFill="1" applyBorder="1" applyAlignment="1">
      <alignment horizontal="center"/>
    </xf>
    <xf numFmtId="0" fontId="2" fillId="13" borderId="27" xfId="0" applyFont="1" applyFill="1" applyBorder="1" applyAlignment="1">
      <alignment horizontal="center" vertical="center" wrapText="1"/>
    </xf>
    <xf numFmtId="0" fontId="40" fillId="0" borderId="0" xfId="0" applyFont="1"/>
    <xf numFmtId="166" fontId="13" fillId="3" borderId="8" xfId="1" applyNumberFormat="1" applyFont="1" applyFill="1" applyBorder="1" applyAlignment="1">
      <alignment horizontal="center" vertical="center" wrapText="1"/>
    </xf>
    <xf numFmtId="166" fontId="2" fillId="14" borderId="8" xfId="1" applyNumberFormat="1" applyFont="1" applyFill="1" applyBorder="1" applyAlignment="1">
      <alignment horizontal="center" vertical="center" wrapText="1"/>
    </xf>
    <xf numFmtId="166" fontId="13" fillId="14" borderId="8" xfId="1" applyNumberFormat="1" applyFont="1" applyFill="1" applyBorder="1" applyAlignment="1">
      <alignment horizontal="center" vertical="center" wrapText="1"/>
    </xf>
    <xf numFmtId="166" fontId="13" fillId="14" borderId="17" xfId="1" applyNumberFormat="1" applyFont="1" applyFill="1" applyBorder="1" applyAlignment="1">
      <alignment horizontal="center" vertical="center" wrapText="1"/>
    </xf>
    <xf numFmtId="0" fontId="2" fillId="13" borderId="29" xfId="0" applyFont="1" applyFill="1" applyBorder="1" applyAlignment="1">
      <alignment horizontal="center" vertical="center" wrapText="1"/>
    </xf>
    <xf numFmtId="166" fontId="13" fillId="0" borderId="13" xfId="1" applyNumberFormat="1" applyFont="1" applyBorder="1"/>
    <xf numFmtId="166" fontId="13" fillId="0" borderId="10" xfId="1" applyNumberFormat="1" applyFont="1" applyBorder="1"/>
    <xf numFmtId="0" fontId="2" fillId="0" borderId="31" xfId="0" applyFont="1" applyBorder="1"/>
    <xf numFmtId="9" fontId="13" fillId="4" borderId="20" xfId="0" applyNumberFormat="1" applyFont="1" applyFill="1" applyBorder="1"/>
    <xf numFmtId="0" fontId="40" fillId="0" borderId="0" xfId="0" applyFont="1" applyAlignment="1">
      <alignment horizontal="center" vertical="center" wrapText="1"/>
    </xf>
    <xf numFmtId="166" fontId="19" fillId="5" borderId="11" xfId="1" applyNumberFormat="1" applyFont="1" applyFill="1" applyBorder="1"/>
    <xf numFmtId="166" fontId="2" fillId="5" borderId="11" xfId="1" applyNumberFormat="1" applyFont="1" applyFill="1" applyBorder="1" applyAlignment="1">
      <alignment horizontal="right" vertical="center"/>
    </xf>
    <xf numFmtId="166" fontId="42" fillId="0" borderId="15" xfId="1" applyNumberFormat="1" applyFont="1" applyBorder="1"/>
    <xf numFmtId="166" fontId="42" fillId="0" borderId="11" xfId="1" applyNumberFormat="1" applyFont="1" applyBorder="1"/>
    <xf numFmtId="0" fontId="42" fillId="4" borderId="20" xfId="0" applyFont="1" applyFill="1" applyBorder="1"/>
    <xf numFmtId="166" fontId="2" fillId="7" borderId="15" xfId="1" applyNumberFormat="1" applyFont="1" applyFill="1" applyBorder="1" applyAlignment="1">
      <alignment horizontal="right"/>
    </xf>
    <xf numFmtId="166" fontId="2" fillId="5" borderId="17" xfId="1" applyNumberFormat="1" applyFont="1" applyFill="1" applyBorder="1" applyAlignment="1">
      <alignment horizontal="right" vertical="center"/>
    </xf>
    <xf numFmtId="166" fontId="19" fillId="5" borderId="4" xfId="1" applyNumberFormat="1" applyFont="1" applyFill="1" applyBorder="1"/>
    <xf numFmtId="166" fontId="19" fillId="5" borderId="26" xfId="1" applyNumberFormat="1" applyFont="1" applyFill="1" applyBorder="1"/>
    <xf numFmtId="3" fontId="45" fillId="0" borderId="0" xfId="0" applyNumberFormat="1" applyFont="1" applyAlignment="1">
      <alignment horizontal="left" vertical="top" wrapText="1"/>
    </xf>
    <xf numFmtId="166" fontId="2" fillId="5" borderId="30" xfId="1" applyNumberFormat="1" applyFont="1" applyFill="1" applyBorder="1" applyAlignment="1">
      <alignment horizontal="right" vertical="center"/>
    </xf>
    <xf numFmtId="3" fontId="45" fillId="0" borderId="0" xfId="0" applyNumberFormat="1" applyFont="1" applyAlignment="1">
      <alignment horizontal="right" vertical="top" wrapText="1"/>
    </xf>
    <xf numFmtId="166" fontId="45" fillId="0" borderId="0" xfId="1" applyNumberFormat="1" applyFont="1" applyFill="1" applyBorder="1" applyAlignment="1">
      <alignment horizontal="right" vertical="top" wrapText="1"/>
    </xf>
    <xf numFmtId="166" fontId="19" fillId="5" borderId="33" xfId="1" applyNumberFormat="1" applyFont="1" applyFill="1" applyBorder="1"/>
    <xf numFmtId="166" fontId="2" fillId="4" borderId="32" xfId="1" applyNumberFormat="1" applyFont="1" applyFill="1" applyBorder="1" applyAlignment="1">
      <alignment horizontal="right" vertical="center"/>
    </xf>
    <xf numFmtId="3" fontId="40" fillId="0" borderId="0" xfId="0" applyNumberFormat="1" applyFont="1" applyAlignment="1">
      <alignment horizontal="left" vertical="top" wrapText="1"/>
    </xf>
    <xf numFmtId="3" fontId="2" fillId="5" borderId="33" xfId="0" applyNumberFormat="1" applyFont="1" applyFill="1" applyBorder="1" applyAlignment="1">
      <alignment horizontal="right" vertical="center"/>
    </xf>
    <xf numFmtId="166" fontId="2" fillId="4" borderId="33" xfId="1" applyNumberFormat="1" applyFont="1" applyFill="1" applyBorder="1" applyAlignment="1">
      <alignment horizontal="right" vertical="center"/>
    </xf>
    <xf numFmtId="0" fontId="45" fillId="0" borderId="0" xfId="0" applyFont="1"/>
    <xf numFmtId="166" fontId="2" fillId="6" borderId="15" xfId="1" applyNumberFormat="1" applyFont="1" applyFill="1" applyBorder="1" applyAlignment="1">
      <alignment vertical="center"/>
    </xf>
    <xf numFmtId="166" fontId="19" fillId="6" borderId="8" xfId="1" applyNumberFormat="1" applyFont="1" applyFill="1" applyBorder="1"/>
    <xf numFmtId="166" fontId="2" fillId="5" borderId="8" xfId="1" applyNumberFormat="1" applyFont="1" applyFill="1" applyBorder="1" applyAlignment="1">
      <alignment vertical="center"/>
    </xf>
    <xf numFmtId="166" fontId="11" fillId="5" borderId="10" xfId="1" applyNumberFormat="1" applyFont="1" applyFill="1" applyBorder="1"/>
    <xf numFmtId="9" fontId="11" fillId="4" borderId="20" xfId="0" applyNumberFormat="1" applyFont="1" applyFill="1" applyBorder="1"/>
    <xf numFmtId="166" fontId="40" fillId="0" borderId="0" xfId="1" applyNumberFormat="1" applyFont="1"/>
    <xf numFmtId="166" fontId="13" fillId="5" borderId="11" xfId="1" applyNumberFormat="1" applyFont="1" applyFill="1" applyBorder="1"/>
    <xf numFmtId="166" fontId="2" fillId="5" borderId="11" xfId="1" applyNumberFormat="1" applyFont="1" applyFill="1" applyBorder="1"/>
    <xf numFmtId="3" fontId="40" fillId="0" borderId="0" xfId="0" applyNumberFormat="1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166" fontId="45" fillId="0" borderId="0" xfId="1" applyNumberFormat="1" applyFont="1"/>
    <xf numFmtId="166" fontId="46" fillId="6" borderId="15" xfId="1" applyNumberFormat="1" applyFont="1" applyFill="1" applyBorder="1"/>
    <xf numFmtId="166" fontId="19" fillId="5" borderId="8" xfId="1" applyNumberFormat="1" applyFont="1" applyFill="1" applyBorder="1"/>
    <xf numFmtId="166" fontId="19" fillId="5" borderId="17" xfId="1" applyNumberFormat="1" applyFont="1" applyFill="1" applyBorder="1"/>
    <xf numFmtId="166" fontId="13" fillId="5" borderId="13" xfId="1" applyNumberFormat="1" applyFont="1" applyFill="1" applyBorder="1" applyAlignment="1">
      <alignment horizontal="right" vertical="center"/>
    </xf>
    <xf numFmtId="166" fontId="13" fillId="5" borderId="10" xfId="1" applyNumberFormat="1" applyFont="1" applyFill="1" applyBorder="1" applyAlignment="1">
      <alignment horizontal="right" vertical="center"/>
    </xf>
    <xf numFmtId="166" fontId="2" fillId="4" borderId="47" xfId="1" applyNumberFormat="1" applyFont="1" applyFill="1" applyBorder="1"/>
    <xf numFmtId="3" fontId="19" fillId="0" borderId="0" xfId="0" applyNumberFormat="1" applyFont="1"/>
    <xf numFmtId="168" fontId="19" fillId="0" borderId="0" xfId="1" applyNumberFormat="1" applyFont="1"/>
    <xf numFmtId="166" fontId="3" fillId="7" borderId="20" xfId="1" applyNumberFormat="1" applyFont="1" applyFill="1" applyBorder="1" applyAlignment="1">
      <alignment horizontal="right" vertical="top" wrapText="1"/>
    </xf>
    <xf numFmtId="166" fontId="3" fillId="6" borderId="25" xfId="1" applyNumberFormat="1" applyFont="1" applyFill="1" applyBorder="1" applyAlignment="1">
      <alignment horizontal="right" vertical="center"/>
    </xf>
    <xf numFmtId="0" fontId="2" fillId="0" borderId="22" xfId="0" applyFont="1" applyBorder="1"/>
    <xf numFmtId="166" fontId="2" fillId="9" borderId="20" xfId="1" applyNumberFormat="1" applyFont="1" applyFill="1" applyBorder="1" applyAlignment="1">
      <alignment horizontal="right" vertical="top" wrapText="1"/>
    </xf>
    <xf numFmtId="3" fontId="2" fillId="5" borderId="38" xfId="0" applyNumberFormat="1" applyFont="1" applyFill="1" applyBorder="1"/>
    <xf numFmtId="166" fontId="19" fillId="6" borderId="25" xfId="1" applyNumberFormat="1" applyFont="1" applyFill="1" applyBorder="1"/>
    <xf numFmtId="3" fontId="2" fillId="7" borderId="20" xfId="0" applyNumberFormat="1" applyFont="1" applyFill="1" applyBorder="1"/>
    <xf numFmtId="169" fontId="19" fillId="0" borderId="24" xfId="0" applyNumberFormat="1" applyFont="1" applyBorder="1"/>
    <xf numFmtId="169" fontId="19" fillId="0" borderId="0" xfId="0" applyNumberFormat="1" applyFont="1"/>
    <xf numFmtId="166" fontId="19" fillId="0" borderId="48" xfId="1" applyNumberFormat="1" applyFont="1" applyBorder="1"/>
    <xf numFmtId="166" fontId="19" fillId="0" borderId="24" xfId="1" applyNumberFormat="1" applyFont="1" applyBorder="1"/>
    <xf numFmtId="0" fontId="2" fillId="2" borderId="36" xfId="0" applyFont="1" applyFill="1" applyBorder="1" applyAlignment="1">
      <alignment horizontal="left" vertical="center"/>
    </xf>
    <xf numFmtId="3" fontId="2" fillId="4" borderId="37" xfId="0" applyNumberFormat="1" applyFont="1" applyFill="1" applyBorder="1" applyAlignment="1">
      <alignment horizontal="right" vertical="center"/>
    </xf>
    <xf numFmtId="166" fontId="2" fillId="4" borderId="49" xfId="1" applyNumberFormat="1" applyFont="1" applyFill="1" applyBorder="1" applyAlignment="1">
      <alignment horizontal="right" vertical="center"/>
    </xf>
    <xf numFmtId="166" fontId="2" fillId="4" borderId="50" xfId="1" applyNumberFormat="1" applyFont="1" applyFill="1" applyBorder="1" applyAlignment="1">
      <alignment horizontal="right" vertical="center"/>
    </xf>
    <xf numFmtId="166" fontId="2" fillId="4" borderId="37" xfId="1" applyNumberFormat="1" applyFont="1" applyFill="1" applyBorder="1" applyAlignment="1">
      <alignment horizontal="right" vertical="center"/>
    </xf>
    <xf numFmtId="166" fontId="2" fillId="0" borderId="0" xfId="1" applyNumberFormat="1" applyFont="1" applyAlignment="1">
      <alignment vertical="center"/>
    </xf>
    <xf numFmtId="166" fontId="2" fillId="3" borderId="15" xfId="1" applyNumberFormat="1" applyFont="1" applyFill="1" applyBorder="1" applyAlignment="1">
      <alignment horizontal="right" vertical="center"/>
    </xf>
    <xf numFmtId="166" fontId="2" fillId="5" borderId="51" xfId="1" applyNumberFormat="1" applyFont="1" applyFill="1" applyBorder="1" applyAlignment="1">
      <alignment horizontal="right" vertical="center"/>
    </xf>
    <xf numFmtId="0" fontId="22" fillId="7" borderId="15" xfId="0" applyFont="1" applyFill="1" applyBorder="1" applyAlignment="1">
      <alignment vertical="center"/>
    </xf>
    <xf numFmtId="0" fontId="22" fillId="7" borderId="15" xfId="0" applyFont="1" applyFill="1" applyBorder="1" applyAlignment="1">
      <alignment horizontal="center" vertical="center"/>
    </xf>
    <xf numFmtId="0" fontId="22" fillId="0" borderId="15" xfId="0" applyFont="1" applyBorder="1" applyAlignment="1">
      <alignment vertical="center"/>
    </xf>
    <xf numFmtId="166" fontId="22" fillId="0" borderId="15" xfId="1" applyNumberFormat="1" applyFont="1" applyBorder="1" applyAlignment="1">
      <alignment vertical="center"/>
    </xf>
    <xf numFmtId="166" fontId="22" fillId="7" borderId="15" xfId="0" applyNumberFormat="1" applyFont="1" applyFill="1" applyBorder="1" applyAlignment="1">
      <alignment vertical="center"/>
    </xf>
    <xf numFmtId="166" fontId="19" fillId="5" borderId="24" xfId="1" applyNumberFormat="1" applyFont="1" applyFill="1" applyBorder="1"/>
    <xf numFmtId="166" fontId="19" fillId="5" borderId="38" xfId="1" applyNumberFormat="1" applyFont="1" applyFill="1" applyBorder="1"/>
    <xf numFmtId="166" fontId="2" fillId="4" borderId="52" xfId="1" applyNumberFormat="1" applyFont="1" applyFill="1" applyBorder="1" applyAlignment="1">
      <alignment horizontal="right" vertical="center"/>
    </xf>
    <xf numFmtId="0" fontId="40" fillId="0" borderId="0" xfId="0" applyFont="1" applyAlignment="1">
      <alignment vertical="center"/>
    </xf>
    <xf numFmtId="166" fontId="19" fillId="0" borderId="0" xfId="1" applyNumberFormat="1" applyFont="1" applyAlignment="1">
      <alignment vertical="center"/>
    </xf>
    <xf numFmtId="9" fontId="11" fillId="5" borderId="20" xfId="0" applyNumberFormat="1" applyFont="1" applyFill="1" applyBorder="1" applyAlignment="1">
      <alignment vertical="center"/>
    </xf>
    <xf numFmtId="3" fontId="2" fillId="3" borderId="15" xfId="0" applyNumberFormat="1" applyFont="1" applyFill="1" applyBorder="1" applyAlignment="1">
      <alignment horizontal="right" vertical="center"/>
    </xf>
    <xf numFmtId="166" fontId="2" fillId="5" borderId="24" xfId="1" applyNumberFormat="1" applyFont="1" applyFill="1" applyBorder="1" applyAlignment="1">
      <alignment horizontal="right" vertical="center"/>
    </xf>
    <xf numFmtId="166" fontId="2" fillId="5" borderId="50" xfId="1" applyNumberFormat="1" applyFont="1" applyFill="1" applyBorder="1" applyAlignment="1">
      <alignment horizontal="right" vertical="center"/>
    </xf>
    <xf numFmtId="3" fontId="2" fillId="5" borderId="24" xfId="0" applyNumberFormat="1" applyFont="1" applyFill="1" applyBorder="1" applyAlignment="1">
      <alignment horizontal="right" vertical="center"/>
    </xf>
    <xf numFmtId="3" fontId="19" fillId="0" borderId="15" xfId="0" applyNumberFormat="1" applyFont="1" applyBorder="1"/>
    <xf numFmtId="4" fontId="13" fillId="17" borderId="15" xfId="0" applyNumberFormat="1" applyFont="1" applyFill="1" applyBorder="1" applyAlignment="1">
      <alignment horizontal="right" vertical="center"/>
    </xf>
    <xf numFmtId="9" fontId="22" fillId="0" borderId="15" xfId="2" applyFont="1" applyBorder="1" applyAlignment="1">
      <alignment vertical="center"/>
    </xf>
    <xf numFmtId="166" fontId="47" fillId="7" borderId="15" xfId="0" applyNumberFormat="1" applyFont="1" applyFill="1" applyBorder="1" applyAlignment="1">
      <alignment vertical="center"/>
    </xf>
    <xf numFmtId="166" fontId="22" fillId="7" borderId="15" xfId="1" applyNumberFormat="1" applyFont="1" applyFill="1" applyBorder="1" applyAlignment="1">
      <alignment vertical="center"/>
    </xf>
    <xf numFmtId="0" fontId="22" fillId="0" borderId="15" xfId="0" applyFont="1" applyBorder="1"/>
    <xf numFmtId="166" fontId="41" fillId="0" borderId="0" xfId="1" applyNumberFormat="1" applyFont="1"/>
    <xf numFmtId="0" fontId="3" fillId="2" borderId="1" xfId="0" applyFont="1" applyFill="1" applyBorder="1" applyAlignment="1">
      <alignment horizontal="left" vertical="center"/>
    </xf>
    <xf numFmtId="0" fontId="3" fillId="2" borderId="40" xfId="0" applyFont="1" applyFill="1" applyBorder="1" applyAlignment="1">
      <alignment horizontal="center" vertical="center" wrapText="1"/>
    </xf>
    <xf numFmtId="166" fontId="3" fillId="3" borderId="27" xfId="1" applyNumberFormat="1" applyFont="1" applyFill="1" applyBorder="1" applyAlignment="1">
      <alignment horizontal="center" vertical="center" wrapText="1"/>
    </xf>
    <xf numFmtId="166" fontId="3" fillId="3" borderId="43" xfId="1" applyNumberFormat="1" applyFont="1" applyFill="1" applyBorder="1" applyAlignment="1">
      <alignment horizontal="center" vertical="center"/>
    </xf>
    <xf numFmtId="166" fontId="3" fillId="3" borderId="4" xfId="1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left" vertical="center"/>
    </xf>
    <xf numFmtId="0" fontId="3" fillId="2" borderId="17" xfId="0" applyFont="1" applyFill="1" applyBorder="1" applyAlignment="1">
      <alignment horizontal="center" vertical="center" wrapText="1"/>
    </xf>
    <xf numFmtId="166" fontId="3" fillId="3" borderId="29" xfId="1" applyNumberFormat="1" applyFont="1" applyFill="1" applyBorder="1" applyAlignment="1">
      <alignment horizontal="center" vertical="center" wrapText="1"/>
    </xf>
    <xf numFmtId="166" fontId="3" fillId="3" borderId="45" xfId="1" applyNumberFormat="1" applyFont="1" applyFill="1" applyBorder="1" applyAlignment="1">
      <alignment horizontal="center" vertical="center" wrapText="1"/>
    </xf>
    <xf numFmtId="166" fontId="3" fillId="4" borderId="20" xfId="1" applyNumberFormat="1" applyFont="1" applyFill="1" applyBorder="1" applyAlignment="1">
      <alignment horizontal="right" vertical="center"/>
    </xf>
    <xf numFmtId="166" fontId="3" fillId="4" borderId="47" xfId="1" applyNumberFormat="1" applyFont="1" applyFill="1" applyBorder="1" applyAlignment="1">
      <alignment horizontal="right" vertical="center"/>
    </xf>
    <xf numFmtId="166" fontId="43" fillId="7" borderId="31" xfId="1" applyNumberFormat="1" applyFont="1" applyFill="1" applyBorder="1"/>
    <xf numFmtId="166" fontId="29" fillId="7" borderId="46" xfId="1" applyNumberFormat="1" applyFont="1" applyFill="1" applyBorder="1"/>
    <xf numFmtId="166" fontId="19" fillId="7" borderId="13" xfId="1" applyNumberFormat="1" applyFont="1" applyFill="1" applyBorder="1"/>
    <xf numFmtId="166" fontId="29" fillId="7" borderId="47" xfId="1" applyNumberFormat="1" applyFont="1" applyFill="1" applyBorder="1"/>
    <xf numFmtId="166" fontId="29" fillId="7" borderId="25" xfId="1" applyNumberFormat="1" applyFont="1" applyFill="1" applyBorder="1"/>
    <xf numFmtId="166" fontId="11" fillId="7" borderId="25" xfId="1" applyNumberFormat="1" applyFont="1" applyFill="1" applyBorder="1"/>
    <xf numFmtId="166" fontId="11" fillId="7" borderId="47" xfId="1" applyNumberFormat="1" applyFont="1" applyFill="1" applyBorder="1"/>
    <xf numFmtId="166" fontId="11" fillId="6" borderId="25" xfId="1" applyNumberFormat="1" applyFont="1" applyFill="1" applyBorder="1" applyAlignment="1">
      <alignment horizontal="right" vertical="center"/>
    </xf>
    <xf numFmtId="166" fontId="10" fillId="0" borderId="0" xfId="0" applyNumberFormat="1" applyFont="1"/>
    <xf numFmtId="166" fontId="10" fillId="0" borderId="11" xfId="0" applyNumberFormat="1" applyFont="1" applyBorder="1"/>
    <xf numFmtId="166" fontId="10" fillId="7" borderId="20" xfId="1" applyNumberFormat="1" applyFont="1" applyFill="1" applyBorder="1"/>
    <xf numFmtId="166" fontId="12" fillId="7" borderId="0" xfId="1" applyNumberFormat="1" applyFont="1" applyFill="1"/>
    <xf numFmtId="3" fontId="48" fillId="5" borderId="11" xfId="0" applyNumberFormat="1" applyFont="1" applyFill="1" applyBorder="1" applyAlignment="1">
      <alignment horizontal="right" vertical="center"/>
    </xf>
    <xf numFmtId="166" fontId="48" fillId="5" borderId="20" xfId="1" applyNumberFormat="1" applyFont="1" applyFill="1" applyBorder="1" applyAlignment="1">
      <alignment horizontal="right" vertical="center"/>
    </xf>
    <xf numFmtId="166" fontId="48" fillId="5" borderId="47" xfId="1" applyNumberFormat="1" applyFont="1" applyFill="1" applyBorder="1" applyAlignment="1">
      <alignment horizontal="right" vertical="center"/>
    </xf>
    <xf numFmtId="166" fontId="10" fillId="6" borderId="31" xfId="1" applyNumberFormat="1" applyFont="1" applyFill="1" applyBorder="1" applyAlignment="1">
      <alignment horizontal="right" vertical="center" wrapText="1"/>
    </xf>
    <xf numFmtId="3" fontId="49" fillId="6" borderId="25" xfId="0" applyNumberFormat="1" applyFont="1" applyFill="1" applyBorder="1" applyAlignment="1">
      <alignment horizontal="right" vertical="center"/>
    </xf>
    <xf numFmtId="166" fontId="10" fillId="6" borderId="13" xfId="1" applyNumberFormat="1" applyFont="1" applyFill="1" applyBorder="1" applyAlignment="1">
      <alignment horizontal="right" vertical="center"/>
    </xf>
    <xf numFmtId="166" fontId="3" fillId="4" borderId="25" xfId="1" applyNumberFormat="1" applyFont="1" applyFill="1" applyBorder="1" applyAlignment="1">
      <alignment horizontal="right" vertical="center"/>
    </xf>
    <xf numFmtId="3" fontId="2" fillId="5" borderId="38" xfId="0" applyNumberFormat="1" applyFont="1" applyFill="1" applyBorder="1" applyAlignment="1">
      <alignment horizontal="center" vertical="center"/>
    </xf>
    <xf numFmtId="166" fontId="2" fillId="6" borderId="48" xfId="1" applyNumberFormat="1" applyFont="1" applyFill="1" applyBorder="1" applyAlignment="1">
      <alignment horizontal="center" vertical="center"/>
    </xf>
    <xf numFmtId="3" fontId="2" fillId="5" borderId="10" xfId="0" applyNumberFormat="1" applyFont="1" applyFill="1" applyBorder="1" applyAlignment="1">
      <alignment horizontal="center" vertical="center"/>
    </xf>
    <xf numFmtId="166" fontId="2" fillId="6" borderId="46" xfId="1" applyNumberFormat="1" applyFont="1" applyFill="1" applyBorder="1" applyAlignment="1">
      <alignment horizontal="center" vertical="center"/>
    </xf>
    <xf numFmtId="0" fontId="10" fillId="0" borderId="19" xfId="0" applyFont="1" applyBorder="1"/>
    <xf numFmtId="3" fontId="10" fillId="5" borderId="10" xfId="0" applyNumberFormat="1" applyFont="1" applyFill="1" applyBorder="1" applyAlignment="1">
      <alignment horizontal="right" vertical="center"/>
    </xf>
    <xf numFmtId="166" fontId="10" fillId="6" borderId="31" xfId="1" applyNumberFormat="1" applyFont="1" applyFill="1" applyBorder="1" applyAlignment="1">
      <alignment horizontal="right" vertical="center"/>
    </xf>
    <xf numFmtId="166" fontId="20" fillId="6" borderId="25" xfId="1" applyNumberFormat="1" applyFont="1" applyFill="1" applyBorder="1" applyAlignment="1">
      <alignment horizontal="right" vertical="center"/>
    </xf>
    <xf numFmtId="166" fontId="49" fillId="7" borderId="13" xfId="1" applyNumberFormat="1" applyFont="1" applyFill="1" applyBorder="1"/>
    <xf numFmtId="166" fontId="10" fillId="6" borderId="13" xfId="1" applyNumberFormat="1" applyFont="1" applyFill="1" applyBorder="1"/>
    <xf numFmtId="166" fontId="3" fillId="4" borderId="20" xfId="1" applyNumberFormat="1" applyFont="1" applyFill="1" applyBorder="1"/>
    <xf numFmtId="166" fontId="3" fillId="4" borderId="25" xfId="1" applyNumberFormat="1" applyFont="1" applyFill="1" applyBorder="1"/>
    <xf numFmtId="166" fontId="3" fillId="4" borderId="15" xfId="1" applyNumberFormat="1" applyFont="1" applyFill="1" applyBorder="1"/>
    <xf numFmtId="166" fontId="3" fillId="3" borderId="40" xfId="1" applyNumberFormat="1" applyFont="1" applyFill="1" applyBorder="1" applyAlignment="1">
      <alignment horizontal="center"/>
    </xf>
    <xf numFmtId="166" fontId="16" fillId="14" borderId="17" xfId="1" applyNumberFormat="1" applyFont="1" applyFill="1" applyBorder="1" applyAlignment="1">
      <alignment horizontal="center" vertical="center" wrapText="1"/>
    </xf>
    <xf numFmtId="9" fontId="16" fillId="4" borderId="20" xfId="0" applyNumberFormat="1" applyFont="1" applyFill="1" applyBorder="1"/>
    <xf numFmtId="9" fontId="13" fillId="15" borderId="20" xfId="0" applyNumberFormat="1" applyFont="1" applyFill="1" applyBorder="1"/>
    <xf numFmtId="9" fontId="16" fillId="15" borderId="20" xfId="0" applyNumberFormat="1" applyFont="1" applyFill="1" applyBorder="1"/>
    <xf numFmtId="166" fontId="19" fillId="5" borderId="13" xfId="1" applyNumberFormat="1" applyFont="1" applyFill="1" applyBorder="1"/>
    <xf numFmtId="166" fontId="19" fillId="5" borderId="10" xfId="1" applyNumberFormat="1" applyFont="1" applyFill="1" applyBorder="1"/>
    <xf numFmtId="166" fontId="2" fillId="5" borderId="10" xfId="1" applyNumberFormat="1" applyFont="1" applyFill="1" applyBorder="1" applyAlignment="1">
      <alignment horizontal="right" vertical="center"/>
    </xf>
    <xf numFmtId="9" fontId="12" fillId="15" borderId="20" xfId="0" applyNumberFormat="1" applyFont="1" applyFill="1" applyBorder="1"/>
    <xf numFmtId="9" fontId="16" fillId="13" borderId="20" xfId="0" applyNumberFormat="1" applyFont="1" applyFill="1" applyBorder="1"/>
    <xf numFmtId="166" fontId="2" fillId="5" borderId="38" xfId="1" applyNumberFormat="1" applyFont="1" applyFill="1" applyBorder="1"/>
    <xf numFmtId="3" fontId="2" fillId="5" borderId="11" xfId="1" applyNumberFormat="1" applyFont="1" applyFill="1" applyBorder="1" applyAlignment="1">
      <alignment horizontal="right" vertical="center"/>
    </xf>
    <xf numFmtId="166" fontId="50" fillId="8" borderId="13" xfId="1" applyNumberFormat="1" applyFont="1" applyFill="1" applyBorder="1"/>
    <xf numFmtId="166" fontId="10" fillId="5" borderId="13" xfId="1" applyNumberFormat="1" applyFont="1" applyFill="1" applyBorder="1" applyAlignment="1">
      <alignment vertical="center"/>
    </xf>
    <xf numFmtId="166" fontId="10" fillId="5" borderId="13" xfId="1" applyNumberFormat="1" applyFont="1" applyFill="1" applyBorder="1" applyAlignment="1">
      <alignment horizontal="right" vertical="center"/>
    </xf>
    <xf numFmtId="166" fontId="10" fillId="5" borderId="10" xfId="1" applyNumberFormat="1" applyFont="1" applyFill="1" applyBorder="1"/>
    <xf numFmtId="166" fontId="1" fillId="0" borderId="0" xfId="1" applyNumberFormat="1" applyFont="1"/>
    <xf numFmtId="9" fontId="16" fillId="15" borderId="14" xfId="0" applyNumberFormat="1" applyFont="1" applyFill="1" applyBorder="1"/>
    <xf numFmtId="9" fontId="16" fillId="5" borderId="54" xfId="0" applyNumberFormat="1" applyFont="1" applyFill="1" applyBorder="1"/>
    <xf numFmtId="9" fontId="16" fillId="15" borderId="55" xfId="0" applyNumberFormat="1" applyFont="1" applyFill="1" applyBorder="1" applyAlignment="1">
      <alignment horizontal="center" vertical="center"/>
    </xf>
    <xf numFmtId="9" fontId="16" fillId="15" borderId="31" xfId="0" applyNumberFormat="1" applyFont="1" applyFill="1" applyBorder="1" applyAlignment="1">
      <alignment horizontal="center" vertical="center"/>
    </xf>
    <xf numFmtId="166" fontId="7" fillId="5" borderId="13" xfId="1" applyNumberFormat="1" applyFont="1" applyFill="1" applyBorder="1" applyAlignment="1">
      <alignment horizontal="right" vertical="center"/>
    </xf>
    <xf numFmtId="166" fontId="7" fillId="5" borderId="10" xfId="1" applyNumberFormat="1" applyFont="1" applyFill="1" applyBorder="1" applyAlignment="1">
      <alignment horizontal="right" vertical="center"/>
    </xf>
    <xf numFmtId="166" fontId="51" fillId="0" borderId="0" xfId="1" applyNumberFormat="1" applyFont="1"/>
    <xf numFmtId="166" fontId="3" fillId="4" borderId="47" xfId="1" applyNumberFormat="1" applyFont="1" applyFill="1" applyBorder="1"/>
    <xf numFmtId="0" fontId="41" fillId="0" borderId="14" xfId="0" applyFont="1" applyBorder="1"/>
    <xf numFmtId="166" fontId="19" fillId="0" borderId="55" xfId="1" applyNumberFormat="1" applyFont="1" applyBorder="1"/>
    <xf numFmtId="3" fontId="3" fillId="4" borderId="52" xfId="0" applyNumberFormat="1" applyFont="1" applyFill="1" applyBorder="1" applyAlignment="1">
      <alignment horizontal="right" vertical="center"/>
    </xf>
    <xf numFmtId="166" fontId="3" fillId="4" borderId="49" xfId="1" applyNumberFormat="1" applyFont="1" applyFill="1" applyBorder="1" applyAlignment="1">
      <alignment horizontal="right" vertical="center"/>
    </xf>
    <xf numFmtId="166" fontId="3" fillId="4" borderId="50" xfId="1" applyNumberFormat="1" applyFont="1" applyFill="1" applyBorder="1" applyAlignment="1">
      <alignment horizontal="right" vertical="center"/>
    </xf>
    <xf numFmtId="166" fontId="3" fillId="4" borderId="37" xfId="1" applyNumberFormat="1" applyFont="1" applyFill="1" applyBorder="1" applyAlignment="1">
      <alignment horizontal="right" vertical="center"/>
    </xf>
    <xf numFmtId="0" fontId="49" fillId="0" borderId="13" xfId="0" applyFont="1" applyBorder="1" applyAlignment="1">
      <alignment vertical="center"/>
    </xf>
    <xf numFmtId="3" fontId="10" fillId="0" borderId="13" xfId="0" applyNumberFormat="1" applyFont="1" applyBorder="1" applyAlignment="1">
      <alignment horizontal="right" vertical="center"/>
    </xf>
    <xf numFmtId="166" fontId="10" fillId="0" borderId="13" xfId="1" applyNumberFormat="1" applyFont="1" applyBorder="1" applyAlignment="1">
      <alignment horizontal="right" vertical="center"/>
    </xf>
    <xf numFmtId="166" fontId="41" fillId="0" borderId="0" xfId="1" applyNumberFormat="1" applyFont="1" applyAlignment="1">
      <alignment horizontal="right" vertical="center"/>
    </xf>
    <xf numFmtId="0" fontId="52" fillId="7" borderId="15" xfId="0" applyFont="1" applyFill="1" applyBorder="1" applyAlignment="1">
      <alignment horizontal="center" vertical="center"/>
    </xf>
    <xf numFmtId="0" fontId="53" fillId="0" borderId="15" xfId="0" applyFont="1" applyBorder="1" applyAlignment="1">
      <alignment vertical="center"/>
    </xf>
    <xf numFmtId="166" fontId="53" fillId="0" borderId="15" xfId="1" applyNumberFormat="1" applyFont="1" applyBorder="1" applyAlignment="1">
      <alignment vertical="center"/>
    </xf>
    <xf numFmtId="166" fontId="38" fillId="0" borderId="15" xfId="1" applyNumberFormat="1" applyFont="1" applyBorder="1" applyAlignment="1">
      <alignment vertical="center"/>
    </xf>
    <xf numFmtId="0" fontId="38" fillId="0" borderId="15" xfId="0" applyFont="1" applyBorder="1" applyAlignment="1">
      <alignment vertical="center"/>
    </xf>
    <xf numFmtId="0" fontId="38" fillId="7" borderId="15" xfId="0" applyFont="1" applyFill="1" applyBorder="1" applyAlignment="1">
      <alignment vertical="center"/>
    </xf>
    <xf numFmtId="166" fontId="38" fillId="7" borderId="15" xfId="0" applyNumberFormat="1" applyFont="1" applyFill="1" applyBorder="1" applyAlignment="1">
      <alignment vertical="center"/>
    </xf>
    <xf numFmtId="9" fontId="22" fillId="0" borderId="0" xfId="2" applyFont="1"/>
    <xf numFmtId="166" fontId="3" fillId="4" borderId="52" xfId="1" applyNumberFormat="1" applyFont="1" applyFill="1" applyBorder="1" applyAlignment="1">
      <alignment horizontal="right" vertical="center"/>
    </xf>
    <xf numFmtId="9" fontId="12" fillId="5" borderId="20" xfId="0" applyNumberFormat="1" applyFont="1" applyFill="1" applyBorder="1" applyAlignment="1">
      <alignment vertical="center"/>
    </xf>
    <xf numFmtId="166" fontId="54" fillId="0" borderId="15" xfId="1" applyNumberFormat="1" applyFont="1" applyBorder="1" applyAlignment="1">
      <alignment vertical="center"/>
    </xf>
    <xf numFmtId="170" fontId="38" fillId="0" borderId="15" xfId="0" applyNumberFormat="1" applyFont="1" applyBorder="1" applyAlignment="1">
      <alignment vertical="center"/>
    </xf>
    <xf numFmtId="166" fontId="37" fillId="0" borderId="15" xfId="1" applyNumberFormat="1" applyFont="1" applyBorder="1" applyAlignment="1">
      <alignment vertical="center"/>
    </xf>
    <xf numFmtId="170" fontId="19" fillId="0" borderId="15" xfId="0" applyNumberFormat="1" applyFont="1" applyBorder="1"/>
    <xf numFmtId="0" fontId="19" fillId="0" borderId="15" xfId="0" applyFont="1" applyBorder="1" applyAlignment="1">
      <alignment vertical="center"/>
    </xf>
    <xf numFmtId="9" fontId="38" fillId="0" borderId="15" xfId="2" applyFont="1" applyBorder="1" applyAlignment="1">
      <alignment vertical="center"/>
    </xf>
    <xf numFmtId="166" fontId="54" fillId="7" borderId="15" xfId="0" applyNumberFormat="1" applyFont="1" applyFill="1" applyBorder="1" applyAlignment="1">
      <alignment vertical="center"/>
    </xf>
    <xf numFmtId="166" fontId="38" fillId="7" borderId="15" xfId="1" applyNumberFormat="1" applyFont="1" applyFill="1" applyBorder="1" applyAlignment="1">
      <alignment vertical="center"/>
    </xf>
    <xf numFmtId="166" fontId="43" fillId="7" borderId="46" xfId="1" applyNumberFormat="1" applyFont="1" applyFill="1" applyBorder="1"/>
    <xf numFmtId="166" fontId="43" fillId="7" borderId="47" xfId="1" applyNumberFormat="1" applyFont="1" applyFill="1" applyBorder="1"/>
    <xf numFmtId="166" fontId="43" fillId="7" borderId="25" xfId="1" applyNumberFormat="1" applyFont="1" applyFill="1" applyBorder="1"/>
    <xf numFmtId="166" fontId="7" fillId="7" borderId="25" xfId="1" applyNumberFormat="1" applyFont="1" applyFill="1" applyBorder="1"/>
    <xf numFmtId="166" fontId="7" fillId="7" borderId="47" xfId="1" applyNumberFormat="1" applyFont="1" applyFill="1" applyBorder="1"/>
    <xf numFmtId="166" fontId="7" fillId="6" borderId="25" xfId="1" applyNumberFormat="1" applyFont="1" applyFill="1" applyBorder="1" applyAlignment="1">
      <alignment horizontal="right" vertical="center"/>
    </xf>
    <xf numFmtId="166" fontId="10" fillId="7" borderId="0" xfId="1" applyNumberFormat="1" applyFont="1" applyFill="1"/>
    <xf numFmtId="3" fontId="2" fillId="5" borderId="38" xfId="0" applyNumberFormat="1" applyFont="1" applyFill="1" applyBorder="1" applyAlignment="1">
      <alignment horizontal="right" vertical="center"/>
    </xf>
    <xf numFmtId="3" fontId="2" fillId="5" borderId="10" xfId="0" applyNumberFormat="1" applyFont="1" applyFill="1" applyBorder="1" applyAlignment="1">
      <alignment horizontal="right" vertical="center"/>
    </xf>
    <xf numFmtId="166" fontId="49" fillId="6" borderId="25" xfId="1" applyNumberFormat="1" applyFont="1" applyFill="1" applyBorder="1" applyAlignment="1">
      <alignment horizontal="right" vertical="center"/>
    </xf>
    <xf numFmtId="9" fontId="13" fillId="13" borderId="20" xfId="0" applyNumberFormat="1" applyFont="1" applyFill="1" applyBorder="1"/>
    <xf numFmtId="9" fontId="10" fillId="13" borderId="20" xfId="0" applyNumberFormat="1" applyFont="1" applyFill="1" applyBorder="1"/>
    <xf numFmtId="9" fontId="16" fillId="5" borderId="20" xfId="0" applyNumberFormat="1" applyFont="1" applyFill="1" applyBorder="1"/>
    <xf numFmtId="9" fontId="13" fillId="13" borderId="55" xfId="0" applyNumberFormat="1" applyFont="1" applyFill="1" applyBorder="1" applyAlignment="1">
      <alignment horizontal="right" vertical="center"/>
    </xf>
    <xf numFmtId="9" fontId="13" fillId="13" borderId="31" xfId="0" applyNumberFormat="1" applyFont="1" applyFill="1" applyBorder="1" applyAlignment="1">
      <alignment horizontal="right" vertical="center"/>
    </xf>
    <xf numFmtId="0" fontId="19" fillId="0" borderId="34" xfId="0" applyFont="1" applyBorder="1"/>
    <xf numFmtId="9" fontId="16" fillId="13" borderId="55" xfId="0" applyNumberFormat="1" applyFont="1" applyFill="1" applyBorder="1"/>
    <xf numFmtId="9" fontId="16" fillId="4" borderId="20" xfId="0" applyNumberFormat="1" applyFont="1" applyFill="1" applyBorder="1" applyAlignment="1">
      <alignment vertical="center"/>
    </xf>
    <xf numFmtId="9" fontId="13" fillId="5" borderId="0" xfId="0" applyNumberFormat="1" applyFont="1" applyFill="1" applyAlignment="1">
      <alignment vertical="center"/>
    </xf>
    <xf numFmtId="0" fontId="3" fillId="4" borderId="40" xfId="0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 wrapText="1"/>
    </xf>
    <xf numFmtId="0" fontId="3" fillId="3" borderId="4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/>
    </xf>
    <xf numFmtId="0" fontId="3" fillId="4" borderId="17" xfId="0" applyFont="1" applyFill="1" applyBorder="1" applyAlignment="1">
      <alignment horizontal="center" vertical="center" wrapText="1"/>
    </xf>
    <xf numFmtId="0" fontId="3" fillId="3" borderId="29" xfId="0" applyFont="1" applyFill="1" applyBorder="1" applyAlignment="1">
      <alignment horizontal="center" vertical="center" wrapText="1"/>
    </xf>
    <xf numFmtId="0" fontId="3" fillId="3" borderId="4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2" fillId="0" borderId="53" xfId="0" applyFont="1" applyBorder="1"/>
    <xf numFmtId="0" fontId="2" fillId="0" borderId="46" xfId="0" applyFont="1" applyBorder="1"/>
    <xf numFmtId="0" fontId="2" fillId="0" borderId="13" xfId="0" applyFont="1" applyBorder="1"/>
    <xf numFmtId="3" fontId="3" fillId="4" borderId="20" xfId="0" applyNumberFormat="1" applyFont="1" applyFill="1" applyBorder="1" applyAlignment="1">
      <alignment horizontal="right" vertical="center"/>
    </xf>
    <xf numFmtId="3" fontId="3" fillId="4" borderId="47" xfId="0" applyNumberFormat="1" applyFont="1" applyFill="1" applyBorder="1" applyAlignment="1">
      <alignment horizontal="right" vertical="center"/>
    </xf>
    <xf numFmtId="3" fontId="2" fillId="6" borderId="45" xfId="0" applyNumberFormat="1" applyFont="1" applyFill="1" applyBorder="1" applyAlignment="1">
      <alignment horizontal="right" vertical="center"/>
    </xf>
    <xf numFmtId="3" fontId="2" fillId="7" borderId="8" xfId="0" applyNumberFormat="1" applyFont="1" applyFill="1" applyBorder="1" applyAlignment="1">
      <alignment horizontal="right" vertical="center"/>
    </xf>
    <xf numFmtId="0" fontId="19" fillId="7" borderId="13" xfId="0" applyFont="1" applyFill="1" applyBorder="1"/>
    <xf numFmtId="3" fontId="2" fillId="7" borderId="13" xfId="0" applyNumberFormat="1" applyFont="1" applyFill="1" applyBorder="1" applyAlignment="1">
      <alignment horizontal="right" vertical="center"/>
    </xf>
    <xf numFmtId="3" fontId="2" fillId="7" borderId="15" xfId="0" applyNumberFormat="1" applyFont="1" applyFill="1" applyBorder="1" applyAlignment="1">
      <alignment horizontal="right" vertical="center"/>
    </xf>
    <xf numFmtId="171" fontId="2" fillId="7" borderId="15" xfId="0" applyNumberFormat="1" applyFont="1" applyFill="1" applyBorder="1" applyAlignment="1">
      <alignment horizontal="right" vertical="center"/>
    </xf>
    <xf numFmtId="166" fontId="10" fillId="5" borderId="11" xfId="1" applyNumberFormat="1" applyFont="1" applyFill="1" applyBorder="1"/>
    <xf numFmtId="0" fontId="19" fillId="7" borderId="15" xfId="0" applyFont="1" applyFill="1" applyBorder="1"/>
    <xf numFmtId="3" fontId="7" fillId="6" borderId="25" xfId="0" applyNumberFormat="1" applyFont="1" applyFill="1" applyBorder="1" applyAlignment="1">
      <alignment horizontal="right" vertical="center"/>
    </xf>
    <xf numFmtId="3" fontId="7" fillId="7" borderId="15" xfId="0" applyNumberFormat="1" applyFont="1" applyFill="1" applyBorder="1" applyAlignment="1">
      <alignment horizontal="right" vertical="center"/>
    </xf>
    <xf numFmtId="166" fontId="10" fillId="7" borderId="20" xfId="0" applyNumberFormat="1" applyFont="1" applyFill="1" applyBorder="1"/>
    <xf numFmtId="166" fontId="10" fillId="7" borderId="0" xfId="0" applyNumberFormat="1" applyFont="1" applyFill="1"/>
    <xf numFmtId="3" fontId="13" fillId="7" borderId="15" xfId="0" applyNumberFormat="1" applyFont="1" applyFill="1" applyBorder="1" applyAlignment="1">
      <alignment horizontal="right" vertical="center"/>
    </xf>
    <xf numFmtId="0" fontId="19" fillId="7" borderId="0" xfId="0" applyFont="1" applyFill="1"/>
    <xf numFmtId="3" fontId="48" fillId="5" borderId="20" xfId="0" applyNumberFormat="1" applyFont="1" applyFill="1" applyBorder="1" applyAlignment="1">
      <alignment horizontal="right" vertical="center"/>
    </xf>
    <xf numFmtId="3" fontId="48" fillId="5" borderId="47" xfId="0" applyNumberFormat="1" applyFont="1" applyFill="1" applyBorder="1" applyAlignment="1">
      <alignment horizontal="right" vertical="center"/>
    </xf>
    <xf numFmtId="0" fontId="19" fillId="5" borderId="15" xfId="0" applyFont="1" applyFill="1" applyBorder="1"/>
    <xf numFmtId="3" fontId="3" fillId="4" borderId="32" xfId="0" applyNumberFormat="1" applyFont="1" applyFill="1" applyBorder="1" applyAlignment="1">
      <alignment horizontal="right" vertical="center"/>
    </xf>
    <xf numFmtId="3" fontId="2" fillId="7" borderId="20" xfId="0" applyNumberFormat="1" applyFont="1" applyFill="1" applyBorder="1" applyAlignment="1">
      <alignment horizontal="right" vertical="center"/>
    </xf>
    <xf numFmtId="3" fontId="2" fillId="0" borderId="20" xfId="0" applyNumberFormat="1" applyFont="1" applyBorder="1" applyAlignment="1">
      <alignment horizontal="right" vertical="top" wrapText="1"/>
    </xf>
    <xf numFmtId="3" fontId="2" fillId="0" borderId="25" xfId="0" applyNumberFormat="1" applyFont="1" applyBorder="1" applyAlignment="1">
      <alignment horizontal="right" vertical="center"/>
    </xf>
    <xf numFmtId="3" fontId="2" fillId="6" borderId="20" xfId="1" applyNumberFormat="1" applyFont="1" applyFill="1" applyBorder="1" applyAlignment="1">
      <alignment horizontal="right"/>
    </xf>
    <xf numFmtId="3" fontId="2" fillId="6" borderId="34" xfId="0" applyNumberFormat="1" applyFont="1" applyFill="1" applyBorder="1"/>
    <xf numFmtId="3" fontId="2" fillId="6" borderId="8" xfId="0" applyNumberFormat="1" applyFont="1" applyFill="1" applyBorder="1" applyAlignment="1">
      <alignment horizontal="right" vertical="center"/>
    </xf>
    <xf numFmtId="3" fontId="7" fillId="5" borderId="10" xfId="0" applyNumberFormat="1" applyFont="1" applyFill="1" applyBorder="1" applyAlignment="1">
      <alignment horizontal="right" vertical="center" wrapText="1"/>
    </xf>
    <xf numFmtId="3" fontId="7" fillId="6" borderId="31" xfId="0" applyNumberFormat="1" applyFont="1" applyFill="1" applyBorder="1" applyAlignment="1">
      <alignment horizontal="right" vertical="center" wrapText="1"/>
    </xf>
    <xf numFmtId="3" fontId="7" fillId="6" borderId="46" xfId="0" applyNumberFormat="1" applyFont="1" applyFill="1" applyBorder="1" applyAlignment="1">
      <alignment horizontal="right" vertical="center"/>
    </xf>
    <xf numFmtId="3" fontId="7" fillId="6" borderId="13" xfId="0" applyNumberFormat="1" applyFont="1" applyFill="1" applyBorder="1" applyAlignment="1">
      <alignment horizontal="right" vertical="center"/>
    </xf>
    <xf numFmtId="3" fontId="13" fillId="0" borderId="20" xfId="1" applyNumberFormat="1" applyFont="1" applyFill="1" applyBorder="1"/>
    <xf numFmtId="3" fontId="13" fillId="0" borderId="25" xfId="1" applyNumberFormat="1" applyFont="1" applyFill="1" applyBorder="1"/>
    <xf numFmtId="3" fontId="13" fillId="0" borderId="15" xfId="1" applyNumberFormat="1" applyFont="1" applyFill="1" applyBorder="1"/>
    <xf numFmtId="3" fontId="2" fillId="5" borderId="38" xfId="0" applyNumberFormat="1" applyFont="1" applyFill="1" applyBorder="1" applyAlignment="1">
      <alignment horizontal="left" vertical="center" indent="5"/>
    </xf>
    <xf numFmtId="3" fontId="2" fillId="6" borderId="48" xfId="0" applyNumberFormat="1" applyFont="1" applyFill="1" applyBorder="1" applyAlignment="1">
      <alignment horizontal="right" vertical="center"/>
    </xf>
    <xf numFmtId="3" fontId="2" fillId="5" borderId="10" xfId="0" applyNumberFormat="1" applyFont="1" applyFill="1" applyBorder="1" applyAlignment="1">
      <alignment horizontal="left" vertical="center" indent="5"/>
    </xf>
    <xf numFmtId="3" fontId="2" fillId="6" borderId="46" xfId="0" applyNumberFormat="1" applyFont="1" applyFill="1" applyBorder="1" applyAlignment="1">
      <alignment horizontal="right" vertical="center"/>
    </xf>
    <xf numFmtId="3" fontId="2" fillId="6" borderId="20" xfId="0" applyNumberFormat="1" applyFont="1" applyFill="1" applyBorder="1" applyAlignment="1">
      <alignment horizontal="right"/>
    </xf>
    <xf numFmtId="3" fontId="2" fillId="6" borderId="15" xfId="1" applyNumberFormat="1" applyFont="1" applyFill="1" applyBorder="1"/>
    <xf numFmtId="0" fontId="2" fillId="6" borderId="15" xfId="0" applyFont="1" applyFill="1" applyBorder="1"/>
    <xf numFmtId="0" fontId="19" fillId="0" borderId="45" xfId="0" applyFont="1" applyBorder="1"/>
    <xf numFmtId="3" fontId="7" fillId="5" borderId="10" xfId="0" applyNumberFormat="1" applyFont="1" applyFill="1" applyBorder="1" applyAlignment="1">
      <alignment horizontal="right" vertical="center"/>
    </xf>
    <xf numFmtId="3" fontId="7" fillId="6" borderId="31" xfId="0" applyNumberFormat="1" applyFont="1" applyFill="1" applyBorder="1" applyAlignment="1">
      <alignment horizontal="right" vertical="center"/>
    </xf>
    <xf numFmtId="3" fontId="18" fillId="6" borderId="25" xfId="0" applyNumberFormat="1" applyFont="1" applyFill="1" applyBorder="1" applyAlignment="1">
      <alignment horizontal="right" vertical="center"/>
    </xf>
    <xf numFmtId="166" fontId="18" fillId="7" borderId="13" xfId="1" applyNumberFormat="1" applyFont="1" applyFill="1" applyBorder="1"/>
    <xf numFmtId="3" fontId="7" fillId="6" borderId="13" xfId="0" applyNumberFormat="1" applyFont="1" applyFill="1" applyBorder="1"/>
    <xf numFmtId="3" fontId="3" fillId="4" borderId="20" xfId="0" applyNumberFormat="1" applyFont="1" applyFill="1" applyBorder="1"/>
    <xf numFmtId="3" fontId="3" fillId="4" borderId="25" xfId="0" applyNumberFormat="1" applyFont="1" applyFill="1" applyBorder="1"/>
    <xf numFmtId="0" fontId="19" fillId="8" borderId="0" xfId="0" applyFont="1" applyFill="1"/>
    <xf numFmtId="3" fontId="2" fillId="9" borderId="15" xfId="0" applyNumberFormat="1" applyFont="1" applyFill="1" applyBorder="1"/>
    <xf numFmtId="3" fontId="2" fillId="7" borderId="20" xfId="0" applyNumberFormat="1" applyFont="1" applyFill="1" applyBorder="1" applyAlignment="1">
      <alignment horizontal="right" vertical="top" wrapText="1"/>
    </xf>
    <xf numFmtId="3" fontId="2" fillId="9" borderId="15" xfId="0" applyNumberFormat="1" applyFont="1" applyFill="1" applyBorder="1" applyAlignment="1">
      <alignment horizontal="right" vertical="top" wrapText="1"/>
    </xf>
    <xf numFmtId="0" fontId="3" fillId="3" borderId="40" xfId="0" applyFont="1" applyFill="1" applyBorder="1" applyAlignment="1">
      <alignment horizontal="center"/>
    </xf>
    <xf numFmtId="0" fontId="16" fillId="3" borderId="8" xfId="0" applyFont="1" applyFill="1" applyBorder="1" applyAlignment="1">
      <alignment horizontal="center" vertical="center" wrapText="1"/>
    </xf>
    <xf numFmtId="0" fontId="3" fillId="14" borderId="8" xfId="0" applyFont="1" applyFill="1" applyBorder="1" applyAlignment="1">
      <alignment horizontal="center" vertical="center" wrapText="1"/>
    </xf>
    <xf numFmtId="3" fontId="16" fillId="14" borderId="8" xfId="0" applyNumberFormat="1" applyFont="1" applyFill="1" applyBorder="1" applyAlignment="1">
      <alignment horizontal="center" vertical="center" wrapText="1"/>
    </xf>
    <xf numFmtId="3" fontId="16" fillId="14" borderId="17" xfId="0" applyNumberFormat="1" applyFont="1" applyFill="1" applyBorder="1" applyAlignment="1">
      <alignment horizontal="center" vertical="center" wrapText="1"/>
    </xf>
    <xf numFmtId="0" fontId="13" fillId="0" borderId="13" xfId="0" applyFont="1" applyBorder="1"/>
    <xf numFmtId="0" fontId="2" fillId="5" borderId="13" xfId="0" applyFont="1" applyFill="1" applyBorder="1"/>
    <xf numFmtId="3" fontId="2" fillId="5" borderId="13" xfId="0" applyNumberFormat="1" applyFont="1" applyFill="1" applyBorder="1"/>
    <xf numFmtId="3" fontId="13" fillId="5" borderId="13" xfId="0" applyNumberFormat="1" applyFont="1" applyFill="1" applyBorder="1"/>
    <xf numFmtId="3" fontId="13" fillId="5" borderId="10" xfId="0" applyNumberFormat="1" applyFont="1" applyFill="1" applyBorder="1"/>
    <xf numFmtId="3" fontId="55" fillId="4" borderId="15" xfId="0" applyNumberFormat="1" applyFont="1" applyFill="1" applyBorder="1" applyAlignment="1">
      <alignment horizontal="right" vertical="center"/>
    </xf>
    <xf numFmtId="3" fontId="14" fillId="4" borderId="47" xfId="0" applyNumberFormat="1" applyFont="1" applyFill="1" applyBorder="1" applyAlignment="1">
      <alignment horizontal="right" vertical="center"/>
    </xf>
    <xf numFmtId="0" fontId="56" fillId="7" borderId="15" xfId="0" applyFont="1" applyFill="1" applyBorder="1"/>
    <xf numFmtId="0" fontId="0" fillId="5" borderId="15" xfId="0" applyFill="1" applyBorder="1"/>
    <xf numFmtId="0" fontId="0" fillId="5" borderId="11" xfId="0" applyFill="1" applyBorder="1"/>
    <xf numFmtId="3" fontId="57" fillId="7" borderId="15" xfId="0" applyNumberFormat="1" applyFont="1" applyFill="1" applyBorder="1" applyAlignment="1">
      <alignment horizontal="right" vertical="center"/>
    </xf>
    <xf numFmtId="166" fontId="57" fillId="7" borderId="15" xfId="1" applyNumberFormat="1" applyFont="1" applyFill="1" applyBorder="1" applyAlignment="1">
      <alignment horizontal="right" vertical="center"/>
    </xf>
    <xf numFmtId="166" fontId="57" fillId="7" borderId="15" xfId="1" applyNumberFormat="1" applyFont="1" applyFill="1" applyBorder="1" applyAlignment="1">
      <alignment horizontal="right"/>
    </xf>
    <xf numFmtId="0" fontId="4" fillId="5" borderId="15" xfId="0" applyFont="1" applyFill="1" applyBorder="1"/>
    <xf numFmtId="3" fontId="57" fillId="7" borderId="8" xfId="0" applyNumberFormat="1" applyFont="1" applyFill="1" applyBorder="1" applyAlignment="1">
      <alignment horizontal="right" vertical="center"/>
    </xf>
    <xf numFmtId="3" fontId="4" fillId="5" borderId="8" xfId="0" applyNumberFormat="1" applyFont="1" applyFill="1" applyBorder="1" applyAlignment="1">
      <alignment horizontal="right" vertical="center"/>
    </xf>
    <xf numFmtId="3" fontId="4" fillId="5" borderId="17" xfId="0" applyNumberFormat="1" applyFont="1" applyFill="1" applyBorder="1" applyAlignment="1">
      <alignment horizontal="right" vertical="center"/>
    </xf>
    <xf numFmtId="9" fontId="16" fillId="13" borderId="34" xfId="0" applyNumberFormat="1" applyFont="1" applyFill="1" applyBorder="1"/>
    <xf numFmtId="0" fontId="19" fillId="5" borderId="13" xfId="0" applyFont="1" applyFill="1" applyBorder="1"/>
    <xf numFmtId="0" fontId="19" fillId="5" borderId="10" xfId="0" applyFont="1" applyFill="1" applyBorder="1"/>
    <xf numFmtId="0" fontId="19" fillId="15" borderId="31" xfId="0" applyFont="1" applyFill="1" applyBorder="1"/>
    <xf numFmtId="3" fontId="2" fillId="5" borderId="13" xfId="0" applyNumberFormat="1" applyFont="1" applyFill="1" applyBorder="1" applyAlignment="1">
      <alignment horizontal="right" vertical="center"/>
    </xf>
    <xf numFmtId="9" fontId="16" fillId="15" borderId="31" xfId="0" applyNumberFormat="1" applyFont="1" applyFill="1" applyBorder="1"/>
    <xf numFmtId="0" fontId="19" fillId="5" borderId="11" xfId="0" applyFont="1" applyFill="1" applyBorder="1"/>
    <xf numFmtId="3" fontId="7" fillId="5" borderId="15" xfId="0" applyNumberFormat="1" applyFont="1" applyFill="1" applyBorder="1" applyAlignment="1">
      <alignment horizontal="right" vertical="center"/>
    </xf>
    <xf numFmtId="0" fontId="58" fillId="5" borderId="15" xfId="0" applyFont="1" applyFill="1" applyBorder="1"/>
    <xf numFmtId="0" fontId="58" fillId="5" borderId="11" xfId="0" applyFont="1" applyFill="1" applyBorder="1"/>
    <xf numFmtId="9" fontId="10" fillId="15" borderId="20" xfId="0" applyNumberFormat="1" applyFont="1" applyFill="1" applyBorder="1"/>
    <xf numFmtId="0" fontId="19" fillId="5" borderId="0" xfId="0" applyFont="1" applyFill="1"/>
    <xf numFmtId="0" fontId="19" fillId="0" borderId="11" xfId="0" applyFont="1" applyBorder="1"/>
    <xf numFmtId="3" fontId="14" fillId="4" borderId="32" xfId="0" applyNumberFormat="1" applyFont="1" applyFill="1" applyBorder="1" applyAlignment="1">
      <alignment horizontal="right" vertical="center"/>
    </xf>
    <xf numFmtId="3" fontId="2" fillId="4" borderId="32" xfId="0" applyNumberFormat="1" applyFont="1" applyFill="1" applyBorder="1" applyAlignment="1">
      <alignment horizontal="right" vertical="center"/>
    </xf>
    <xf numFmtId="0" fontId="2" fillId="5" borderId="15" xfId="0" applyFont="1" applyFill="1" applyBorder="1"/>
    <xf numFmtId="0" fontId="2" fillId="5" borderId="11" xfId="0" applyFont="1" applyFill="1" applyBorder="1"/>
    <xf numFmtId="3" fontId="18" fillId="5" borderId="24" xfId="0" applyNumberFormat="1" applyFont="1" applyFill="1" applyBorder="1"/>
    <xf numFmtId="3" fontId="2" fillId="5" borderId="24" xfId="0" applyNumberFormat="1" applyFont="1" applyFill="1" applyBorder="1"/>
    <xf numFmtId="3" fontId="2" fillId="0" borderId="38" xfId="0" applyNumberFormat="1" applyFont="1" applyBorder="1"/>
    <xf numFmtId="3" fontId="49" fillId="4" borderId="15" xfId="0" applyNumberFormat="1" applyFont="1" applyFill="1" applyBorder="1" applyAlignment="1">
      <alignment horizontal="right" vertical="center"/>
    </xf>
    <xf numFmtId="3" fontId="4" fillId="5" borderId="13" xfId="1" applyNumberFormat="1" applyFont="1" applyFill="1" applyBorder="1" applyAlignment="1">
      <alignment horizontal="right" vertical="center"/>
    </xf>
    <xf numFmtId="3" fontId="2" fillId="0" borderId="10" xfId="1" applyNumberFormat="1" applyFont="1" applyFill="1" applyBorder="1" applyAlignment="1">
      <alignment horizontal="right" vertical="center"/>
    </xf>
    <xf numFmtId="3" fontId="2" fillId="0" borderId="11" xfId="1" applyNumberFormat="1" applyFont="1" applyFill="1" applyBorder="1" applyAlignment="1">
      <alignment horizontal="right" vertical="center"/>
    </xf>
    <xf numFmtId="3" fontId="4" fillId="5" borderId="15" xfId="0" applyNumberFormat="1" applyFont="1" applyFill="1" applyBorder="1" applyAlignment="1">
      <alignment vertical="center"/>
    </xf>
    <xf numFmtId="3" fontId="2" fillId="0" borderId="11" xfId="0" applyNumberFormat="1" applyFont="1" applyBorder="1" applyAlignment="1">
      <alignment horizontal="right" vertical="center"/>
    </xf>
    <xf numFmtId="3" fontId="19" fillId="6" borderId="8" xfId="0" applyNumberFormat="1" applyFont="1" applyFill="1" applyBorder="1"/>
    <xf numFmtId="3" fontId="4" fillId="5" borderId="8" xfId="0" applyNumberFormat="1" applyFont="1" applyFill="1" applyBorder="1" applyAlignment="1">
      <alignment vertical="center"/>
    </xf>
    <xf numFmtId="3" fontId="4" fillId="5" borderId="8" xfId="1" applyNumberFormat="1" applyFont="1" applyFill="1" applyBorder="1" applyAlignment="1">
      <alignment horizontal="right" vertical="center"/>
    </xf>
    <xf numFmtId="3" fontId="2" fillId="0" borderId="17" xfId="1" applyNumberFormat="1" applyFont="1" applyFill="1" applyBorder="1" applyAlignment="1">
      <alignment horizontal="right" vertical="center"/>
    </xf>
    <xf numFmtId="166" fontId="43" fillId="8" borderId="13" xfId="1" applyNumberFormat="1" applyFont="1" applyFill="1" applyBorder="1"/>
    <xf numFmtId="3" fontId="7" fillId="5" borderId="13" xfId="1" applyNumberFormat="1" applyFont="1" applyFill="1" applyBorder="1" applyAlignment="1">
      <alignment vertical="center"/>
    </xf>
    <xf numFmtId="3" fontId="7" fillId="5" borderId="13" xfId="1" applyNumberFormat="1" applyFont="1" applyFill="1" applyBorder="1" applyAlignment="1">
      <alignment horizontal="right" vertical="center"/>
    </xf>
    <xf numFmtId="166" fontId="7" fillId="0" borderId="10" xfId="1" applyNumberFormat="1" applyFont="1" applyBorder="1"/>
    <xf numFmtId="9" fontId="16" fillId="13" borderId="31" xfId="0" applyNumberFormat="1" applyFont="1" applyFill="1" applyBorder="1"/>
    <xf numFmtId="3" fontId="13" fillId="5" borderId="15" xfId="1" applyNumberFormat="1" applyFont="1" applyFill="1" applyBorder="1"/>
    <xf numFmtId="3" fontId="13" fillId="0" borderId="11" xfId="1" applyNumberFormat="1" applyFont="1" applyFill="1" applyBorder="1"/>
    <xf numFmtId="3" fontId="2" fillId="5" borderId="15" xfId="0" applyNumberFormat="1" applyFont="1" applyFill="1" applyBorder="1"/>
    <xf numFmtId="9" fontId="16" fillId="13" borderId="55" xfId="0" applyNumberFormat="1" applyFont="1" applyFill="1" applyBorder="1" applyAlignment="1">
      <alignment horizontal="right" vertical="center"/>
    </xf>
    <xf numFmtId="9" fontId="16" fillId="13" borderId="31" xfId="0" applyNumberFormat="1" applyFont="1" applyFill="1" applyBorder="1" applyAlignment="1">
      <alignment horizontal="right" vertical="center"/>
    </xf>
    <xf numFmtId="0" fontId="46" fillId="6" borderId="15" xfId="0" applyFont="1" applyFill="1" applyBorder="1"/>
    <xf numFmtId="0" fontId="19" fillId="5" borderId="8" xfId="0" applyFont="1" applyFill="1" applyBorder="1"/>
    <xf numFmtId="3" fontId="13" fillId="5" borderId="13" xfId="0" applyNumberFormat="1" applyFont="1" applyFill="1" applyBorder="1" applyAlignment="1">
      <alignment horizontal="right" vertical="center"/>
    </xf>
    <xf numFmtId="3" fontId="13" fillId="0" borderId="10" xfId="0" applyNumberFormat="1" applyFont="1" applyBorder="1" applyAlignment="1">
      <alignment horizontal="right" vertical="center"/>
    </xf>
    <xf numFmtId="9" fontId="10" fillId="13" borderId="31" xfId="0" applyNumberFormat="1" applyFont="1" applyFill="1" applyBorder="1"/>
    <xf numFmtId="172" fontId="19" fillId="5" borderId="0" xfId="1" applyNumberFormat="1" applyFont="1" applyFill="1" applyBorder="1"/>
    <xf numFmtId="166" fontId="13" fillId="5" borderId="15" xfId="0" applyNumberFormat="1" applyFont="1" applyFill="1" applyBorder="1"/>
    <xf numFmtId="3" fontId="3" fillId="4" borderId="47" xfId="0" applyNumberFormat="1" applyFont="1" applyFill="1" applyBorder="1"/>
    <xf numFmtId="3" fontId="2" fillId="9" borderId="15" xfId="0" applyNumberFormat="1" applyFont="1" applyFill="1" applyBorder="1" applyAlignment="1">
      <alignment horizontal="right" vertical="center"/>
    </xf>
    <xf numFmtId="3" fontId="2" fillId="9" borderId="20" xfId="0" applyNumberFormat="1" applyFont="1" applyFill="1" applyBorder="1" applyAlignment="1">
      <alignment horizontal="right" vertical="top" wrapText="1"/>
    </xf>
    <xf numFmtId="0" fontId="19" fillId="6" borderId="25" xfId="0" applyFont="1" applyFill="1" applyBorder="1"/>
    <xf numFmtId="169" fontId="19" fillId="0" borderId="55" xfId="0" applyNumberFormat="1" applyFont="1" applyBorder="1"/>
    <xf numFmtId="3" fontId="19" fillId="0" borderId="48" xfId="0" applyNumberFormat="1" applyFont="1" applyBorder="1"/>
    <xf numFmtId="0" fontId="19" fillId="0" borderId="24" xfId="0" applyFont="1" applyBorder="1"/>
    <xf numFmtId="3" fontId="19" fillId="0" borderId="24" xfId="0" applyNumberFormat="1" applyFont="1" applyBorder="1"/>
    <xf numFmtId="3" fontId="3" fillId="4" borderId="49" xfId="0" applyNumberFormat="1" applyFont="1" applyFill="1" applyBorder="1" applyAlignment="1">
      <alignment horizontal="right" vertical="center"/>
    </xf>
    <xf numFmtId="3" fontId="3" fillId="4" borderId="50" xfId="0" applyNumberFormat="1" applyFont="1" applyFill="1" applyBorder="1" applyAlignment="1">
      <alignment horizontal="right" vertical="center"/>
    </xf>
    <xf numFmtId="3" fontId="2" fillId="0" borderId="0" xfId="0" applyNumberFormat="1" applyFont="1" applyAlignment="1">
      <alignment vertical="center"/>
    </xf>
    <xf numFmtId="3" fontId="13" fillId="0" borderId="0" xfId="0" applyNumberFormat="1" applyFont="1" applyAlignment="1">
      <alignment horizontal="center"/>
    </xf>
    <xf numFmtId="3" fontId="2" fillId="0" borderId="15" xfId="0" applyNumberFormat="1" applyFont="1" applyBorder="1" applyAlignment="1">
      <alignment horizontal="right" vertical="center"/>
    </xf>
    <xf numFmtId="3" fontId="2" fillId="5" borderId="51" xfId="0" applyNumberFormat="1" applyFont="1" applyFill="1" applyBorder="1" applyAlignment="1">
      <alignment horizontal="right" vertical="center"/>
    </xf>
    <xf numFmtId="166" fontId="38" fillId="0" borderId="15" xfId="0" applyNumberFormat="1" applyFont="1" applyBorder="1" applyAlignment="1">
      <alignment vertical="center"/>
    </xf>
    <xf numFmtId="166" fontId="19" fillId="0" borderId="0" xfId="0" applyNumberFormat="1" applyFont="1"/>
    <xf numFmtId="0" fontId="19" fillId="5" borderId="24" xfId="0" applyFont="1" applyFill="1" applyBorder="1"/>
    <xf numFmtId="0" fontId="19" fillId="0" borderId="38" xfId="0" applyFont="1" applyBorder="1"/>
    <xf numFmtId="9" fontId="16" fillId="4" borderId="49" xfId="0" applyNumberFormat="1" applyFont="1" applyFill="1" applyBorder="1" applyAlignment="1">
      <alignment vertical="center"/>
    </xf>
    <xf numFmtId="3" fontId="3" fillId="7" borderId="20" xfId="0" applyNumberFormat="1" applyFont="1" applyFill="1" applyBorder="1" applyAlignment="1">
      <alignment horizontal="right" vertical="center"/>
    </xf>
    <xf numFmtId="3" fontId="3" fillId="6" borderId="47" xfId="0" applyNumberFormat="1" applyFont="1" applyFill="1" applyBorder="1" applyAlignment="1">
      <alignment horizontal="right" vertical="center"/>
    </xf>
    <xf numFmtId="3" fontId="3" fillId="6" borderId="15" xfId="0" applyNumberFormat="1" applyFont="1" applyFill="1" applyBorder="1" applyAlignment="1">
      <alignment horizontal="right" vertical="center"/>
    </xf>
    <xf numFmtId="0" fontId="59" fillId="0" borderId="9" xfId="1" applyNumberFormat="1" applyFont="1" applyFill="1" applyBorder="1" applyAlignment="1">
      <alignment horizontal="left"/>
    </xf>
    <xf numFmtId="166" fontId="60" fillId="5" borderId="10" xfId="1" applyNumberFormat="1" applyFont="1" applyFill="1" applyBorder="1"/>
    <xf numFmtId="166" fontId="60" fillId="7" borderId="31" xfId="1" applyNumberFormat="1" applyFont="1" applyFill="1" applyBorder="1"/>
    <xf numFmtId="166" fontId="29" fillId="7" borderId="56" xfId="1" applyNumberFormat="1" applyFont="1" applyFill="1" applyBorder="1"/>
    <xf numFmtId="0" fontId="59" fillId="0" borderId="14" xfId="1" applyNumberFormat="1" applyFont="1" applyFill="1" applyBorder="1" applyAlignment="1">
      <alignment horizontal="left"/>
    </xf>
    <xf numFmtId="166" fontId="60" fillId="5" borderId="11" xfId="1" applyNumberFormat="1" applyFont="1" applyFill="1" applyBorder="1"/>
    <xf numFmtId="166" fontId="60" fillId="7" borderId="20" xfId="1" applyNumberFormat="1" applyFont="1" applyFill="1" applyBorder="1"/>
    <xf numFmtId="166" fontId="29" fillId="7" borderId="20" xfId="1" applyNumberFormat="1" applyFont="1" applyFill="1" applyBorder="1"/>
    <xf numFmtId="0" fontId="59" fillId="0" borderId="14" xfId="0" applyFont="1" applyBorder="1"/>
    <xf numFmtId="166" fontId="61" fillId="5" borderId="11" xfId="1" applyNumberFormat="1" applyFont="1" applyFill="1" applyBorder="1"/>
    <xf numFmtId="166" fontId="59" fillId="7" borderId="20" xfId="1" applyNumberFormat="1" applyFont="1" applyFill="1" applyBorder="1"/>
    <xf numFmtId="166" fontId="12" fillId="5" borderId="11" xfId="1" applyNumberFormat="1" applyFont="1" applyFill="1" applyBorder="1"/>
    <xf numFmtId="3" fontId="7" fillId="6" borderId="15" xfId="0" applyNumberFormat="1" applyFont="1" applyFill="1" applyBorder="1" applyAlignment="1">
      <alignment horizontal="right" vertical="center"/>
    </xf>
    <xf numFmtId="3" fontId="10" fillId="0" borderId="11" xfId="0" applyNumberFormat="1" applyFont="1" applyBorder="1" applyAlignment="1">
      <alignment horizontal="right" vertical="center"/>
    </xf>
    <xf numFmtId="3" fontId="3" fillId="6" borderId="20" xfId="0" applyNumberFormat="1" applyFont="1" applyFill="1" applyBorder="1" applyAlignment="1">
      <alignment horizontal="right" vertical="center"/>
    </xf>
    <xf numFmtId="3" fontId="3" fillId="6" borderId="32" xfId="0" applyNumberFormat="1" applyFont="1" applyFill="1" applyBorder="1" applyAlignment="1">
      <alignment horizontal="right" vertical="center"/>
    </xf>
    <xf numFmtId="3" fontId="3" fillId="6" borderId="20" xfId="0" applyNumberFormat="1" applyFont="1" applyFill="1" applyBorder="1" applyAlignment="1">
      <alignment horizontal="right" vertical="top" wrapText="1"/>
    </xf>
    <xf numFmtId="3" fontId="3" fillId="6" borderId="25" xfId="0" applyNumberFormat="1" applyFont="1" applyFill="1" applyBorder="1" applyAlignment="1">
      <alignment horizontal="right" vertical="center"/>
    </xf>
    <xf numFmtId="3" fontId="10" fillId="6" borderId="31" xfId="0" applyNumberFormat="1" applyFont="1" applyFill="1" applyBorder="1" applyAlignment="1">
      <alignment horizontal="right" vertical="center" wrapText="1"/>
    </xf>
    <xf numFmtId="3" fontId="10" fillId="6" borderId="46" xfId="0" applyNumberFormat="1" applyFont="1" applyFill="1" applyBorder="1" applyAlignment="1">
      <alignment horizontal="right" vertical="center"/>
    </xf>
    <xf numFmtId="3" fontId="10" fillId="6" borderId="15" xfId="0" applyNumberFormat="1" applyFont="1" applyFill="1" applyBorder="1" applyAlignment="1">
      <alignment horizontal="right" vertical="center"/>
    </xf>
    <xf numFmtId="3" fontId="7" fillId="5" borderId="11" xfId="0" applyNumberFormat="1" applyFont="1" applyFill="1" applyBorder="1" applyAlignment="1">
      <alignment horizontal="right" vertical="center" wrapText="1"/>
    </xf>
    <xf numFmtId="3" fontId="7" fillId="5" borderId="47" xfId="0" applyNumberFormat="1" applyFont="1" applyFill="1" applyBorder="1" applyAlignment="1">
      <alignment horizontal="right" vertical="center" wrapText="1"/>
    </xf>
    <xf numFmtId="3" fontId="7" fillId="6" borderId="20" xfId="0" applyNumberFormat="1" applyFont="1" applyFill="1" applyBorder="1" applyAlignment="1">
      <alignment horizontal="right" vertical="center" wrapText="1"/>
    </xf>
    <xf numFmtId="3" fontId="2" fillId="5" borderId="11" xfId="0" applyNumberFormat="1" applyFont="1" applyFill="1" applyBorder="1" applyAlignment="1">
      <alignment horizontal="center"/>
    </xf>
    <xf numFmtId="3" fontId="10" fillId="5" borderId="10" xfId="0" applyNumberFormat="1" applyFont="1" applyFill="1" applyBorder="1" applyAlignment="1">
      <alignment horizontal="center" vertical="center"/>
    </xf>
    <xf numFmtId="3" fontId="10" fillId="6" borderId="31" xfId="0" applyNumberFormat="1" applyFont="1" applyFill="1" applyBorder="1" applyAlignment="1">
      <alignment horizontal="right" vertical="center"/>
    </xf>
    <xf numFmtId="3" fontId="62" fillId="6" borderId="46" xfId="0" applyNumberFormat="1" applyFont="1" applyFill="1" applyBorder="1" applyAlignment="1">
      <alignment horizontal="right" vertical="center"/>
    </xf>
    <xf numFmtId="166" fontId="10" fillId="7" borderId="13" xfId="1" applyNumberFormat="1" applyFont="1" applyFill="1" applyBorder="1"/>
    <xf numFmtId="3" fontId="3" fillId="6" borderId="20" xfId="0" applyNumberFormat="1" applyFont="1" applyFill="1" applyBorder="1"/>
    <xf numFmtId="3" fontId="3" fillId="6" borderId="25" xfId="0" applyNumberFormat="1" applyFont="1" applyFill="1" applyBorder="1"/>
    <xf numFmtId="3" fontId="3" fillId="6" borderId="15" xfId="0" applyNumberFormat="1" applyFont="1" applyFill="1" applyBorder="1"/>
    <xf numFmtId="3" fontId="2" fillId="0" borderId="13" xfId="0" applyNumberFormat="1" applyFont="1" applyBorder="1"/>
    <xf numFmtId="3" fontId="13" fillId="0" borderId="13" xfId="0" applyNumberFormat="1" applyFont="1" applyBorder="1"/>
    <xf numFmtId="3" fontId="13" fillId="0" borderId="10" xfId="0" applyNumberFormat="1" applyFont="1" applyBorder="1"/>
    <xf numFmtId="3" fontId="3" fillId="5" borderId="15" xfId="0" applyNumberFormat="1" applyFont="1" applyFill="1" applyBorder="1" applyAlignment="1">
      <alignment horizontal="right" vertical="center"/>
    </xf>
    <xf numFmtId="3" fontId="3" fillId="5" borderId="47" xfId="0" applyNumberFormat="1" applyFont="1" applyFill="1" applyBorder="1" applyAlignment="1">
      <alignment horizontal="right" vertical="center"/>
    </xf>
    <xf numFmtId="166" fontId="2" fillId="0" borderId="15" xfId="1" applyNumberFormat="1" applyFont="1" applyFill="1" applyBorder="1" applyAlignment="1">
      <alignment horizontal="right" vertical="center"/>
    </xf>
    <xf numFmtId="166" fontId="2" fillId="0" borderId="15" xfId="1" applyNumberFormat="1" applyFont="1" applyBorder="1" applyAlignment="1">
      <alignment horizontal="right"/>
    </xf>
    <xf numFmtId="166" fontId="2" fillId="0" borderId="11" xfId="1" applyNumberFormat="1" applyFont="1" applyBorder="1" applyAlignment="1">
      <alignment horizontal="right"/>
    </xf>
    <xf numFmtId="0" fontId="2" fillId="0" borderId="15" xfId="0" applyFont="1" applyBorder="1"/>
    <xf numFmtId="3" fontId="2" fillId="0" borderId="13" xfId="0" applyNumberFormat="1" applyFont="1" applyBorder="1" applyAlignment="1">
      <alignment horizontal="right" vertical="center"/>
    </xf>
    <xf numFmtId="3" fontId="2" fillId="0" borderId="10" xfId="0" applyNumberFormat="1" applyFont="1" applyBorder="1" applyAlignment="1">
      <alignment horizontal="right" vertical="center"/>
    </xf>
    <xf numFmtId="9" fontId="13" fillId="13" borderId="31" xfId="0" applyNumberFormat="1" applyFont="1" applyFill="1" applyBorder="1"/>
    <xf numFmtId="3" fontId="7" fillId="0" borderId="15" xfId="0" applyNumberFormat="1" applyFont="1" applyBorder="1" applyAlignment="1">
      <alignment horizontal="right" vertical="center"/>
    </xf>
    <xf numFmtId="3" fontId="7" fillId="0" borderId="11" xfId="0" applyNumberFormat="1" applyFont="1" applyBorder="1" applyAlignment="1">
      <alignment horizontal="right" vertical="center"/>
    </xf>
    <xf numFmtId="9" fontId="7" fillId="13" borderId="20" xfId="0" applyNumberFormat="1" applyFont="1" applyFill="1" applyBorder="1"/>
    <xf numFmtId="3" fontId="3" fillId="5" borderId="32" xfId="0" applyNumberFormat="1" applyFont="1" applyFill="1" applyBorder="1" applyAlignment="1">
      <alignment horizontal="right" vertical="center"/>
    </xf>
    <xf numFmtId="0" fontId="2" fillId="0" borderId="11" xfId="0" applyFont="1" applyBorder="1"/>
    <xf numFmtId="3" fontId="2" fillId="0" borderId="24" xfId="0" applyNumberFormat="1" applyFont="1" applyBorder="1"/>
    <xf numFmtId="3" fontId="3" fillId="5" borderId="11" xfId="0" applyNumberFormat="1" applyFont="1" applyFill="1" applyBorder="1" applyAlignment="1">
      <alignment horizontal="right" vertical="center"/>
    </xf>
    <xf numFmtId="3" fontId="2" fillId="0" borderId="13" xfId="1" applyNumberFormat="1" applyFont="1" applyFill="1" applyBorder="1" applyAlignment="1">
      <alignment horizontal="right" vertical="center"/>
    </xf>
    <xf numFmtId="3" fontId="2" fillId="0" borderId="15" xfId="1" applyNumberFormat="1" applyFont="1" applyFill="1" applyBorder="1" applyAlignment="1">
      <alignment horizontal="right" vertical="center"/>
    </xf>
    <xf numFmtId="3" fontId="2" fillId="0" borderId="0" xfId="1" applyNumberFormat="1" applyFont="1" applyFill="1" applyBorder="1" applyAlignment="1">
      <alignment horizontal="right" vertical="center"/>
    </xf>
    <xf numFmtId="3" fontId="2" fillId="0" borderId="15" xfId="0" applyNumberFormat="1" applyFont="1" applyBorder="1" applyAlignment="1">
      <alignment vertical="center"/>
    </xf>
    <xf numFmtId="3" fontId="19" fillId="6" borderId="15" xfId="0" applyNumberFormat="1" applyFont="1" applyFill="1" applyBorder="1"/>
    <xf numFmtId="166" fontId="50" fillId="8" borderId="15" xfId="1" applyNumberFormat="1" applyFont="1" applyFill="1" applyBorder="1"/>
    <xf numFmtId="3" fontId="10" fillId="0" borderId="15" xfId="1" applyNumberFormat="1" applyFont="1" applyFill="1" applyBorder="1" applyAlignment="1">
      <alignment horizontal="right" vertical="center"/>
    </xf>
    <xf numFmtId="166" fontId="10" fillId="0" borderId="0" xfId="1" applyNumberFormat="1" applyFont="1" applyBorder="1"/>
    <xf numFmtId="166" fontId="10" fillId="0" borderId="11" xfId="1" applyNumberFormat="1" applyFont="1" applyBorder="1"/>
    <xf numFmtId="166" fontId="43" fillId="8" borderId="15" xfId="1" applyNumberFormat="1" applyFont="1" applyFill="1" applyBorder="1"/>
    <xf numFmtId="3" fontId="7" fillId="0" borderId="15" xfId="1" applyNumberFormat="1" applyFont="1" applyFill="1" applyBorder="1" applyAlignment="1">
      <alignment horizontal="right" vertical="center"/>
    </xf>
    <xf numFmtId="166" fontId="7" fillId="0" borderId="0" xfId="1" applyNumberFormat="1" applyFont="1" applyBorder="1"/>
    <xf numFmtId="166" fontId="7" fillId="0" borderId="11" xfId="1" applyNumberFormat="1" applyFont="1" applyBorder="1"/>
    <xf numFmtId="3" fontId="7" fillId="0" borderId="13" xfId="0" applyNumberFormat="1" applyFont="1" applyBorder="1" applyAlignment="1">
      <alignment horizontal="right" vertical="center"/>
    </xf>
    <xf numFmtId="3" fontId="7" fillId="0" borderId="10" xfId="0" applyNumberFormat="1" applyFont="1" applyBorder="1" applyAlignment="1">
      <alignment horizontal="right" vertical="center"/>
    </xf>
    <xf numFmtId="9" fontId="7" fillId="13" borderId="31" xfId="0" applyNumberFormat="1" applyFont="1" applyFill="1" applyBorder="1"/>
    <xf numFmtId="3" fontId="3" fillId="5" borderId="25" xfId="0" applyNumberFormat="1" applyFont="1" applyFill="1" applyBorder="1"/>
    <xf numFmtId="3" fontId="3" fillId="5" borderId="47" xfId="0" applyNumberFormat="1" applyFont="1" applyFill="1" applyBorder="1"/>
    <xf numFmtId="3" fontId="3" fillId="6" borderId="37" xfId="0" applyNumberFormat="1" applyFont="1" applyFill="1" applyBorder="1" applyAlignment="1">
      <alignment horizontal="right" vertical="center"/>
    </xf>
    <xf numFmtId="3" fontId="3" fillId="3" borderId="37" xfId="0" applyNumberFormat="1" applyFont="1" applyFill="1" applyBorder="1" applyAlignment="1">
      <alignment horizontal="right" vertical="center"/>
    </xf>
    <xf numFmtId="0" fontId="63" fillId="0" borderId="51" xfId="0" applyFont="1" applyBorder="1" applyAlignment="1">
      <alignment vertical="center"/>
    </xf>
    <xf numFmtId="3" fontId="64" fillId="0" borderId="37" xfId="0" applyNumberFormat="1" applyFont="1" applyBorder="1" applyAlignment="1">
      <alignment horizontal="right" vertical="center"/>
    </xf>
    <xf numFmtId="166" fontId="13" fillId="0" borderId="15" xfId="1" applyNumberFormat="1" applyFont="1" applyBorder="1" applyAlignment="1">
      <alignment horizontal="right" vertical="center"/>
    </xf>
    <xf numFmtId="9" fontId="13" fillId="13" borderId="34" xfId="0" applyNumberFormat="1" applyFont="1" applyFill="1" applyBorder="1"/>
    <xf numFmtId="3" fontId="3" fillId="5" borderId="37" xfId="0" applyNumberFormat="1" applyFont="1" applyFill="1" applyBorder="1" applyAlignment="1">
      <alignment horizontal="right" vertical="center"/>
    </xf>
    <xf numFmtId="3" fontId="3" fillId="5" borderId="52" xfId="0" applyNumberFormat="1" applyFont="1" applyFill="1" applyBorder="1" applyAlignment="1">
      <alignment horizontal="right" vertical="center"/>
    </xf>
    <xf numFmtId="9" fontId="16" fillId="13" borderId="49" xfId="0" applyNumberFormat="1" applyFont="1" applyFill="1" applyBorder="1" applyAlignment="1">
      <alignment vertical="center"/>
    </xf>
    <xf numFmtId="3" fontId="3" fillId="4" borderId="14" xfId="0" applyNumberFormat="1" applyFont="1" applyFill="1" applyBorder="1" applyAlignment="1">
      <alignment horizontal="right" vertical="center"/>
    </xf>
    <xf numFmtId="3" fontId="2" fillId="0" borderId="33" xfId="0" applyNumberFormat="1" applyFont="1" applyBorder="1" applyAlignment="1">
      <alignment horizontal="right" vertical="top" wrapText="1"/>
    </xf>
    <xf numFmtId="3" fontId="2" fillId="6" borderId="24" xfId="0" applyNumberFormat="1" applyFont="1" applyFill="1" applyBorder="1" applyAlignment="1">
      <alignment horizontal="right" vertical="center"/>
    </xf>
    <xf numFmtId="0" fontId="2" fillId="0" borderId="5" xfId="1" applyNumberFormat="1" applyFont="1" applyFill="1" applyBorder="1" applyAlignment="1">
      <alignment horizontal="left"/>
    </xf>
    <xf numFmtId="166" fontId="2" fillId="5" borderId="6" xfId="1" applyNumberFormat="1" applyFont="1" applyFill="1" applyBorder="1" applyAlignment="1">
      <alignment horizontal="right" vertical="top" wrapText="1"/>
    </xf>
    <xf numFmtId="166" fontId="2" fillId="0" borderId="6" xfId="1" applyNumberFormat="1" applyFont="1" applyFill="1" applyBorder="1" applyAlignment="1">
      <alignment horizontal="right" vertical="top" wrapText="1"/>
    </xf>
    <xf numFmtId="166" fontId="2" fillId="7" borderId="29" xfId="1" applyNumberFormat="1" applyFont="1" applyFill="1" applyBorder="1" applyAlignment="1">
      <alignment horizontal="right" vertical="top" wrapText="1"/>
    </xf>
    <xf numFmtId="3" fontId="2" fillId="6" borderId="57" xfId="0" applyNumberFormat="1" applyFont="1" applyFill="1" applyBorder="1" applyAlignment="1">
      <alignment horizontal="right" vertical="center"/>
    </xf>
    <xf numFmtId="0" fontId="19" fillId="0" borderId="25" xfId="0" applyFont="1" applyBorder="1"/>
    <xf numFmtId="166" fontId="29" fillId="0" borderId="10" xfId="1" applyNumberFormat="1" applyFont="1" applyFill="1" applyBorder="1"/>
    <xf numFmtId="166" fontId="29" fillId="0" borderId="11" xfId="1" applyNumberFormat="1" applyFont="1" applyFill="1" applyBorder="1"/>
    <xf numFmtId="166" fontId="29" fillId="0" borderId="11" xfId="1" applyNumberFormat="1" applyFont="1" applyBorder="1"/>
    <xf numFmtId="166" fontId="61" fillId="7" borderId="20" xfId="1" applyNumberFormat="1" applyFont="1" applyFill="1" applyBorder="1"/>
    <xf numFmtId="166" fontId="9" fillId="7" borderId="25" xfId="1" applyNumberFormat="1" applyFont="1" applyFill="1" applyBorder="1"/>
    <xf numFmtId="166" fontId="59" fillId="5" borderId="11" xfId="1" applyNumberFormat="1" applyFont="1" applyFill="1" applyBorder="1"/>
    <xf numFmtId="166" fontId="7" fillId="0" borderId="33" xfId="1" applyNumberFormat="1" applyFont="1" applyFill="1" applyBorder="1" applyAlignment="1">
      <alignment horizontal="right" vertical="top" wrapText="1"/>
    </xf>
    <xf numFmtId="166" fontId="10" fillId="0" borderId="15" xfId="0" applyNumberFormat="1" applyFont="1" applyBorder="1"/>
    <xf numFmtId="166" fontId="19" fillId="5" borderId="14" xfId="1" applyNumberFormat="1" applyFont="1" applyFill="1" applyBorder="1"/>
    <xf numFmtId="3" fontId="3" fillId="4" borderId="33" xfId="0" applyNumberFormat="1" applyFont="1" applyFill="1" applyBorder="1" applyAlignment="1">
      <alignment horizontal="right" vertical="center"/>
    </xf>
    <xf numFmtId="3" fontId="2" fillId="5" borderId="33" xfId="0" applyNumberFormat="1" applyFont="1" applyFill="1" applyBorder="1" applyAlignment="1">
      <alignment horizontal="right" vertical="top" wrapText="1"/>
    </xf>
    <xf numFmtId="3" fontId="2" fillId="5" borderId="33" xfId="1" applyNumberFormat="1" applyFont="1" applyFill="1" applyBorder="1" applyAlignment="1">
      <alignment horizontal="right"/>
    </xf>
    <xf numFmtId="3" fontId="2" fillId="5" borderId="33" xfId="1" applyNumberFormat="1" applyFont="1" applyFill="1" applyBorder="1"/>
    <xf numFmtId="3" fontId="2" fillId="5" borderId="33" xfId="0" applyNumberFormat="1" applyFont="1" applyFill="1" applyBorder="1"/>
    <xf numFmtId="0" fontId="10" fillId="0" borderId="22" xfId="1" applyNumberFormat="1" applyFont="1" applyFill="1" applyBorder="1" applyAlignment="1">
      <alignment horizontal="left"/>
    </xf>
    <xf numFmtId="3" fontId="10" fillId="5" borderId="38" xfId="0" applyNumberFormat="1" applyFont="1" applyFill="1" applyBorder="1" applyAlignment="1">
      <alignment horizontal="right" vertical="center" wrapText="1"/>
    </xf>
    <xf numFmtId="3" fontId="10" fillId="5" borderId="35" xfId="0" applyNumberFormat="1" applyFont="1" applyFill="1" applyBorder="1" applyAlignment="1">
      <alignment horizontal="right" vertical="center" wrapText="1"/>
    </xf>
    <xf numFmtId="3" fontId="10" fillId="6" borderId="55" xfId="0" applyNumberFormat="1" applyFont="1" applyFill="1" applyBorder="1" applyAlignment="1">
      <alignment horizontal="right" vertical="center" wrapText="1"/>
    </xf>
    <xf numFmtId="3" fontId="10" fillId="6" borderId="48" xfId="0" applyNumberFormat="1" applyFont="1" applyFill="1" applyBorder="1" applyAlignment="1">
      <alignment horizontal="right" vertical="center"/>
    </xf>
    <xf numFmtId="3" fontId="10" fillId="6" borderId="24" xfId="0" applyNumberFormat="1" applyFont="1" applyFill="1" applyBorder="1" applyAlignment="1">
      <alignment horizontal="right" vertical="center"/>
    </xf>
    <xf numFmtId="3" fontId="2" fillId="5" borderId="35" xfId="0" applyNumberFormat="1" applyFont="1" applyFill="1" applyBorder="1" applyAlignment="1">
      <alignment horizontal="right" vertical="center"/>
    </xf>
    <xf numFmtId="3" fontId="2" fillId="5" borderId="30" xfId="0" applyNumberFormat="1" applyFont="1" applyFill="1" applyBorder="1" applyAlignment="1">
      <alignment horizontal="right" vertical="center"/>
    </xf>
    <xf numFmtId="3" fontId="2" fillId="5" borderId="33" xfId="0" applyNumberFormat="1" applyFont="1" applyFill="1" applyBorder="1" applyAlignment="1">
      <alignment horizontal="right"/>
    </xf>
    <xf numFmtId="3" fontId="10" fillId="5" borderId="30" xfId="0" applyNumberFormat="1" applyFont="1" applyFill="1" applyBorder="1" applyAlignment="1">
      <alignment horizontal="right" vertical="center"/>
    </xf>
    <xf numFmtId="3" fontId="49" fillId="6" borderId="46" xfId="0" applyNumberFormat="1" applyFont="1" applyFill="1" applyBorder="1" applyAlignment="1">
      <alignment horizontal="right" vertical="center"/>
    </xf>
    <xf numFmtId="3" fontId="3" fillId="4" borderId="14" xfId="0" applyNumberFormat="1" applyFont="1" applyFill="1" applyBorder="1"/>
    <xf numFmtId="3" fontId="40" fillId="0" borderId="0" xfId="0" applyNumberFormat="1" applyFont="1" applyAlignment="1">
      <alignment horizontal="right" vertical="top" wrapText="1"/>
    </xf>
    <xf numFmtId="166" fontId="50" fillId="8" borderId="24" xfId="1" applyNumberFormat="1" applyFont="1" applyFill="1" applyBorder="1"/>
    <xf numFmtId="3" fontId="10" fillId="0" borderId="24" xfId="1" applyNumberFormat="1" applyFont="1" applyFill="1" applyBorder="1" applyAlignment="1">
      <alignment horizontal="right" vertical="center"/>
    </xf>
    <xf numFmtId="166" fontId="10" fillId="0" borderId="38" xfId="1" applyNumberFormat="1" applyFont="1" applyBorder="1"/>
    <xf numFmtId="9" fontId="10" fillId="13" borderId="55" xfId="0" applyNumberFormat="1" applyFont="1" applyFill="1" applyBorder="1"/>
    <xf numFmtId="3" fontId="2" fillId="5" borderId="35" xfId="0" applyNumberFormat="1" applyFont="1" applyFill="1" applyBorder="1"/>
    <xf numFmtId="0" fontId="63" fillId="0" borderId="3" xfId="0" applyFont="1" applyBorder="1" applyAlignment="1">
      <alignment vertical="center"/>
    </xf>
    <xf numFmtId="3" fontId="64" fillId="0" borderId="13" xfId="0" applyNumberFormat="1" applyFont="1" applyBorder="1" applyAlignment="1">
      <alignment horizontal="right" vertical="center"/>
    </xf>
    <xf numFmtId="3" fontId="3" fillId="3" borderId="15" xfId="0" applyNumberFormat="1" applyFont="1" applyFill="1" applyBorder="1" applyAlignment="1">
      <alignment horizontal="right" vertical="center"/>
    </xf>
    <xf numFmtId="3" fontId="22" fillId="0" borderId="15" xfId="0" applyNumberFormat="1" applyFont="1" applyBorder="1"/>
    <xf numFmtId="4" fontId="16" fillId="17" borderId="15" xfId="0" applyNumberFormat="1" applyFont="1" applyFill="1" applyBorder="1" applyAlignment="1">
      <alignment horizontal="right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3" borderId="58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3" fillId="3" borderId="59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2" fillId="0" borderId="60" xfId="0" applyFont="1" applyBorder="1"/>
    <xf numFmtId="0" fontId="2" fillId="0" borderId="12" xfId="0" applyFont="1" applyBorder="1"/>
    <xf numFmtId="3" fontId="3" fillId="7" borderId="32" xfId="0" applyNumberFormat="1" applyFont="1" applyFill="1" applyBorder="1" applyAlignment="1">
      <alignment horizontal="right" vertical="center"/>
    </xf>
    <xf numFmtId="3" fontId="3" fillId="6" borderId="14" xfId="0" applyNumberFormat="1" applyFont="1" applyFill="1" applyBorder="1" applyAlignment="1">
      <alignment horizontal="right" vertical="center"/>
    </xf>
    <xf numFmtId="3" fontId="2" fillId="5" borderId="15" xfId="0" applyNumberFormat="1" applyFont="1" applyFill="1" applyBorder="1" applyAlignment="1">
      <alignment horizontal="right" vertical="top" wrapText="1"/>
    </xf>
    <xf numFmtId="3" fontId="2" fillId="6" borderId="32" xfId="0" applyNumberFormat="1" applyFont="1" applyFill="1" applyBorder="1" applyAlignment="1">
      <alignment horizontal="right" vertical="top" wrapText="1"/>
    </xf>
    <xf numFmtId="3" fontId="2" fillId="6" borderId="16" xfId="0" applyNumberFormat="1" applyFont="1" applyFill="1" applyBorder="1" applyAlignment="1">
      <alignment horizontal="right" vertical="center"/>
    </xf>
    <xf numFmtId="3" fontId="2" fillId="8" borderId="32" xfId="0" applyNumberFormat="1" applyFont="1" applyFill="1" applyBorder="1" applyAlignment="1">
      <alignment horizontal="right" vertical="top" wrapText="1"/>
    </xf>
    <xf numFmtId="0" fontId="2" fillId="0" borderId="21" xfId="1" applyNumberFormat="1" applyFont="1" applyFill="1" applyBorder="1" applyAlignment="1">
      <alignment horizontal="left"/>
    </xf>
    <xf numFmtId="166" fontId="2" fillId="7" borderId="61" xfId="1" applyNumberFormat="1" applyFont="1" applyFill="1" applyBorder="1" applyAlignment="1">
      <alignment horizontal="right" vertical="top" wrapText="1"/>
    </xf>
    <xf numFmtId="3" fontId="2" fillId="6" borderId="7" xfId="0" applyNumberFormat="1" applyFont="1" applyFill="1" applyBorder="1" applyAlignment="1">
      <alignment horizontal="right" vertical="center"/>
    </xf>
    <xf numFmtId="166" fontId="60" fillId="0" borderId="13" xfId="1" applyNumberFormat="1" applyFont="1" applyFill="1" applyBorder="1"/>
    <xf numFmtId="166" fontId="60" fillId="7" borderId="56" xfId="1" applyNumberFormat="1" applyFont="1" applyFill="1" applyBorder="1"/>
    <xf numFmtId="166" fontId="60" fillId="7" borderId="12" xfId="1" applyNumberFormat="1" applyFont="1" applyFill="1" applyBorder="1"/>
    <xf numFmtId="166" fontId="60" fillId="0" borderId="15" xfId="1" applyNumberFormat="1" applyFont="1" applyFill="1" applyBorder="1"/>
    <xf numFmtId="166" fontId="60" fillId="7" borderId="47" xfId="1" applyNumberFormat="1" applyFont="1" applyFill="1" applyBorder="1"/>
    <xf numFmtId="166" fontId="60" fillId="7" borderId="16" xfId="1" applyNumberFormat="1" applyFont="1" applyFill="1" applyBorder="1"/>
    <xf numFmtId="0" fontId="65" fillId="5" borderId="15" xfId="0" applyFont="1" applyFill="1" applyBorder="1"/>
    <xf numFmtId="166" fontId="61" fillId="7" borderId="47" xfId="1" applyNumberFormat="1" applyFont="1" applyFill="1" applyBorder="1"/>
    <xf numFmtId="166" fontId="61" fillId="7" borderId="16" xfId="1" applyNumberFormat="1" applyFont="1" applyFill="1" applyBorder="1"/>
    <xf numFmtId="166" fontId="59" fillId="7" borderId="47" xfId="1" applyNumberFormat="1" applyFont="1" applyFill="1" applyBorder="1"/>
    <xf numFmtId="166" fontId="59" fillId="7" borderId="16" xfId="1" applyNumberFormat="1" applyFont="1" applyFill="1" applyBorder="1"/>
    <xf numFmtId="166" fontId="8" fillId="5" borderId="15" xfId="1" applyNumberFormat="1" applyFont="1" applyFill="1" applyBorder="1" applyAlignment="1">
      <alignment horizontal="right" vertical="top" wrapText="1"/>
    </xf>
    <xf numFmtId="166" fontId="7" fillId="7" borderId="32" xfId="1" applyNumberFormat="1" applyFont="1" applyFill="1" applyBorder="1" applyAlignment="1">
      <alignment horizontal="right" vertical="top" wrapText="1"/>
    </xf>
    <xf numFmtId="166" fontId="19" fillId="5" borderId="47" xfId="1" applyNumberFormat="1" applyFont="1" applyFill="1" applyBorder="1"/>
    <xf numFmtId="3" fontId="2" fillId="7" borderId="47" xfId="0" applyNumberFormat="1" applyFont="1" applyFill="1" applyBorder="1" applyAlignment="1">
      <alignment horizontal="right" vertical="center"/>
    </xf>
    <xf numFmtId="3" fontId="2" fillId="6" borderId="47" xfId="0" applyNumberFormat="1" applyFont="1" applyFill="1" applyBorder="1" applyAlignment="1">
      <alignment horizontal="right" vertical="center"/>
    </xf>
    <xf numFmtId="166" fontId="2" fillId="6" borderId="47" xfId="1" applyNumberFormat="1" applyFont="1" applyFill="1" applyBorder="1" applyAlignment="1">
      <alignment horizontal="right"/>
    </xf>
    <xf numFmtId="3" fontId="2" fillId="6" borderId="47" xfId="0" applyNumberFormat="1" applyFont="1" applyFill="1" applyBorder="1" applyAlignment="1">
      <alignment horizontal="right" vertical="top" wrapText="1"/>
    </xf>
    <xf numFmtId="3" fontId="2" fillId="0" borderId="47" xfId="0" applyNumberFormat="1" applyFont="1" applyBorder="1" applyAlignment="1">
      <alignment horizontal="right" vertical="top" wrapText="1"/>
    </xf>
    <xf numFmtId="3" fontId="2" fillId="0" borderId="16" xfId="0" applyNumberFormat="1" applyFont="1" applyBorder="1" applyAlignment="1">
      <alignment horizontal="right" vertical="center"/>
    </xf>
    <xf numFmtId="3" fontId="2" fillId="5" borderId="15" xfId="1" applyNumberFormat="1" applyFont="1" applyFill="1" applyBorder="1" applyAlignment="1">
      <alignment horizontal="right"/>
    </xf>
    <xf numFmtId="3" fontId="2" fillId="6" borderId="47" xfId="1" applyNumberFormat="1" applyFont="1" applyFill="1" applyBorder="1" applyAlignment="1">
      <alignment horizontal="right"/>
    </xf>
    <xf numFmtId="3" fontId="2" fillId="5" borderId="15" xfId="1" applyNumberFormat="1" applyFont="1" applyFill="1" applyBorder="1"/>
    <xf numFmtId="3" fontId="2" fillId="6" borderId="47" xfId="1" applyNumberFormat="1" applyFont="1" applyFill="1" applyBorder="1"/>
    <xf numFmtId="3" fontId="2" fillId="6" borderId="47" xfId="0" applyNumberFormat="1" applyFont="1" applyFill="1" applyBorder="1"/>
    <xf numFmtId="3" fontId="10" fillId="5" borderId="24" xfId="0" applyNumberFormat="1" applyFont="1" applyFill="1" applyBorder="1" applyAlignment="1">
      <alignment horizontal="right" vertical="center" wrapText="1"/>
    </xf>
    <xf numFmtId="3" fontId="10" fillId="6" borderId="62" xfId="0" applyNumberFormat="1" applyFont="1" applyFill="1" applyBorder="1" applyAlignment="1">
      <alignment horizontal="right" vertical="center" wrapText="1"/>
    </xf>
    <xf numFmtId="3" fontId="10" fillId="6" borderId="23" xfId="0" applyNumberFormat="1" applyFont="1" applyFill="1" applyBorder="1" applyAlignment="1">
      <alignment horizontal="right" vertical="center"/>
    </xf>
    <xf numFmtId="3" fontId="18" fillId="6" borderId="24" xfId="0" applyNumberFormat="1" applyFont="1" applyFill="1" applyBorder="1" applyAlignment="1">
      <alignment horizontal="right" vertical="center"/>
    </xf>
    <xf numFmtId="3" fontId="3" fillId="6" borderId="16" xfId="0" applyNumberFormat="1" applyFont="1" applyFill="1" applyBorder="1" applyAlignment="1">
      <alignment horizontal="right" vertical="center"/>
    </xf>
    <xf numFmtId="3" fontId="2" fillId="5" borderId="15" xfId="0" applyNumberFormat="1" applyFont="1" applyFill="1" applyBorder="1" applyAlignment="1">
      <alignment vertical="center"/>
    </xf>
    <xf numFmtId="3" fontId="2" fillId="6" borderId="23" xfId="0" applyNumberFormat="1" applyFont="1" applyFill="1" applyBorder="1" applyAlignment="1">
      <alignment horizontal="right" vertical="center"/>
    </xf>
    <xf numFmtId="3" fontId="2" fillId="6" borderId="12" xfId="0" applyNumberFormat="1" applyFont="1" applyFill="1" applyBorder="1" applyAlignment="1">
      <alignment horizontal="right" vertical="center"/>
    </xf>
    <xf numFmtId="3" fontId="2" fillId="6" borderId="47" xfId="0" applyNumberFormat="1" applyFont="1" applyFill="1" applyBorder="1" applyAlignment="1">
      <alignment horizontal="right"/>
    </xf>
    <xf numFmtId="3" fontId="13" fillId="5" borderId="15" xfId="0" applyNumberFormat="1" applyFont="1" applyFill="1" applyBorder="1"/>
    <xf numFmtId="0" fontId="7" fillId="0" borderId="15" xfId="0" applyFont="1" applyBorder="1"/>
    <xf numFmtId="166" fontId="7" fillId="5" borderId="15" xfId="1" applyNumberFormat="1" applyFont="1" applyFill="1" applyBorder="1"/>
    <xf numFmtId="3" fontId="25" fillId="6" borderId="15" xfId="0" applyNumberFormat="1" applyFont="1" applyFill="1" applyBorder="1" applyAlignment="1">
      <alignment horizontal="right" vertical="center"/>
    </xf>
    <xf numFmtId="166" fontId="7" fillId="7" borderId="15" xfId="1" applyNumberFormat="1" applyFont="1" applyFill="1" applyBorder="1"/>
    <xf numFmtId="3" fontId="7" fillId="6" borderId="15" xfId="0" applyNumberFormat="1" applyFont="1" applyFill="1" applyBorder="1"/>
    <xf numFmtId="166" fontId="13" fillId="0" borderId="47" xfId="1" applyNumberFormat="1" applyFont="1" applyBorder="1"/>
    <xf numFmtId="3" fontId="3" fillId="6" borderId="47" xfId="0" applyNumberFormat="1" applyFont="1" applyFill="1" applyBorder="1"/>
    <xf numFmtId="3" fontId="3" fillId="6" borderId="16" xfId="0" applyNumberFormat="1" applyFont="1" applyFill="1" applyBorder="1"/>
    <xf numFmtId="3" fontId="2" fillId="7" borderId="47" xfId="0" applyNumberFormat="1" applyFont="1" applyFill="1" applyBorder="1"/>
    <xf numFmtId="3" fontId="2" fillId="7" borderId="47" xfId="0" applyNumberFormat="1" applyFont="1" applyFill="1" applyBorder="1" applyAlignment="1">
      <alignment horizontal="right" vertical="top" wrapText="1"/>
    </xf>
    <xf numFmtId="3" fontId="2" fillId="9" borderId="47" xfId="0" applyNumberFormat="1" applyFont="1" applyFill="1" applyBorder="1" applyAlignment="1">
      <alignment horizontal="right" vertical="top" wrapText="1"/>
    </xf>
    <xf numFmtId="0" fontId="3" fillId="3" borderId="26" xfId="0" applyFont="1" applyFill="1" applyBorder="1" applyAlignment="1">
      <alignment horizontal="center"/>
    </xf>
    <xf numFmtId="3" fontId="16" fillId="14" borderId="28" xfId="0" applyNumberFormat="1" applyFont="1" applyFill="1" applyBorder="1" applyAlignment="1">
      <alignment horizontal="center" vertical="center" wrapText="1"/>
    </xf>
    <xf numFmtId="3" fontId="13" fillId="0" borderId="30" xfId="0" applyNumberFormat="1" applyFont="1" applyBorder="1"/>
    <xf numFmtId="0" fontId="19" fillId="0" borderId="33" xfId="0" applyFont="1" applyBorder="1"/>
    <xf numFmtId="3" fontId="2" fillId="0" borderId="33" xfId="0" applyNumberFormat="1" applyFont="1" applyBorder="1" applyAlignment="1">
      <alignment horizontal="right" vertical="center"/>
    </xf>
    <xf numFmtId="166" fontId="2" fillId="0" borderId="33" xfId="1" applyNumberFormat="1" applyFont="1" applyBorder="1" applyAlignment="1">
      <alignment horizontal="right"/>
    </xf>
    <xf numFmtId="9" fontId="13" fillId="13" borderId="63" xfId="0" applyNumberFormat="1" applyFont="1" applyFill="1" applyBorder="1"/>
    <xf numFmtId="3" fontId="2" fillId="0" borderId="30" xfId="0" applyNumberFormat="1" applyFont="1" applyBorder="1" applyAlignment="1">
      <alignment horizontal="right" vertical="center"/>
    </xf>
    <xf numFmtId="3" fontId="7" fillId="0" borderId="33" xfId="0" applyNumberFormat="1" applyFont="1" applyBorder="1" applyAlignment="1">
      <alignment horizontal="right" vertical="center"/>
    </xf>
    <xf numFmtId="0" fontId="2" fillId="0" borderId="33" xfId="0" applyFont="1" applyBorder="1"/>
    <xf numFmtId="3" fontId="2" fillId="0" borderId="35" xfId="0" applyNumberFormat="1" applyFont="1" applyBorder="1"/>
    <xf numFmtId="3" fontId="3" fillId="5" borderId="33" xfId="0" applyNumberFormat="1" applyFont="1" applyFill="1" applyBorder="1" applyAlignment="1">
      <alignment horizontal="right" vertical="center"/>
    </xf>
    <xf numFmtId="3" fontId="2" fillId="0" borderId="30" xfId="1" applyNumberFormat="1" applyFont="1" applyFill="1" applyBorder="1" applyAlignment="1">
      <alignment horizontal="right" vertical="center"/>
    </xf>
    <xf numFmtId="3" fontId="2" fillId="0" borderId="33" xfId="1" applyNumberFormat="1" applyFont="1" applyFill="1" applyBorder="1" applyAlignment="1">
      <alignment horizontal="right" vertical="center"/>
    </xf>
    <xf numFmtId="166" fontId="66" fillId="8" borderId="0" xfId="1" applyNumberFormat="1" applyFont="1" applyFill="1" applyBorder="1"/>
    <xf numFmtId="3" fontId="18" fillId="0" borderId="24" xfId="1" applyNumberFormat="1" applyFont="1" applyFill="1" applyBorder="1" applyAlignment="1">
      <alignment horizontal="right" vertical="center"/>
    </xf>
    <xf numFmtId="166" fontId="18" fillId="0" borderId="0" xfId="1" applyNumberFormat="1" applyFont="1" applyBorder="1"/>
    <xf numFmtId="166" fontId="18" fillId="0" borderId="64" xfId="1" applyNumberFormat="1" applyFont="1" applyBorder="1"/>
    <xf numFmtId="3" fontId="2" fillId="0" borderId="33" xfId="0" applyNumberFormat="1" applyFont="1" applyBorder="1"/>
    <xf numFmtId="168" fontId="45" fillId="0" borderId="0" xfId="1" applyNumberFormat="1" applyFont="1"/>
    <xf numFmtId="9" fontId="7" fillId="13" borderId="15" xfId="0" applyNumberFormat="1" applyFont="1" applyFill="1" applyBorder="1"/>
    <xf numFmtId="3" fontId="3" fillId="5" borderId="32" xfId="0" applyNumberFormat="1" applyFont="1" applyFill="1" applyBorder="1"/>
    <xf numFmtId="3" fontId="3" fillId="5" borderId="0" xfId="0" applyNumberFormat="1" applyFont="1" applyFill="1" applyAlignment="1">
      <alignment horizontal="right" vertical="center"/>
    </xf>
    <xf numFmtId="169" fontId="19" fillId="0" borderId="38" xfId="0" applyNumberFormat="1" applyFont="1" applyBorder="1"/>
    <xf numFmtId="3" fontId="19" fillId="0" borderId="7" xfId="0" applyNumberFormat="1" applyFont="1" applyBorder="1"/>
    <xf numFmtId="3" fontId="19" fillId="0" borderId="8" xfId="0" applyNumberFormat="1" applyFont="1" applyBorder="1"/>
    <xf numFmtId="0" fontId="19" fillId="0" borderId="28" xfId="0" applyFont="1" applyBorder="1"/>
    <xf numFmtId="166" fontId="22" fillId="0" borderId="15" xfId="0" applyNumberFormat="1" applyFont="1" applyBorder="1" applyAlignment="1">
      <alignment vertical="center"/>
    </xf>
    <xf numFmtId="170" fontId="19" fillId="0" borderId="15" xfId="0" applyNumberFormat="1" applyFont="1" applyBorder="1" applyAlignment="1">
      <alignment vertical="center"/>
    </xf>
    <xf numFmtId="170" fontId="0" fillId="0" borderId="15" xfId="0" applyNumberFormat="1" applyBorder="1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4" borderId="43" xfId="0" applyFont="1" applyFill="1" applyBorder="1" applyAlignment="1">
      <alignment horizontal="center" vertical="center" wrapText="1"/>
    </xf>
    <xf numFmtId="0" fontId="2" fillId="3" borderId="58" xfId="0" applyFont="1" applyFill="1" applyBorder="1" applyAlignment="1">
      <alignment horizontal="center" vertical="center" wrapText="1"/>
    </xf>
    <xf numFmtId="0" fontId="2" fillId="3" borderId="4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0" fontId="2" fillId="4" borderId="45" xfId="0" applyFont="1" applyFill="1" applyBorder="1" applyAlignment="1">
      <alignment horizontal="center" vertical="center" wrapText="1"/>
    </xf>
    <xf numFmtId="0" fontId="2" fillId="3" borderId="59" xfId="0" applyFont="1" applyFill="1" applyBorder="1" applyAlignment="1">
      <alignment horizontal="center" vertical="center" wrapText="1"/>
    </xf>
    <xf numFmtId="0" fontId="2" fillId="3" borderId="45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166" fontId="2" fillId="0" borderId="39" xfId="1" applyNumberFormat="1" applyFont="1" applyFill="1" applyBorder="1" applyAlignment="1">
      <alignment horizontal="center"/>
    </xf>
    <xf numFmtId="0" fontId="2" fillId="0" borderId="4" xfId="0" applyFont="1" applyBorder="1"/>
    <xf numFmtId="0" fontId="2" fillId="0" borderId="43" xfId="0" applyFont="1" applyBorder="1"/>
    <xf numFmtId="3" fontId="3" fillId="18" borderId="47" xfId="0" applyNumberFormat="1" applyFont="1" applyFill="1" applyBorder="1" applyAlignment="1">
      <alignment horizontal="right" vertical="center"/>
    </xf>
    <xf numFmtId="3" fontId="3" fillId="7" borderId="15" xfId="0" applyNumberFormat="1" applyFont="1" applyFill="1" applyBorder="1" applyAlignment="1">
      <alignment horizontal="right" vertical="center"/>
    </xf>
    <xf numFmtId="0" fontId="2" fillId="5" borderId="14" xfId="1" applyNumberFormat="1" applyFont="1" applyFill="1" applyBorder="1" applyAlignment="1">
      <alignment horizontal="left"/>
    </xf>
    <xf numFmtId="3" fontId="2" fillId="5" borderId="47" xfId="0" applyNumberFormat="1" applyFont="1" applyFill="1" applyBorder="1" applyAlignment="1">
      <alignment horizontal="right" vertical="top" wrapText="1"/>
    </xf>
    <xf numFmtId="3" fontId="2" fillId="6" borderId="15" xfId="0" applyNumberFormat="1" applyFont="1" applyFill="1" applyBorder="1" applyAlignment="1">
      <alignment horizontal="right" vertical="top" wrapText="1"/>
    </xf>
    <xf numFmtId="3" fontId="2" fillId="8" borderId="15" xfId="0" applyNumberFormat="1" applyFont="1" applyFill="1" applyBorder="1" applyAlignment="1">
      <alignment horizontal="right" vertical="top" wrapText="1"/>
    </xf>
    <xf numFmtId="0" fontId="2" fillId="5" borderId="14" xfId="0" applyFont="1" applyFill="1" applyBorder="1"/>
    <xf numFmtId="3" fontId="41" fillId="6" borderId="15" xfId="0" applyNumberFormat="1" applyFont="1" applyFill="1" applyBorder="1" applyAlignment="1">
      <alignment horizontal="right" vertical="center"/>
    </xf>
    <xf numFmtId="0" fontId="2" fillId="5" borderId="21" xfId="1" applyNumberFormat="1" applyFont="1" applyFill="1" applyBorder="1" applyAlignment="1">
      <alignment horizontal="left"/>
    </xf>
    <xf numFmtId="3" fontId="2" fillId="5" borderId="65" xfId="0" applyNumberFormat="1" applyFont="1" applyFill="1" applyBorder="1" applyAlignment="1">
      <alignment horizontal="right" vertical="top" wrapText="1"/>
    </xf>
    <xf numFmtId="166" fontId="2" fillId="7" borderId="28" xfId="1" applyNumberFormat="1" applyFont="1" applyFill="1" applyBorder="1" applyAlignment="1">
      <alignment horizontal="right" vertical="top" wrapText="1"/>
    </xf>
    <xf numFmtId="166" fontId="43" fillId="0" borderId="13" xfId="1" applyNumberFormat="1" applyFont="1" applyFill="1" applyBorder="1"/>
    <xf numFmtId="166" fontId="43" fillId="0" borderId="56" xfId="1" applyNumberFormat="1" applyFont="1" applyFill="1" applyBorder="1"/>
    <xf numFmtId="166" fontId="43" fillId="7" borderId="13" xfId="1" applyNumberFormat="1" applyFont="1" applyFill="1" applyBorder="1"/>
    <xf numFmtId="3" fontId="2" fillId="7" borderId="66" xfId="0" applyNumberFormat="1" applyFont="1" applyFill="1" applyBorder="1" applyAlignment="1">
      <alignment horizontal="right" vertical="center"/>
    </xf>
    <xf numFmtId="166" fontId="43" fillId="0" borderId="15" xfId="1" applyNumberFormat="1" applyFont="1" applyFill="1" applyBorder="1"/>
    <xf numFmtId="166" fontId="43" fillId="0" borderId="47" xfId="1" applyNumberFormat="1" applyFont="1" applyFill="1" applyBorder="1"/>
    <xf numFmtId="166" fontId="43" fillId="7" borderId="15" xfId="1" applyNumberFormat="1" applyFont="1" applyFill="1" applyBorder="1"/>
    <xf numFmtId="166" fontId="8" fillId="0" borderId="15" xfId="1" applyNumberFormat="1" applyFont="1" applyFill="1" applyBorder="1"/>
    <xf numFmtId="3" fontId="7" fillId="0" borderId="25" xfId="0" applyNumberFormat="1" applyFont="1" applyBorder="1" applyAlignment="1">
      <alignment horizontal="right" vertical="center"/>
    </xf>
    <xf numFmtId="166" fontId="8" fillId="7" borderId="15" xfId="1" applyNumberFormat="1" applyFont="1" applyFill="1" applyBorder="1"/>
    <xf numFmtId="166" fontId="7" fillId="5" borderId="15" xfId="1" applyNumberFormat="1" applyFont="1" applyFill="1" applyBorder="1" applyAlignment="1">
      <alignment horizontal="right" vertical="top" wrapText="1"/>
    </xf>
    <xf numFmtId="166" fontId="8" fillId="0" borderId="47" xfId="1" applyNumberFormat="1" applyFont="1" applyFill="1" applyBorder="1" applyAlignment="1">
      <alignment horizontal="right" vertical="top" wrapText="1"/>
    </xf>
    <xf numFmtId="166" fontId="7" fillId="7" borderId="15" xfId="1" applyNumberFormat="1" applyFont="1" applyFill="1" applyBorder="1" applyAlignment="1">
      <alignment horizontal="right" vertical="top" wrapText="1"/>
    </xf>
    <xf numFmtId="3" fontId="2" fillId="5" borderId="47" xfId="0" applyNumberFormat="1" applyFont="1" applyFill="1" applyBorder="1" applyAlignment="1">
      <alignment horizontal="right" vertical="center"/>
    </xf>
    <xf numFmtId="166" fontId="2" fillId="5" borderId="47" xfId="1" applyNumberFormat="1" applyFont="1" applyFill="1" applyBorder="1"/>
    <xf numFmtId="0" fontId="2" fillId="4" borderId="14" xfId="1" applyNumberFormat="1" applyFont="1" applyFill="1" applyBorder="1" applyAlignment="1">
      <alignment horizontal="left"/>
    </xf>
    <xf numFmtId="3" fontId="2" fillId="4" borderId="15" xfId="0" applyNumberFormat="1" applyFont="1" applyFill="1" applyBorder="1" applyAlignment="1">
      <alignment horizontal="right" vertical="top" wrapText="1"/>
    </xf>
    <xf numFmtId="3" fontId="2" fillId="4" borderId="47" xfId="0" applyNumberFormat="1" applyFont="1" applyFill="1" applyBorder="1" applyAlignment="1">
      <alignment horizontal="right" vertical="top" wrapText="1"/>
    </xf>
    <xf numFmtId="0" fontId="2" fillId="4" borderId="14" xfId="0" applyFont="1" applyFill="1" applyBorder="1" applyAlignment="1">
      <alignment horizontal="left"/>
    </xf>
    <xf numFmtId="3" fontId="2" fillId="4" borderId="15" xfId="1" applyNumberFormat="1" applyFont="1" applyFill="1" applyBorder="1" applyAlignment="1">
      <alignment horizontal="right"/>
    </xf>
    <xf numFmtId="3" fontId="2" fillId="4" borderId="47" xfId="1" applyNumberFormat="1" applyFont="1" applyFill="1" applyBorder="1" applyAlignment="1">
      <alignment horizontal="right"/>
    </xf>
    <xf numFmtId="3" fontId="2" fillId="6" borderId="15" xfId="1" applyNumberFormat="1" applyFont="1" applyFill="1" applyBorder="1" applyAlignment="1">
      <alignment horizontal="right"/>
    </xf>
    <xf numFmtId="3" fontId="2" fillId="4" borderId="15" xfId="1" applyNumberFormat="1" applyFont="1" applyFill="1" applyBorder="1"/>
    <xf numFmtId="3" fontId="2" fillId="4" borderId="47" xfId="1" applyNumberFormat="1" applyFont="1" applyFill="1" applyBorder="1"/>
    <xf numFmtId="0" fontId="4" fillId="4" borderId="14" xfId="0" applyFont="1" applyFill="1" applyBorder="1" applyAlignment="1">
      <alignment horizontal="left"/>
    </xf>
    <xf numFmtId="3" fontId="4" fillId="4" borderId="15" xfId="1" applyNumberFormat="1" applyFont="1" applyFill="1" applyBorder="1"/>
    <xf numFmtId="3" fontId="4" fillId="4" borderId="47" xfId="1" applyNumberFormat="1" applyFont="1" applyFill="1" applyBorder="1"/>
    <xf numFmtId="3" fontId="2" fillId="4" borderId="15" xfId="0" applyNumberFormat="1" applyFont="1" applyFill="1" applyBorder="1" applyAlignment="1">
      <alignment horizontal="right" vertical="center"/>
    </xf>
    <xf numFmtId="3" fontId="2" fillId="4" borderId="15" xfId="0" applyNumberFormat="1" applyFont="1" applyFill="1" applyBorder="1"/>
    <xf numFmtId="3" fontId="2" fillId="4" borderId="47" xfId="0" applyNumberFormat="1" applyFont="1" applyFill="1" applyBorder="1"/>
    <xf numFmtId="3" fontId="2" fillId="6" borderId="15" xfId="0" applyNumberFormat="1" applyFont="1" applyFill="1" applyBorder="1"/>
    <xf numFmtId="0" fontId="2" fillId="4" borderId="21" xfId="0" applyFont="1" applyFill="1" applyBorder="1" applyAlignment="1">
      <alignment horizontal="left"/>
    </xf>
    <xf numFmtId="3" fontId="2" fillId="4" borderId="8" xfId="0" applyNumberFormat="1" applyFont="1" applyFill="1" applyBorder="1"/>
    <xf numFmtId="3" fontId="2" fillId="4" borderId="65" xfId="0" applyNumberFormat="1" applyFont="1" applyFill="1" applyBorder="1"/>
    <xf numFmtId="3" fontId="2" fillId="6" borderId="8" xfId="0" applyNumberFormat="1" applyFont="1" applyFill="1" applyBorder="1"/>
    <xf numFmtId="3" fontId="49" fillId="0" borderId="56" xfId="0" applyNumberFormat="1" applyFont="1" applyBorder="1" applyAlignment="1">
      <alignment horizontal="right" vertical="top" wrapText="1"/>
    </xf>
    <xf numFmtId="3" fontId="10" fillId="6" borderId="13" xfId="0" applyNumberFormat="1" applyFont="1" applyFill="1" applyBorder="1" applyAlignment="1">
      <alignment horizontal="right" vertical="center" wrapText="1"/>
    </xf>
    <xf numFmtId="3" fontId="49" fillId="6" borderId="15" xfId="0" applyNumberFormat="1" applyFont="1" applyFill="1" applyBorder="1" applyAlignment="1">
      <alignment horizontal="right" vertical="center"/>
    </xf>
    <xf numFmtId="0" fontId="2" fillId="4" borderId="22" xfId="0" applyFont="1" applyFill="1" applyBorder="1" applyAlignment="1">
      <alignment horizontal="left" vertical="center"/>
    </xf>
    <xf numFmtId="3" fontId="2" fillId="4" borderId="22" xfId="0" applyNumberFormat="1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left" vertical="center"/>
    </xf>
    <xf numFmtId="3" fontId="2" fillId="4" borderId="9" xfId="0" applyNumberFormat="1" applyFont="1" applyFill="1" applyBorder="1" applyAlignment="1">
      <alignment horizontal="center" vertical="center"/>
    </xf>
    <xf numFmtId="3" fontId="2" fillId="4" borderId="15" xfId="0" applyNumberFormat="1" applyFont="1" applyFill="1" applyBorder="1" applyAlignment="1">
      <alignment horizontal="right"/>
    </xf>
    <xf numFmtId="3" fontId="2" fillId="4" borderId="47" xfId="0" applyNumberFormat="1" applyFont="1" applyFill="1" applyBorder="1" applyAlignment="1">
      <alignment horizontal="right"/>
    </xf>
    <xf numFmtId="3" fontId="2" fillId="6" borderId="15" xfId="0" applyNumberFormat="1" applyFont="1" applyFill="1" applyBorder="1" applyAlignment="1">
      <alignment horizontal="right"/>
    </xf>
    <xf numFmtId="0" fontId="2" fillId="4" borderId="14" xfId="0" applyFont="1" applyFill="1" applyBorder="1"/>
    <xf numFmtId="0" fontId="2" fillId="4" borderId="15" xfId="0" applyFont="1" applyFill="1" applyBorder="1"/>
    <xf numFmtId="0" fontId="19" fillId="4" borderId="15" xfId="0" applyFont="1" applyFill="1" applyBorder="1"/>
    <xf numFmtId="3" fontId="10" fillId="5" borderId="13" xfId="0" applyNumberFormat="1" applyFont="1" applyFill="1" applyBorder="1" applyAlignment="1">
      <alignment horizontal="right" vertical="center"/>
    </xf>
    <xf numFmtId="3" fontId="10" fillId="0" borderId="56" xfId="0" applyNumberFormat="1" applyFont="1" applyBorder="1"/>
    <xf numFmtId="3" fontId="10" fillId="6" borderId="13" xfId="0" applyNumberFormat="1" applyFont="1" applyFill="1" applyBorder="1" applyAlignment="1">
      <alignment horizontal="right" vertical="center"/>
    </xf>
    <xf numFmtId="3" fontId="67" fillId="6" borderId="46" xfId="0" applyNumberFormat="1" applyFont="1" applyFill="1" applyBorder="1" applyAlignment="1">
      <alignment horizontal="right" vertical="center"/>
    </xf>
    <xf numFmtId="166" fontId="19" fillId="0" borderId="47" xfId="1" applyNumberFormat="1" applyFont="1" applyBorder="1"/>
    <xf numFmtId="166" fontId="13" fillId="0" borderId="15" xfId="1" applyNumberFormat="1" applyFont="1" applyBorder="1"/>
    <xf numFmtId="3" fontId="2" fillId="7" borderId="15" xfId="0" applyNumberFormat="1" applyFont="1" applyFill="1" applyBorder="1"/>
    <xf numFmtId="3" fontId="2" fillId="7" borderId="15" xfId="0" applyNumberFormat="1" applyFont="1" applyFill="1" applyBorder="1" applyAlignment="1">
      <alignment horizontal="right" vertical="top" wrapText="1"/>
    </xf>
    <xf numFmtId="0" fontId="2" fillId="4" borderId="22" xfId="0" applyFont="1" applyFill="1" applyBorder="1"/>
    <xf numFmtId="0" fontId="13" fillId="4" borderId="14" xfId="0" applyFont="1" applyFill="1" applyBorder="1"/>
    <xf numFmtId="3" fontId="2" fillId="4" borderId="62" xfId="0" applyNumberFormat="1" applyFont="1" applyFill="1" applyBorder="1"/>
    <xf numFmtId="0" fontId="46" fillId="4" borderId="47" xfId="0" applyFont="1" applyFill="1" applyBorder="1"/>
    <xf numFmtId="3" fontId="2" fillId="5" borderId="0" xfId="0" applyNumberFormat="1" applyFont="1" applyFill="1" applyAlignment="1">
      <alignment horizontal="right" vertical="center"/>
    </xf>
    <xf numFmtId="0" fontId="2" fillId="3" borderId="40" xfId="0" applyFont="1" applyFill="1" applyBorder="1" applyAlignment="1">
      <alignment horizontal="center"/>
    </xf>
    <xf numFmtId="0" fontId="13" fillId="3" borderId="8" xfId="0" applyFont="1" applyFill="1" applyBorder="1" applyAlignment="1">
      <alignment horizontal="center" vertical="center" wrapText="1"/>
    </xf>
    <xf numFmtId="0" fontId="2" fillId="14" borderId="8" xfId="0" applyFont="1" applyFill="1" applyBorder="1" applyAlignment="1">
      <alignment horizontal="center" vertical="center" wrapText="1"/>
    </xf>
    <xf numFmtId="3" fontId="13" fillId="14" borderId="8" xfId="0" applyNumberFormat="1" applyFont="1" applyFill="1" applyBorder="1" applyAlignment="1">
      <alignment horizontal="center" vertical="center" wrapText="1"/>
    </xf>
    <xf numFmtId="3" fontId="13" fillId="14" borderId="17" xfId="0" applyNumberFormat="1" applyFont="1" applyFill="1" applyBorder="1" applyAlignment="1">
      <alignment horizontal="center" vertical="center" wrapText="1"/>
    </xf>
    <xf numFmtId="0" fontId="13" fillId="0" borderId="4" xfId="0" applyFont="1" applyBorder="1"/>
    <xf numFmtId="3" fontId="2" fillId="0" borderId="4" xfId="0" applyNumberFormat="1" applyFont="1" applyBorder="1"/>
    <xf numFmtId="3" fontId="13" fillId="0" borderId="4" xfId="0" applyNumberFormat="1" applyFont="1" applyBorder="1"/>
    <xf numFmtId="3" fontId="13" fillId="0" borderId="40" xfId="0" applyNumberFormat="1" applyFont="1" applyBorder="1"/>
    <xf numFmtId="3" fontId="3" fillId="5" borderId="14" xfId="0" applyNumberFormat="1" applyFont="1" applyFill="1" applyBorder="1" applyAlignment="1">
      <alignment horizontal="right" vertical="center"/>
    </xf>
    <xf numFmtId="3" fontId="68" fillId="0" borderId="0" xfId="0" applyNumberFormat="1" applyFont="1" applyAlignment="1">
      <alignment horizontal="left" vertical="top" wrapText="1"/>
    </xf>
    <xf numFmtId="3" fontId="2" fillId="0" borderId="66" xfId="0" applyNumberFormat="1" applyFont="1" applyBorder="1" applyAlignment="1">
      <alignment horizontal="right" vertical="center"/>
    </xf>
    <xf numFmtId="3" fontId="2" fillId="0" borderId="6" xfId="0" applyNumberFormat="1" applyFont="1" applyBorder="1" applyAlignment="1">
      <alignment horizontal="right" vertical="center"/>
    </xf>
    <xf numFmtId="9" fontId="13" fillId="13" borderId="29" xfId="0" applyNumberFormat="1" applyFont="1" applyFill="1" applyBorder="1"/>
    <xf numFmtId="3" fontId="69" fillId="0" borderId="0" xfId="0" applyNumberFormat="1" applyFont="1" applyAlignment="1">
      <alignment horizontal="left" vertical="top" wrapText="1"/>
    </xf>
    <xf numFmtId="0" fontId="19" fillId="5" borderId="25" xfId="0" applyFont="1" applyFill="1" applyBorder="1"/>
    <xf numFmtId="9" fontId="16" fillId="13" borderId="33" xfId="0" applyNumberFormat="1" applyFont="1" applyFill="1" applyBorder="1"/>
    <xf numFmtId="166" fontId="70" fillId="8" borderId="0" xfId="1" applyNumberFormat="1" applyFont="1" applyFill="1"/>
    <xf numFmtId="3" fontId="49" fillId="0" borderId="15" xfId="1" applyNumberFormat="1" applyFont="1" applyFill="1" applyBorder="1" applyAlignment="1">
      <alignment horizontal="right" vertical="center"/>
    </xf>
    <xf numFmtId="166" fontId="49" fillId="0" borderId="0" xfId="1" applyNumberFormat="1" applyFont="1"/>
    <xf numFmtId="172" fontId="19" fillId="5" borderId="0" xfId="1" applyNumberFormat="1" applyFont="1" applyFill="1"/>
    <xf numFmtId="9" fontId="13" fillId="13" borderId="55" xfId="0" applyNumberFormat="1" applyFont="1" applyFill="1" applyBorder="1"/>
    <xf numFmtId="0" fontId="71" fillId="0" borderId="3" xfId="0" applyFont="1" applyBorder="1" applyAlignment="1">
      <alignment vertical="center"/>
    </xf>
    <xf numFmtId="3" fontId="72" fillId="0" borderId="13" xfId="0" applyNumberFormat="1" applyFont="1" applyBorder="1" applyAlignment="1">
      <alignment horizontal="right" vertical="center"/>
    </xf>
    <xf numFmtId="3" fontId="3" fillId="4" borderId="25" xfId="0" applyNumberFormat="1" applyFont="1" applyFill="1" applyBorder="1" applyAlignment="1">
      <alignment horizontal="right" vertical="center"/>
    </xf>
    <xf numFmtId="3" fontId="2" fillId="5" borderId="25" xfId="0" applyNumberFormat="1" applyFont="1" applyFill="1" applyBorder="1" applyAlignment="1">
      <alignment horizontal="right" vertical="top" wrapText="1"/>
    </xf>
    <xf numFmtId="166" fontId="2" fillId="5" borderId="66" xfId="1" applyNumberFormat="1" applyFont="1" applyFill="1" applyBorder="1" applyAlignment="1">
      <alignment horizontal="right" vertical="top" wrapText="1"/>
    </xf>
    <xf numFmtId="166" fontId="13" fillId="5" borderId="67" xfId="1" applyNumberFormat="1" applyFont="1" applyFill="1" applyBorder="1" applyAlignment="1">
      <alignment horizontal="right" vertical="top" wrapText="1"/>
    </xf>
    <xf numFmtId="166" fontId="2" fillId="7" borderId="44" xfId="1" applyNumberFormat="1" applyFont="1" applyFill="1" applyBorder="1" applyAlignment="1">
      <alignment horizontal="right" vertical="top" wrapText="1"/>
    </xf>
    <xf numFmtId="0" fontId="19" fillId="7" borderId="65" xfId="0" applyFont="1" applyFill="1" applyBorder="1"/>
    <xf numFmtId="166" fontId="73" fillId="5" borderId="13" xfId="1" applyNumberFormat="1" applyFont="1" applyFill="1" applyBorder="1"/>
    <xf numFmtId="166" fontId="73" fillId="5" borderId="56" xfId="1" applyNumberFormat="1" applyFont="1" applyFill="1" applyBorder="1"/>
    <xf numFmtId="166" fontId="73" fillId="7" borderId="13" xfId="1" applyNumberFormat="1" applyFont="1" applyFill="1" applyBorder="1"/>
    <xf numFmtId="166" fontId="73" fillId="5" borderId="15" xfId="1" applyNumberFormat="1" applyFont="1" applyFill="1" applyBorder="1"/>
    <xf numFmtId="166" fontId="73" fillId="5" borderId="47" xfId="1" applyNumberFormat="1" applyFont="1" applyFill="1" applyBorder="1"/>
    <xf numFmtId="166" fontId="73" fillId="7" borderId="15" xfId="1" applyNumberFormat="1" applyFont="1" applyFill="1" applyBorder="1"/>
    <xf numFmtId="3" fontId="7" fillId="5" borderId="25" xfId="0" applyNumberFormat="1" applyFont="1" applyFill="1" applyBorder="1" applyAlignment="1">
      <alignment horizontal="right" vertical="center"/>
    </xf>
    <xf numFmtId="166" fontId="7" fillId="5" borderId="25" xfId="1" applyNumberFormat="1" applyFont="1" applyFill="1" applyBorder="1" applyAlignment="1">
      <alignment horizontal="right" vertical="top" wrapText="1"/>
    </xf>
    <xf numFmtId="3" fontId="10" fillId="0" borderId="15" xfId="0" applyNumberFormat="1" applyFont="1" applyBorder="1" applyAlignment="1">
      <alignment horizontal="right" vertical="center"/>
    </xf>
    <xf numFmtId="3" fontId="2" fillId="5" borderId="47" xfId="1" applyNumberFormat="1" applyFont="1" applyFill="1" applyBorder="1" applyAlignment="1">
      <alignment horizontal="right"/>
    </xf>
    <xf numFmtId="3" fontId="2" fillId="5" borderId="47" xfId="1" applyNumberFormat="1" applyFont="1" applyFill="1" applyBorder="1"/>
    <xf numFmtId="3" fontId="2" fillId="5" borderId="47" xfId="0" applyNumberFormat="1" applyFont="1" applyFill="1" applyBorder="1"/>
    <xf numFmtId="3" fontId="2" fillId="5" borderId="8" xfId="0" applyNumberFormat="1" applyFont="1" applyFill="1" applyBorder="1"/>
    <xf numFmtId="3" fontId="2" fillId="5" borderId="65" xfId="0" applyNumberFormat="1" applyFont="1" applyFill="1" applyBorder="1"/>
    <xf numFmtId="3" fontId="7" fillId="5" borderId="13" xfId="0" applyNumberFormat="1" applyFont="1" applyFill="1" applyBorder="1" applyAlignment="1">
      <alignment horizontal="right" vertical="center" wrapText="1"/>
    </xf>
    <xf numFmtId="3" fontId="18" fillId="5" borderId="56" xfId="0" applyNumberFormat="1" applyFont="1" applyFill="1" applyBorder="1" applyAlignment="1">
      <alignment horizontal="right" vertical="center" wrapText="1"/>
    </xf>
    <xf numFmtId="3" fontId="7" fillId="6" borderId="13" xfId="0" applyNumberFormat="1" applyFont="1" applyFill="1" applyBorder="1" applyAlignment="1">
      <alignment horizontal="right" vertical="center" wrapText="1"/>
    </xf>
    <xf numFmtId="3" fontId="18" fillId="6" borderId="13" xfId="0" applyNumberFormat="1" applyFont="1" applyFill="1" applyBorder="1" applyAlignment="1">
      <alignment horizontal="right" vertical="center"/>
    </xf>
    <xf numFmtId="3" fontId="2" fillId="5" borderId="62" xfId="0" applyNumberFormat="1" applyFont="1" applyFill="1" applyBorder="1" applyAlignment="1">
      <alignment horizontal="right" vertical="center"/>
    </xf>
    <xf numFmtId="3" fontId="2" fillId="5" borderId="56" xfId="0" applyNumberFormat="1" applyFont="1" applyFill="1" applyBorder="1" applyAlignment="1">
      <alignment horizontal="right" vertical="center"/>
    </xf>
    <xf numFmtId="3" fontId="2" fillId="5" borderId="15" xfId="0" applyNumberFormat="1" applyFont="1" applyFill="1" applyBorder="1" applyAlignment="1">
      <alignment horizontal="right"/>
    </xf>
    <xf numFmtId="3" fontId="13" fillId="6" borderId="15" xfId="0" applyNumberFormat="1" applyFont="1" applyFill="1" applyBorder="1"/>
    <xf numFmtId="3" fontId="7" fillId="5" borderId="47" xfId="0" applyNumberFormat="1" applyFont="1" applyFill="1" applyBorder="1" applyAlignment="1">
      <alignment horizontal="right" vertical="center"/>
    </xf>
    <xf numFmtId="3" fontId="72" fillId="6" borderId="25" xfId="0" applyNumberFormat="1" applyFont="1" applyFill="1" applyBorder="1" applyAlignment="1">
      <alignment horizontal="right" vertical="center"/>
    </xf>
    <xf numFmtId="166" fontId="72" fillId="7" borderId="15" xfId="1" applyNumberFormat="1" applyFont="1" applyFill="1" applyBorder="1"/>
    <xf numFmtId="166" fontId="53" fillId="0" borderId="15" xfId="1" applyNumberFormat="1" applyFont="1" applyBorder="1"/>
    <xf numFmtId="3" fontId="2" fillId="5" borderId="62" xfId="0" applyNumberFormat="1" applyFont="1" applyFill="1" applyBorder="1"/>
    <xf numFmtId="0" fontId="19" fillId="0" borderId="65" xfId="0" applyFont="1" applyBorder="1"/>
    <xf numFmtId="9" fontId="16" fillId="4" borderId="33" xfId="0" applyNumberFormat="1" applyFont="1" applyFill="1" applyBorder="1"/>
    <xf numFmtId="3" fontId="2" fillId="0" borderId="8" xfId="0" applyNumberFormat="1" applyFont="1" applyBorder="1" applyAlignment="1">
      <alignment vertical="center"/>
    </xf>
    <xf numFmtId="3" fontId="2" fillId="0" borderId="8" xfId="1" applyNumberFormat="1" applyFont="1" applyFill="1" applyBorder="1" applyAlignment="1">
      <alignment horizontal="right" vertical="center"/>
    </xf>
    <xf numFmtId="166" fontId="66" fillId="8" borderId="0" xfId="1" applyNumberFormat="1" applyFont="1" applyFill="1"/>
    <xf numFmtId="3" fontId="18" fillId="0" borderId="13" xfId="1" applyNumberFormat="1" applyFont="1" applyFill="1" applyBorder="1" applyAlignment="1">
      <alignment horizontal="right" vertical="center"/>
    </xf>
    <xf numFmtId="166" fontId="18" fillId="0" borderId="0" xfId="1" applyNumberFormat="1" applyFont="1"/>
    <xf numFmtId="9" fontId="13" fillId="13" borderId="13" xfId="0" applyNumberFormat="1" applyFont="1" applyFill="1" applyBorder="1"/>
    <xf numFmtId="3" fontId="13" fillId="6" borderId="15" xfId="0" applyNumberFormat="1" applyFont="1" applyFill="1" applyBorder="1" applyAlignment="1">
      <alignment horizontal="right" vertical="center"/>
    </xf>
    <xf numFmtId="3" fontId="13" fillId="0" borderId="15" xfId="0" applyNumberFormat="1" applyFont="1" applyBorder="1" applyAlignment="1">
      <alignment horizontal="right" vertical="center"/>
    </xf>
    <xf numFmtId="3" fontId="13" fillId="0" borderId="11" xfId="0" applyNumberFormat="1" applyFont="1" applyBorder="1" applyAlignment="1">
      <alignment horizontal="right" vertical="center"/>
    </xf>
    <xf numFmtId="168" fontId="72" fillId="5" borderId="15" xfId="0" applyNumberFormat="1" applyFont="1" applyFill="1" applyBorder="1"/>
    <xf numFmtId="166" fontId="72" fillId="5" borderId="15" xfId="0" applyNumberFormat="1" applyFont="1" applyFill="1" applyBorder="1"/>
    <xf numFmtId="9" fontId="25" fillId="13" borderId="20" xfId="0" applyNumberFormat="1" applyFont="1" applyFill="1" applyBorder="1"/>
    <xf numFmtId="166" fontId="68" fillId="0" borderId="0" xfId="1" applyNumberFormat="1" applyFont="1"/>
    <xf numFmtId="169" fontId="19" fillId="0" borderId="62" xfId="0" applyNumberFormat="1" applyFont="1" applyBorder="1"/>
    <xf numFmtId="3" fontId="3" fillId="4" borderId="68" xfId="0" applyNumberFormat="1" applyFont="1" applyFill="1" applyBorder="1" applyAlignment="1">
      <alignment horizontal="right" vertical="center"/>
    </xf>
    <xf numFmtId="0" fontId="13" fillId="0" borderId="0" xfId="0" quotePrefix="1" applyFont="1"/>
    <xf numFmtId="0" fontId="2" fillId="0" borderId="0" xfId="0" quotePrefix="1" applyFont="1"/>
    <xf numFmtId="0" fontId="28" fillId="0" borderId="0" xfId="0" quotePrefix="1" applyFont="1"/>
    <xf numFmtId="0" fontId="4" fillId="0" borderId="0" xfId="0" quotePrefix="1" applyFont="1"/>
    <xf numFmtId="166" fontId="0" fillId="0" borderId="0" xfId="0" applyNumberFormat="1"/>
    <xf numFmtId="0" fontId="75" fillId="2" borderId="14" xfId="1" applyNumberFormat="1" applyFont="1" applyFill="1" applyBorder="1" applyAlignment="1">
      <alignment horizontal="left"/>
    </xf>
    <xf numFmtId="0" fontId="76" fillId="0" borderId="14" xfId="1" applyNumberFormat="1" applyFont="1" applyFill="1" applyBorder="1" applyAlignment="1">
      <alignment horizontal="left"/>
    </xf>
    <xf numFmtId="0" fontId="77" fillId="0" borderId="14" xfId="1" applyNumberFormat="1" applyFont="1" applyFill="1" applyBorder="1" applyAlignment="1">
      <alignment horizontal="left"/>
    </xf>
    <xf numFmtId="0" fontId="76" fillId="17" borderId="14" xfId="1" applyNumberFormat="1" applyFont="1" applyFill="1" applyBorder="1" applyAlignment="1">
      <alignment horizontal="left"/>
    </xf>
    <xf numFmtId="0" fontId="78" fillId="0" borderId="14" xfId="0" applyFont="1" applyBorder="1"/>
    <xf numFmtId="0" fontId="77" fillId="17" borderId="14" xfId="1" applyNumberFormat="1" applyFont="1" applyFill="1" applyBorder="1" applyAlignment="1">
      <alignment horizontal="left"/>
    </xf>
    <xf numFmtId="0" fontId="76" fillId="17" borderId="14" xfId="0" applyFont="1" applyFill="1" applyBorder="1"/>
    <xf numFmtId="0" fontId="76" fillId="17" borderId="5" xfId="1" applyNumberFormat="1" applyFont="1" applyFill="1" applyBorder="1" applyAlignment="1">
      <alignment horizontal="left"/>
    </xf>
    <xf numFmtId="0" fontId="79" fillId="17" borderId="9" xfId="1" applyNumberFormat="1" applyFont="1" applyFill="1" applyBorder="1" applyAlignment="1">
      <alignment horizontal="left"/>
    </xf>
    <xf numFmtId="0" fontId="79" fillId="0" borderId="14" xfId="1" applyNumberFormat="1" applyFont="1" applyFill="1" applyBorder="1" applyAlignment="1">
      <alignment horizontal="left"/>
    </xf>
    <xf numFmtId="0" fontId="79" fillId="17" borderId="14" xfId="1" applyNumberFormat="1" applyFont="1" applyFill="1" applyBorder="1" applyAlignment="1">
      <alignment horizontal="left"/>
    </xf>
    <xf numFmtId="0" fontId="79" fillId="0" borderId="14" xfId="0" applyFont="1" applyBorder="1"/>
    <xf numFmtId="0" fontId="80" fillId="0" borderId="14" xfId="0" applyFont="1" applyBorder="1"/>
    <xf numFmtId="166" fontId="81" fillId="6" borderId="16" xfId="1" applyNumberFormat="1" applyFont="1" applyFill="1" applyBorder="1" applyAlignment="1">
      <alignment horizontal="right" vertical="center"/>
    </xf>
    <xf numFmtId="166" fontId="81" fillId="8" borderId="11" xfId="1" applyNumberFormat="1" applyFont="1" applyFill="1" applyBorder="1" applyAlignment="1">
      <alignment horizontal="right" vertical="top" wrapText="1"/>
    </xf>
    <xf numFmtId="166" fontId="81" fillId="6" borderId="11" xfId="1" applyNumberFormat="1" applyFont="1" applyFill="1" applyBorder="1" applyAlignment="1">
      <alignment horizontal="right" vertical="top" wrapText="1"/>
    </xf>
    <xf numFmtId="9" fontId="2" fillId="0" borderId="0" xfId="2" applyFont="1"/>
    <xf numFmtId="0" fontId="76" fillId="0" borderId="0" xfId="0" applyFont="1" applyAlignment="1">
      <alignment vertical="center"/>
    </xf>
    <xf numFmtId="3" fontId="83" fillId="0" borderId="0" xfId="0" applyNumberFormat="1" applyFont="1" applyAlignment="1">
      <alignment vertical="center"/>
    </xf>
    <xf numFmtId="0" fontId="76" fillId="0" borderId="0" xfId="0" applyFont="1"/>
    <xf numFmtId="166" fontId="76" fillId="0" borderId="0" xfId="1" applyNumberFormat="1" applyFont="1"/>
    <xf numFmtId="3" fontId="76" fillId="0" borderId="0" xfId="0" applyNumberFormat="1" applyFont="1"/>
    <xf numFmtId="0" fontId="82" fillId="0" borderId="0" xfId="0" applyFont="1"/>
    <xf numFmtId="166" fontId="84" fillId="3" borderId="7" xfId="1" applyNumberFormat="1" applyFont="1" applyFill="1" applyBorder="1" applyAlignment="1">
      <alignment horizontal="center" vertical="center" wrapText="1"/>
    </xf>
    <xf numFmtId="166" fontId="84" fillId="3" borderId="8" xfId="1" applyNumberFormat="1" applyFont="1" applyFill="1" applyBorder="1" applyAlignment="1">
      <alignment horizontal="center" vertical="center" wrapText="1"/>
    </xf>
    <xf numFmtId="166" fontId="85" fillId="3" borderId="8" xfId="1" applyNumberFormat="1" applyFont="1" applyFill="1" applyBorder="1" applyAlignment="1">
      <alignment horizontal="center" vertical="center" wrapText="1"/>
    </xf>
    <xf numFmtId="166" fontId="84" fillId="14" borderId="8" xfId="1" applyNumberFormat="1" applyFont="1" applyFill="1" applyBorder="1" applyAlignment="1">
      <alignment horizontal="center" vertical="center" wrapText="1"/>
    </xf>
    <xf numFmtId="166" fontId="85" fillId="14" borderId="8" xfId="1" applyNumberFormat="1" applyFont="1" applyFill="1" applyBorder="1" applyAlignment="1">
      <alignment horizontal="center" vertical="center" wrapText="1"/>
    </xf>
    <xf numFmtId="166" fontId="85" fillId="14" borderId="28" xfId="1" applyNumberFormat="1" applyFont="1" applyFill="1" applyBorder="1" applyAlignment="1">
      <alignment horizontal="center" vertical="center" wrapText="1"/>
    </xf>
    <xf numFmtId="166" fontId="84" fillId="0" borderId="9" xfId="1" applyNumberFormat="1" applyFont="1" applyFill="1" applyBorder="1" applyAlignment="1">
      <alignment horizontal="center"/>
    </xf>
    <xf numFmtId="0" fontId="84" fillId="0" borderId="10" xfId="0" applyFont="1" applyBorder="1"/>
    <xf numFmtId="0" fontId="84" fillId="0" borderId="11" xfId="0" applyFont="1" applyBorder="1"/>
    <xf numFmtId="166" fontId="84" fillId="0" borderId="12" xfId="1" applyNumberFormat="1" applyFont="1" applyBorder="1"/>
    <xf numFmtId="166" fontId="84" fillId="0" borderId="13" xfId="1" applyNumberFormat="1" applyFont="1" applyBorder="1"/>
    <xf numFmtId="166" fontId="85" fillId="0" borderId="13" xfId="1" applyNumberFormat="1" applyFont="1" applyBorder="1"/>
    <xf numFmtId="166" fontId="85" fillId="0" borderId="30" xfId="1" applyNumberFormat="1" applyFont="1" applyBorder="1"/>
    <xf numFmtId="0" fontId="84" fillId="0" borderId="31" xfId="0" applyFont="1" applyBorder="1"/>
    <xf numFmtId="0" fontId="84" fillId="2" borderId="14" xfId="1" applyNumberFormat="1" applyFont="1" applyFill="1" applyBorder="1" applyAlignment="1">
      <alignment horizontal="left"/>
    </xf>
    <xf numFmtId="3" fontId="84" fillId="19" borderId="11" xfId="0" applyNumberFormat="1" applyFont="1" applyFill="1" applyBorder="1" applyAlignment="1">
      <alignment horizontal="right" vertical="center"/>
    </xf>
    <xf numFmtId="165" fontId="86" fillId="20" borderId="20" xfId="0" applyNumberFormat="1" applyFont="1" applyFill="1" applyBorder="1"/>
    <xf numFmtId="0" fontId="76" fillId="0" borderId="0" xfId="0" applyFont="1" applyAlignment="1">
      <alignment horizontal="center" vertical="center" wrapText="1"/>
    </xf>
    <xf numFmtId="0" fontId="84" fillId="0" borderId="0" xfId="0" applyFont="1"/>
    <xf numFmtId="0" fontId="87" fillId="0" borderId="14" xfId="1" applyNumberFormat="1" applyFont="1" applyFill="1" applyBorder="1" applyAlignment="1">
      <alignment horizontal="left"/>
    </xf>
    <xf numFmtId="164" fontId="87" fillId="0" borderId="11" xfId="1" applyNumberFormat="1" applyFont="1" applyFill="1" applyBorder="1" applyAlignment="1">
      <alignment horizontal="right" vertical="top" wrapText="1"/>
    </xf>
    <xf numFmtId="3" fontId="87" fillId="5" borderId="11" xfId="0" applyNumberFormat="1" applyFont="1" applyFill="1" applyBorder="1" applyAlignment="1">
      <alignment horizontal="right" vertical="top" wrapText="1"/>
    </xf>
    <xf numFmtId="164" fontId="87" fillId="21" borderId="11" xfId="1" applyNumberFormat="1" applyFont="1" applyFill="1" applyBorder="1" applyAlignment="1">
      <alignment horizontal="right" vertical="top" wrapText="1"/>
    </xf>
    <xf numFmtId="164" fontId="87" fillId="21" borderId="16" xfId="1" applyNumberFormat="1" applyFont="1" applyFill="1" applyBorder="1" applyAlignment="1">
      <alignment horizontal="right" vertical="center"/>
    </xf>
    <xf numFmtId="166" fontId="76" fillId="5" borderId="15" xfId="1" applyNumberFormat="1" applyFont="1" applyFill="1" applyBorder="1"/>
    <xf numFmtId="166" fontId="76" fillId="5" borderId="33" xfId="1" applyNumberFormat="1" applyFont="1" applyFill="1" applyBorder="1"/>
    <xf numFmtId="0" fontId="88" fillId="0" borderId="14" xfId="1" applyNumberFormat="1" applyFont="1" applyFill="1" applyBorder="1" applyAlignment="1">
      <alignment horizontal="left"/>
    </xf>
    <xf numFmtId="166" fontId="87" fillId="0" borderId="11" xfId="1" applyNumberFormat="1" applyFont="1" applyFill="1" applyBorder="1" applyAlignment="1">
      <alignment horizontal="right" vertical="top" wrapText="1"/>
    </xf>
    <xf numFmtId="3" fontId="87" fillId="0" borderId="11" xfId="0" applyNumberFormat="1" applyFont="1" applyBorder="1" applyAlignment="1">
      <alignment horizontal="right" vertical="top" wrapText="1"/>
    </xf>
    <xf numFmtId="166" fontId="87" fillId="21" borderId="11" xfId="1" applyNumberFormat="1" applyFont="1" applyFill="1" applyBorder="1" applyAlignment="1">
      <alignment horizontal="right" vertical="top" wrapText="1"/>
    </xf>
    <xf numFmtId="166" fontId="87" fillId="21" borderId="16" xfId="1" applyNumberFormat="1" applyFont="1" applyFill="1" applyBorder="1" applyAlignment="1">
      <alignment horizontal="right" vertical="center"/>
    </xf>
    <xf numFmtId="166" fontId="76" fillId="21" borderId="15" xfId="1" applyNumberFormat="1" applyFont="1" applyFill="1" applyBorder="1" applyAlignment="1">
      <alignment horizontal="right" vertical="center"/>
    </xf>
    <xf numFmtId="166" fontId="76" fillId="9" borderId="15" xfId="1" applyNumberFormat="1" applyFont="1" applyFill="1" applyBorder="1" applyAlignment="1">
      <alignment horizontal="right" vertical="center"/>
    </xf>
    <xf numFmtId="166" fontId="76" fillId="5" borderId="15" xfId="1" applyNumberFormat="1" applyFont="1" applyFill="1" applyBorder="1" applyAlignment="1">
      <alignment horizontal="right" vertical="center"/>
    </xf>
    <xf numFmtId="166" fontId="76" fillId="5" borderId="33" xfId="1" applyNumberFormat="1" applyFont="1" applyFill="1" applyBorder="1" applyAlignment="1">
      <alignment horizontal="right" vertical="center"/>
    </xf>
    <xf numFmtId="3" fontId="76" fillId="5" borderId="0" xfId="0" applyNumberFormat="1" applyFont="1" applyFill="1" applyAlignment="1">
      <alignment horizontal="right" vertical="top" wrapText="1"/>
    </xf>
    <xf numFmtId="164" fontId="76" fillId="9" borderId="15" xfId="1" applyNumberFormat="1" applyFont="1" applyFill="1" applyBorder="1"/>
    <xf numFmtId="3" fontId="76" fillId="5" borderId="0" xfId="0" applyNumberFormat="1" applyFont="1" applyFill="1" applyAlignment="1">
      <alignment horizontal="left" vertical="top" wrapText="1"/>
    </xf>
    <xf numFmtId="3" fontId="76" fillId="0" borderId="0" xfId="0" applyNumberFormat="1" applyFont="1" applyAlignment="1">
      <alignment horizontal="right" vertical="top" wrapText="1"/>
    </xf>
    <xf numFmtId="0" fontId="87" fillId="0" borderId="14" xfId="0" applyFont="1" applyBorder="1" applyAlignment="1">
      <alignment vertical="center" wrapText="1"/>
    </xf>
    <xf numFmtId="166" fontId="87" fillId="0" borderId="11" xfId="1" applyNumberFormat="1" applyFont="1" applyFill="1" applyBorder="1" applyAlignment="1">
      <alignment vertical="center"/>
    </xf>
    <xf numFmtId="0" fontId="87" fillId="0" borderId="15" xfId="0" applyFont="1" applyBorder="1" applyAlignment="1">
      <alignment vertical="center"/>
    </xf>
    <xf numFmtId="166" fontId="87" fillId="9" borderId="11" xfId="1" applyNumberFormat="1" applyFont="1" applyFill="1" applyBorder="1" applyAlignment="1">
      <alignment vertical="center"/>
    </xf>
    <xf numFmtId="166" fontId="87" fillId="9" borderId="16" xfId="1" applyNumberFormat="1" applyFont="1" applyFill="1" applyBorder="1" applyAlignment="1">
      <alignment horizontal="right" vertical="center"/>
    </xf>
    <xf numFmtId="166" fontId="76" fillId="9" borderId="15" xfId="1" applyNumberFormat="1" applyFont="1" applyFill="1" applyBorder="1" applyAlignment="1">
      <alignment vertical="center"/>
    </xf>
    <xf numFmtId="164" fontId="76" fillId="9" borderId="15" xfId="1" applyNumberFormat="1" applyFont="1" applyFill="1" applyBorder="1" applyAlignment="1">
      <alignment vertical="center"/>
    </xf>
    <xf numFmtId="166" fontId="76" fillId="0" borderId="15" xfId="1" applyNumberFormat="1" applyFont="1" applyBorder="1" applyAlignment="1">
      <alignment vertical="center"/>
    </xf>
    <xf numFmtId="164" fontId="76" fillId="5" borderId="15" xfId="1" applyNumberFormat="1" applyFont="1" applyFill="1" applyBorder="1"/>
    <xf numFmtId="3" fontId="76" fillId="0" borderId="15" xfId="0" applyNumberFormat="1" applyFont="1" applyBorder="1" applyAlignment="1">
      <alignment horizontal="right" vertical="top" wrapText="1"/>
    </xf>
    <xf numFmtId="3" fontId="87" fillId="22" borderId="11" xfId="0" applyNumberFormat="1" applyFont="1" applyFill="1" applyBorder="1" applyAlignment="1">
      <alignment horizontal="right" vertical="top" wrapText="1"/>
    </xf>
    <xf numFmtId="166" fontId="76" fillId="23" borderId="15" xfId="1" applyNumberFormat="1" applyFont="1" applyFill="1" applyBorder="1"/>
    <xf numFmtId="166" fontId="87" fillId="22" borderId="11" xfId="1" applyNumberFormat="1" applyFont="1" applyFill="1" applyBorder="1" applyAlignment="1">
      <alignment horizontal="right" vertical="top" wrapText="1"/>
    </xf>
    <xf numFmtId="0" fontId="87" fillId="0" borderId="14" xfId="0" applyFont="1" applyBorder="1"/>
    <xf numFmtId="166" fontId="76" fillId="21" borderId="15" xfId="1" applyNumberFormat="1" applyFont="1" applyFill="1" applyBorder="1" applyAlignment="1">
      <alignment horizontal="right"/>
    </xf>
    <xf numFmtId="166" fontId="76" fillId="5" borderId="15" xfId="1" applyNumberFormat="1" applyFont="1" applyFill="1" applyBorder="1" applyAlignment="1">
      <alignment horizontal="right"/>
    </xf>
    <xf numFmtId="166" fontId="76" fillId="5" borderId="33" xfId="1" applyNumberFormat="1" applyFont="1" applyFill="1" applyBorder="1" applyAlignment="1">
      <alignment horizontal="right"/>
    </xf>
    <xf numFmtId="166" fontId="76" fillId="5" borderId="0" xfId="1" applyNumberFormat="1" applyFont="1" applyFill="1" applyBorder="1" applyAlignment="1">
      <alignment horizontal="right" vertical="top" wrapText="1"/>
    </xf>
    <xf numFmtId="0" fontId="87" fillId="0" borderId="7" xfId="1" applyNumberFormat="1" applyFont="1" applyFill="1" applyBorder="1" applyAlignment="1">
      <alignment horizontal="left"/>
    </xf>
    <xf numFmtId="166" fontId="87" fillId="0" borderId="17" xfId="1" applyNumberFormat="1" applyFont="1" applyFill="1" applyBorder="1" applyAlignment="1">
      <alignment horizontal="right" vertical="top" wrapText="1"/>
    </xf>
    <xf numFmtId="166" fontId="76" fillId="0" borderId="44" xfId="1" applyNumberFormat="1" applyFont="1" applyFill="1" applyBorder="1" applyAlignment="1">
      <alignment horizontal="right" vertical="top" wrapText="1"/>
    </xf>
    <xf numFmtId="166" fontId="87" fillId="9" borderId="38" xfId="1" applyNumberFormat="1" applyFont="1" applyFill="1" applyBorder="1" applyAlignment="1">
      <alignment horizontal="right" vertical="top" wrapText="1"/>
    </xf>
    <xf numFmtId="166" fontId="87" fillId="21" borderId="7" xfId="1" applyNumberFormat="1" applyFont="1" applyFill="1" applyBorder="1" applyAlignment="1">
      <alignment horizontal="right" vertical="center"/>
    </xf>
    <xf numFmtId="166" fontId="89" fillId="8" borderId="8" xfId="1" applyNumberFormat="1" applyFont="1" applyFill="1" applyBorder="1"/>
    <xf numFmtId="166" fontId="76" fillId="5" borderId="8" xfId="1" applyNumberFormat="1" applyFont="1" applyFill="1" applyBorder="1"/>
    <xf numFmtId="166" fontId="76" fillId="5" borderId="28" xfId="1" applyNumberFormat="1" applyFont="1" applyFill="1" applyBorder="1"/>
    <xf numFmtId="165" fontId="86" fillId="20" borderId="34" xfId="0" applyNumberFormat="1" applyFont="1" applyFill="1" applyBorder="1"/>
    <xf numFmtId="166" fontId="76" fillId="5" borderId="0" xfId="1" applyNumberFormat="1" applyFont="1" applyFill="1" applyBorder="1" applyAlignment="1">
      <alignment horizontal="left" vertical="top" wrapText="1"/>
    </xf>
    <xf numFmtId="166" fontId="76" fillId="0" borderId="0" xfId="1" applyNumberFormat="1" applyFont="1" applyFill="1" applyBorder="1" applyAlignment="1">
      <alignment horizontal="right" vertical="top" wrapText="1"/>
    </xf>
    <xf numFmtId="0" fontId="79" fillId="0" borderId="9" xfId="1" applyNumberFormat="1" applyFont="1" applyFill="1" applyBorder="1" applyAlignment="1">
      <alignment horizontal="left"/>
    </xf>
    <xf numFmtId="166" fontId="90" fillId="0" borderId="40" xfId="1" applyNumberFormat="1" applyFont="1" applyFill="1" applyBorder="1" applyAlignment="1"/>
    <xf numFmtId="166" fontId="90" fillId="0" borderId="13" xfId="1" applyNumberFormat="1" applyFont="1" applyFill="1" applyBorder="1"/>
    <xf numFmtId="166" fontId="90" fillId="8" borderId="33" xfId="1" applyNumberFormat="1" applyFont="1" applyFill="1" applyBorder="1" applyAlignment="1"/>
    <xf numFmtId="166" fontId="90" fillId="8" borderId="56" xfId="1" applyNumberFormat="1" applyFont="1" applyFill="1" applyBorder="1" applyAlignment="1"/>
    <xf numFmtId="166" fontId="76" fillId="5" borderId="13" xfId="1" applyNumberFormat="1" applyFont="1" applyFill="1" applyBorder="1"/>
    <xf numFmtId="166" fontId="76" fillId="5" borderId="30" xfId="1" applyNumberFormat="1" applyFont="1" applyFill="1" applyBorder="1"/>
    <xf numFmtId="165" fontId="86" fillId="20" borderId="31" xfId="0" applyNumberFormat="1" applyFont="1" applyFill="1" applyBorder="1"/>
    <xf numFmtId="3" fontId="77" fillId="0" borderId="0" xfId="0" applyNumberFormat="1" applyFont="1" applyAlignment="1">
      <alignment horizontal="left" vertical="top" wrapText="1"/>
    </xf>
    <xf numFmtId="166" fontId="90" fillId="0" borderId="11" xfId="1" applyNumberFormat="1" applyFont="1" applyFill="1" applyBorder="1" applyAlignment="1"/>
    <xf numFmtId="166" fontId="90" fillId="0" borderId="15" xfId="1" applyNumberFormat="1" applyFont="1" applyFill="1" applyBorder="1"/>
    <xf numFmtId="166" fontId="90" fillId="8" borderId="47" xfId="1" applyNumberFormat="1" applyFont="1" applyFill="1" applyBorder="1" applyAlignment="1"/>
    <xf numFmtId="3" fontId="77" fillId="0" borderId="0" xfId="0" applyNumberFormat="1" applyFont="1" applyAlignment="1">
      <alignment horizontal="right" vertical="top" wrapText="1"/>
    </xf>
    <xf numFmtId="166" fontId="77" fillId="0" borderId="0" xfId="1" applyNumberFormat="1" applyFont="1" applyFill="1" applyBorder="1" applyAlignment="1">
      <alignment horizontal="right" vertical="top" wrapText="1"/>
    </xf>
    <xf numFmtId="166" fontId="79" fillId="0" borderId="11" xfId="1" applyNumberFormat="1" applyFont="1" applyFill="1" applyBorder="1" applyAlignment="1"/>
    <xf numFmtId="166" fontId="90" fillId="0" borderId="15" xfId="1" applyNumberFormat="1" applyFont="1" applyFill="1" applyBorder="1" applyAlignment="1">
      <alignment horizontal="right" vertical="top" wrapText="1"/>
    </xf>
    <xf numFmtId="166" fontId="91" fillId="8" borderId="33" xfId="1" applyNumberFormat="1" applyFont="1" applyFill="1" applyBorder="1" applyAlignment="1"/>
    <xf numFmtId="166" fontId="91" fillId="8" borderId="46" xfId="1" applyNumberFormat="1" applyFont="1" applyFill="1" applyBorder="1" applyAlignment="1"/>
    <xf numFmtId="0" fontId="92" fillId="0" borderId="14" xfId="1" applyNumberFormat="1" applyFont="1" applyFill="1" applyBorder="1" applyAlignment="1">
      <alignment horizontal="left"/>
    </xf>
    <xf numFmtId="166" fontId="78" fillId="0" borderId="11" xfId="1" applyNumberFormat="1" applyFont="1" applyFill="1" applyBorder="1" applyAlignment="1">
      <alignment horizontal="right" vertical="top" wrapText="1"/>
    </xf>
    <xf numFmtId="166" fontId="78" fillId="9" borderId="33" xfId="1" applyNumberFormat="1" applyFont="1" applyFill="1" applyBorder="1" applyAlignment="1">
      <alignment horizontal="right" vertical="top" wrapText="1"/>
    </xf>
    <xf numFmtId="3" fontId="79" fillId="21" borderId="25" xfId="0" applyNumberFormat="1" applyFont="1" applyFill="1" applyBorder="1" applyAlignment="1">
      <alignment horizontal="right" vertical="center"/>
    </xf>
    <xf numFmtId="164" fontId="88" fillId="9" borderId="15" xfId="1" applyNumberFormat="1" applyFont="1" applyFill="1" applyBorder="1" applyAlignment="1">
      <alignment vertical="center"/>
    </xf>
    <xf numFmtId="166" fontId="79" fillId="9" borderId="15" xfId="1" applyNumberFormat="1" applyFont="1" applyFill="1" applyBorder="1" applyAlignment="1">
      <alignment horizontal="right" vertical="center"/>
    </xf>
    <xf numFmtId="164" fontId="79" fillId="9" borderId="15" xfId="1" applyNumberFormat="1" applyFont="1" applyFill="1" applyBorder="1" applyAlignment="1">
      <alignment horizontal="right" vertical="center"/>
    </xf>
    <xf numFmtId="166" fontId="79" fillId="5" borderId="15" xfId="1" applyNumberFormat="1" applyFont="1" applyFill="1" applyBorder="1" applyAlignment="1">
      <alignment horizontal="right" vertical="center"/>
    </xf>
    <xf numFmtId="164" fontId="93" fillId="5" borderId="15" xfId="1" applyNumberFormat="1" applyFont="1" applyFill="1" applyBorder="1"/>
    <xf numFmtId="164" fontId="93" fillId="5" borderId="33" xfId="1" applyNumberFormat="1" applyFont="1" applyFill="1" applyBorder="1"/>
    <xf numFmtId="0" fontId="76" fillId="0" borderId="14" xfId="0" applyFont="1" applyBorder="1"/>
    <xf numFmtId="3" fontId="77" fillId="5" borderId="11" xfId="0" applyNumberFormat="1" applyFont="1" applyFill="1" applyBorder="1" applyAlignment="1">
      <alignment horizontal="right" vertical="center"/>
    </xf>
    <xf numFmtId="166" fontId="77" fillId="5" borderId="11" xfId="0" applyNumberFormat="1" applyFont="1" applyFill="1" applyBorder="1"/>
    <xf numFmtId="166" fontId="77" fillId="5" borderId="14" xfId="1" applyNumberFormat="1" applyFont="1" applyFill="1" applyBorder="1" applyAlignment="1">
      <alignment horizontal="right" vertical="center"/>
    </xf>
    <xf numFmtId="3" fontId="75" fillId="19" borderId="11" xfId="0" applyNumberFormat="1" applyFont="1" applyFill="1" applyBorder="1" applyAlignment="1">
      <alignment horizontal="right" vertical="center"/>
    </xf>
    <xf numFmtId="3" fontId="85" fillId="0" borderId="0" xfId="0" applyNumberFormat="1" applyFont="1" applyAlignment="1">
      <alignment horizontal="right" vertical="top" wrapText="1"/>
    </xf>
    <xf numFmtId="166" fontId="87" fillId="0" borderId="11" xfId="1" applyNumberFormat="1" applyFont="1" applyFill="1" applyBorder="1" applyAlignment="1">
      <alignment horizontal="right" vertical="center"/>
    </xf>
    <xf numFmtId="3" fontId="76" fillId="0" borderId="15" xfId="0" applyNumberFormat="1" applyFont="1" applyBorder="1" applyAlignment="1">
      <alignment horizontal="right" vertical="center"/>
    </xf>
    <xf numFmtId="166" fontId="87" fillId="9" borderId="11" xfId="1" applyNumberFormat="1" applyFont="1" applyFill="1" applyBorder="1" applyAlignment="1">
      <alignment horizontal="right" vertical="center"/>
    </xf>
    <xf numFmtId="164" fontId="87" fillId="9" borderId="15" xfId="1" applyNumberFormat="1" applyFont="1" applyFill="1" applyBorder="1"/>
    <xf numFmtId="166" fontId="87" fillId="21" borderId="15" xfId="1" applyNumberFormat="1" applyFont="1" applyFill="1" applyBorder="1" applyAlignment="1">
      <alignment horizontal="right" vertical="center"/>
    </xf>
    <xf numFmtId="3" fontId="76" fillId="0" borderId="0" xfId="0" applyNumberFormat="1" applyFont="1" applyAlignment="1">
      <alignment horizontal="left" vertical="top" wrapText="1"/>
    </xf>
    <xf numFmtId="3" fontId="87" fillId="0" borderId="11" xfId="0" applyNumberFormat="1" applyFont="1" applyBorder="1" applyAlignment="1">
      <alignment horizontal="right" vertical="center"/>
    </xf>
    <xf numFmtId="3" fontId="75" fillId="4" borderId="11" xfId="0" applyNumberFormat="1" applyFont="1" applyFill="1" applyBorder="1" applyAlignment="1">
      <alignment horizontal="right" vertical="center"/>
    </xf>
    <xf numFmtId="0" fontId="87" fillId="0" borderId="14" xfId="0" applyFont="1" applyBorder="1" applyAlignment="1">
      <alignment horizontal="left"/>
    </xf>
    <xf numFmtId="166" fontId="87" fillId="21" borderId="11" xfId="1" applyNumberFormat="1" applyFont="1" applyFill="1" applyBorder="1" applyAlignment="1">
      <alignment horizontal="right" vertical="center"/>
    </xf>
    <xf numFmtId="166" fontId="87" fillId="21" borderId="15" xfId="1" applyNumberFormat="1" applyFont="1" applyFill="1" applyBorder="1"/>
    <xf numFmtId="166" fontId="87" fillId="0" borderId="11" xfId="1" applyNumberFormat="1" applyFont="1" applyFill="1" applyBorder="1" applyAlignment="1">
      <alignment horizontal="right"/>
    </xf>
    <xf numFmtId="166" fontId="76" fillId="0" borderId="15" xfId="1" applyNumberFormat="1" applyFont="1" applyFill="1" applyBorder="1" applyAlignment="1">
      <alignment horizontal="right"/>
    </xf>
    <xf numFmtId="166" fontId="87" fillId="21" borderId="11" xfId="1" applyNumberFormat="1" applyFont="1" applyFill="1" applyBorder="1" applyAlignment="1">
      <alignment horizontal="right"/>
    </xf>
    <xf numFmtId="166" fontId="87" fillId="24" borderId="15" xfId="1" applyNumberFormat="1" applyFont="1" applyFill="1" applyBorder="1"/>
    <xf numFmtId="164" fontId="87" fillId="21" borderId="15" xfId="1" applyNumberFormat="1" applyFont="1" applyFill="1" applyBorder="1" applyAlignment="1">
      <alignment horizontal="right" vertical="center"/>
    </xf>
    <xf numFmtId="164" fontId="87" fillId="21" borderId="25" xfId="1" applyNumberFormat="1" applyFont="1" applyFill="1" applyBorder="1" applyAlignment="1">
      <alignment horizontal="right" vertical="center"/>
    </xf>
    <xf numFmtId="0" fontId="76" fillId="0" borderId="14" xfId="0" applyFont="1" applyBorder="1" applyAlignment="1">
      <alignment horizontal="left"/>
    </xf>
    <xf numFmtId="3" fontId="76" fillId="0" borderId="11" xfId="0" applyNumberFormat="1" applyFont="1" applyBorder="1" applyAlignment="1">
      <alignment horizontal="right" vertical="top" wrapText="1"/>
    </xf>
    <xf numFmtId="166" fontId="76" fillId="0" borderId="11" xfId="1" applyNumberFormat="1" applyFont="1" applyBorder="1" applyAlignment="1">
      <alignment horizontal="right" vertical="top" wrapText="1"/>
    </xf>
    <xf numFmtId="166" fontId="76" fillId="0" borderId="16" xfId="1" applyNumberFormat="1" applyFont="1" applyBorder="1" applyAlignment="1">
      <alignment horizontal="right" vertical="center"/>
    </xf>
    <xf numFmtId="166" fontId="76" fillId="0" borderId="15" xfId="1" applyNumberFormat="1" applyFont="1" applyBorder="1"/>
    <xf numFmtId="166" fontId="76" fillId="5" borderId="24" xfId="1" applyNumberFormat="1" applyFont="1" applyFill="1" applyBorder="1"/>
    <xf numFmtId="166" fontId="76" fillId="5" borderId="35" xfId="1" applyNumberFormat="1" applyFont="1" applyFill="1" applyBorder="1"/>
    <xf numFmtId="0" fontId="84" fillId="2" borderId="14" xfId="1" applyNumberFormat="1" applyFont="1" applyFill="1" applyBorder="1" applyAlignment="1">
      <alignment horizontal="left" wrapText="1"/>
    </xf>
    <xf numFmtId="166" fontId="76" fillId="5" borderId="13" xfId="1" applyNumberFormat="1" applyFont="1" applyFill="1" applyBorder="1" applyAlignment="1">
      <alignment horizontal="right" vertical="center"/>
    </xf>
    <xf numFmtId="3" fontId="87" fillId="21" borderId="11" xfId="0" applyNumberFormat="1" applyFont="1" applyFill="1" applyBorder="1" applyAlignment="1">
      <alignment horizontal="right" vertical="top" wrapText="1"/>
    </xf>
    <xf numFmtId="166" fontId="76" fillId="21" borderId="15" xfId="1" applyNumberFormat="1" applyFont="1" applyFill="1" applyBorder="1"/>
    <xf numFmtId="3" fontId="76" fillId="5" borderId="15" xfId="1" applyNumberFormat="1" applyFont="1" applyFill="1" applyBorder="1" applyAlignment="1">
      <alignment horizontal="right" vertical="center"/>
    </xf>
    <xf numFmtId="3" fontId="76" fillId="5" borderId="33" xfId="1" applyNumberFormat="1" applyFont="1" applyFill="1" applyBorder="1" applyAlignment="1">
      <alignment horizontal="right" vertical="center"/>
    </xf>
    <xf numFmtId="3" fontId="76" fillId="0" borderId="15" xfId="1" applyNumberFormat="1" applyFont="1" applyFill="1" applyBorder="1" applyAlignment="1">
      <alignment horizontal="right"/>
    </xf>
    <xf numFmtId="3" fontId="76" fillId="5" borderId="15" xfId="1" applyNumberFormat="1" applyFont="1" applyFill="1" applyBorder="1" applyAlignment="1">
      <alignment vertical="center"/>
    </xf>
    <xf numFmtId="0" fontId="77" fillId="0" borderId="0" xfId="0" applyFont="1"/>
    <xf numFmtId="166" fontId="76" fillId="5" borderId="15" xfId="1" applyNumberFormat="1" applyFont="1" applyFill="1" applyBorder="1" applyAlignment="1">
      <alignment vertical="center"/>
    </xf>
    <xf numFmtId="166" fontId="87" fillId="0" borderId="11" xfId="1" applyNumberFormat="1" applyFont="1" applyFill="1" applyBorder="1"/>
    <xf numFmtId="3" fontId="76" fillId="0" borderId="15" xfId="1" applyNumberFormat="1" applyFont="1" applyFill="1" applyBorder="1"/>
    <xf numFmtId="166" fontId="87" fillId="21" borderId="11" xfId="1" applyNumberFormat="1" applyFont="1" applyFill="1" applyBorder="1"/>
    <xf numFmtId="166" fontId="76" fillId="9" borderId="15" xfId="1" applyNumberFormat="1" applyFont="1" applyFill="1" applyBorder="1"/>
    <xf numFmtId="166" fontId="76" fillId="0" borderId="20" xfId="1" applyNumberFormat="1" applyFont="1" applyFill="1" applyBorder="1"/>
    <xf numFmtId="166" fontId="76" fillId="21" borderId="20" xfId="1" applyNumberFormat="1" applyFont="1" applyFill="1" applyBorder="1"/>
    <xf numFmtId="3" fontId="87" fillId="0" borderId="11" xfId="1" applyNumberFormat="1" applyFont="1" applyFill="1" applyBorder="1"/>
    <xf numFmtId="3" fontId="87" fillId="21" borderId="11" xfId="1" applyNumberFormat="1" applyFont="1" applyFill="1" applyBorder="1"/>
    <xf numFmtId="3" fontId="76" fillId="21" borderId="15" xfId="0" applyNumberFormat="1" applyFont="1" applyFill="1" applyBorder="1" applyAlignment="1">
      <alignment vertical="center"/>
    </xf>
    <xf numFmtId="3" fontId="87" fillId="21" borderId="11" xfId="0" applyNumberFormat="1" applyFont="1" applyFill="1" applyBorder="1" applyAlignment="1">
      <alignment horizontal="right" vertical="center"/>
    </xf>
    <xf numFmtId="3" fontId="76" fillId="21" borderId="15" xfId="0" applyNumberFormat="1" applyFont="1" applyFill="1" applyBorder="1" applyAlignment="1">
      <alignment horizontal="right" vertical="center"/>
    </xf>
    <xf numFmtId="3" fontId="87" fillId="0" borderId="11" xfId="0" applyNumberFormat="1" applyFont="1" applyBorder="1"/>
    <xf numFmtId="3" fontId="76" fillId="0" borderId="15" xfId="0" applyNumberFormat="1" applyFont="1" applyBorder="1"/>
    <xf numFmtId="3" fontId="87" fillId="21" borderId="11" xfId="0" applyNumberFormat="1" applyFont="1" applyFill="1" applyBorder="1"/>
    <xf numFmtId="0" fontId="87" fillId="0" borderId="21" xfId="0" applyFont="1" applyBorder="1" applyAlignment="1">
      <alignment horizontal="left"/>
    </xf>
    <xf numFmtId="166" fontId="87" fillId="0" borderId="17" xfId="1" applyNumberFormat="1" applyFont="1" applyFill="1" applyBorder="1"/>
    <xf numFmtId="3" fontId="76" fillId="0" borderId="8" xfId="0" applyNumberFormat="1" applyFont="1" applyBorder="1"/>
    <xf numFmtId="166" fontId="87" fillId="21" borderId="17" xfId="1" applyNumberFormat="1" applyFont="1" applyFill="1" applyBorder="1"/>
    <xf numFmtId="166" fontId="76" fillId="21" borderId="8" xfId="1" applyNumberFormat="1" applyFont="1" applyFill="1" applyBorder="1" applyAlignment="1">
      <alignment horizontal="right" vertical="center"/>
    </xf>
    <xf numFmtId="164" fontId="87" fillId="9" borderId="8" xfId="1" applyNumberFormat="1" applyFont="1" applyFill="1" applyBorder="1"/>
    <xf numFmtId="166" fontId="76" fillId="0" borderId="8" xfId="1" applyNumberFormat="1" applyFont="1" applyFill="1" applyBorder="1"/>
    <xf numFmtId="166" fontId="76" fillId="5" borderId="8" xfId="1" applyNumberFormat="1" applyFont="1" applyFill="1" applyBorder="1" applyAlignment="1">
      <alignment horizontal="right" vertical="center"/>
    </xf>
    <xf numFmtId="164" fontId="76" fillId="5" borderId="8" xfId="1" applyNumberFormat="1" applyFont="1" applyFill="1" applyBorder="1"/>
    <xf numFmtId="166" fontId="76" fillId="5" borderId="28" xfId="1" applyNumberFormat="1" applyFont="1" applyFill="1" applyBorder="1" applyAlignment="1">
      <alignment horizontal="right" vertical="center"/>
    </xf>
    <xf numFmtId="0" fontId="92" fillId="0" borderId="9" xfId="1" applyNumberFormat="1" applyFont="1" applyFill="1" applyBorder="1" applyAlignment="1">
      <alignment horizontal="left"/>
    </xf>
    <xf numFmtId="166" fontId="92" fillId="0" borderId="10" xfId="1" applyNumberFormat="1" applyFont="1" applyFill="1" applyBorder="1" applyAlignment="1">
      <alignment horizontal="right" vertical="center" wrapText="1"/>
    </xf>
    <xf numFmtId="3" fontId="79" fillId="0" borderId="13" xfId="0" applyNumberFormat="1" applyFont="1" applyBorder="1" applyAlignment="1">
      <alignment horizontal="right" vertical="center" wrapText="1"/>
    </xf>
    <xf numFmtId="166" fontId="92" fillId="21" borderId="10" xfId="1" applyNumberFormat="1" applyFont="1" applyFill="1" applyBorder="1" applyAlignment="1">
      <alignment horizontal="right" vertical="center" wrapText="1"/>
    </xf>
    <xf numFmtId="3" fontId="92" fillId="21" borderId="12" xfId="0" applyNumberFormat="1" applyFont="1" applyFill="1" applyBorder="1" applyAlignment="1">
      <alignment horizontal="right" vertical="center"/>
    </xf>
    <xf numFmtId="166" fontId="79" fillId="21" borderId="13" xfId="1" applyNumberFormat="1" applyFont="1" applyFill="1" applyBorder="1" applyAlignment="1">
      <alignment horizontal="right" vertical="center"/>
    </xf>
    <xf numFmtId="164" fontId="94" fillId="9" borderId="13" xfId="1" applyNumberFormat="1" applyFont="1" applyFill="1" applyBorder="1"/>
    <xf numFmtId="166" fontId="94" fillId="21" borderId="13" xfId="1" applyNumberFormat="1" applyFont="1" applyFill="1" applyBorder="1" applyAlignment="1">
      <alignment horizontal="right" vertical="center"/>
    </xf>
    <xf numFmtId="166" fontId="94" fillId="5" borderId="13" xfId="1" applyNumberFormat="1" applyFont="1" applyFill="1" applyBorder="1" applyAlignment="1">
      <alignment vertical="center"/>
    </xf>
    <xf numFmtId="164" fontId="94" fillId="0" borderId="13" xfId="1" applyNumberFormat="1" applyFont="1" applyFill="1" applyBorder="1"/>
    <xf numFmtId="166" fontId="94" fillId="5" borderId="30" xfId="1" applyNumberFormat="1" applyFont="1" applyFill="1" applyBorder="1"/>
    <xf numFmtId="3" fontId="76" fillId="0" borderId="11" xfId="0" applyNumberFormat="1" applyFont="1" applyBorder="1"/>
    <xf numFmtId="166" fontId="77" fillId="0" borderId="16" xfId="1" applyNumberFormat="1" applyFont="1" applyFill="1" applyBorder="1"/>
    <xf numFmtId="166" fontId="77" fillId="0" borderId="15" xfId="1" applyNumberFormat="1" applyFont="1" applyFill="1" applyBorder="1"/>
    <xf numFmtId="166" fontId="77" fillId="5" borderId="15" xfId="1" applyNumberFormat="1" applyFont="1" applyFill="1" applyBorder="1"/>
    <xf numFmtId="166" fontId="77" fillId="5" borderId="33" xfId="1" applyNumberFormat="1" applyFont="1" applyFill="1" applyBorder="1"/>
    <xf numFmtId="9" fontId="77" fillId="5" borderId="0" xfId="0" applyNumberFormat="1" applyFont="1" applyFill="1"/>
    <xf numFmtId="0" fontId="87" fillId="0" borderId="22" xfId="0" applyFont="1" applyBorder="1" applyAlignment="1">
      <alignment horizontal="left" vertical="center"/>
    </xf>
    <xf numFmtId="3" fontId="87" fillId="5" borderId="11" xfId="0" applyNumberFormat="1" applyFont="1" applyFill="1" applyBorder="1" applyAlignment="1">
      <alignment horizontal="right" vertical="center"/>
    </xf>
    <xf numFmtId="166" fontId="87" fillId="21" borderId="23" xfId="1" applyNumberFormat="1" applyFont="1" applyFill="1" applyBorder="1" applyAlignment="1">
      <alignment horizontal="center" vertical="center"/>
    </xf>
    <xf numFmtId="166" fontId="76" fillId="21" borderId="24" xfId="1" applyNumberFormat="1" applyFont="1" applyFill="1" applyBorder="1" applyAlignment="1">
      <alignment horizontal="center" vertical="center"/>
    </xf>
    <xf numFmtId="166" fontId="76" fillId="5" borderId="15" xfId="1" applyNumberFormat="1" applyFont="1" applyFill="1" applyBorder="1" applyAlignment="1">
      <alignment horizontal="center"/>
    </xf>
    <xf numFmtId="166" fontId="76" fillId="5" borderId="33" xfId="1" applyNumberFormat="1" applyFont="1" applyFill="1" applyBorder="1" applyAlignment="1">
      <alignment horizontal="center"/>
    </xf>
    <xf numFmtId="3" fontId="76" fillId="0" borderId="0" xfId="0" applyNumberFormat="1" applyFont="1" applyAlignment="1">
      <alignment horizontal="left" vertical="center"/>
    </xf>
    <xf numFmtId="3" fontId="87" fillId="5" borderId="11" xfId="0" applyNumberFormat="1" applyFont="1" applyFill="1" applyBorder="1" applyAlignment="1">
      <alignment horizontal="right"/>
    </xf>
    <xf numFmtId="166" fontId="76" fillId="9" borderId="0" xfId="1" applyNumberFormat="1" applyFont="1" applyFill="1" applyBorder="1"/>
    <xf numFmtId="166" fontId="77" fillId="0" borderId="0" xfId="1" applyNumberFormat="1" applyFont="1"/>
    <xf numFmtId="3" fontId="87" fillId="5" borderId="11" xfId="0" applyNumberFormat="1" applyFont="1" applyFill="1" applyBorder="1"/>
    <xf numFmtId="0" fontId="87" fillId="0" borderId="7" xfId="0" applyFont="1" applyBorder="1"/>
    <xf numFmtId="166" fontId="76" fillId="0" borderId="17" xfId="1" applyNumberFormat="1" applyFont="1" applyFill="1" applyBorder="1"/>
    <xf numFmtId="0" fontId="76" fillId="0" borderId="8" xfId="0" applyFont="1" applyBorder="1"/>
    <xf numFmtId="166" fontId="76" fillId="0" borderId="17" xfId="1" applyNumberFormat="1" applyFont="1" applyBorder="1"/>
    <xf numFmtId="166" fontId="76" fillId="0" borderId="7" xfId="1" applyNumberFormat="1" applyFont="1" applyBorder="1"/>
    <xf numFmtId="166" fontId="76" fillId="0" borderId="8" xfId="1" applyNumberFormat="1" applyFont="1" applyBorder="1"/>
    <xf numFmtId="168" fontId="76" fillId="0" borderId="0" xfId="1" applyNumberFormat="1" applyFont="1"/>
    <xf numFmtId="0" fontId="79" fillId="0" borderId="19" xfId="0" applyFont="1" applyBorder="1"/>
    <xf numFmtId="166" fontId="94" fillId="0" borderId="10" xfId="1" applyNumberFormat="1" applyFont="1" applyFill="1" applyBorder="1" applyAlignment="1">
      <alignment horizontal="right" vertical="center"/>
    </xf>
    <xf numFmtId="3" fontId="94" fillId="5" borderId="10" xfId="0" applyNumberFormat="1" applyFont="1" applyFill="1" applyBorder="1" applyAlignment="1">
      <alignment horizontal="right" vertical="center"/>
    </xf>
    <xf numFmtId="166" fontId="94" fillId="21" borderId="10" xfId="1" applyNumberFormat="1" applyFont="1" applyFill="1" applyBorder="1" applyAlignment="1">
      <alignment horizontal="right" vertical="center"/>
    </xf>
    <xf numFmtId="166" fontId="94" fillId="21" borderId="12" xfId="1" applyNumberFormat="1" applyFont="1" applyFill="1" applyBorder="1" applyAlignment="1">
      <alignment horizontal="right" vertical="center"/>
    </xf>
    <xf numFmtId="166" fontId="94" fillId="9" borderId="13" xfId="1" applyNumberFormat="1" applyFont="1" applyFill="1" applyBorder="1"/>
    <xf numFmtId="166" fontId="94" fillId="5" borderId="13" xfId="1" applyNumberFormat="1" applyFont="1" applyFill="1" applyBorder="1" applyAlignment="1">
      <alignment horizontal="right" vertical="center"/>
    </xf>
    <xf numFmtId="166" fontId="94" fillId="5" borderId="30" xfId="1" applyNumberFormat="1" applyFont="1" applyFill="1" applyBorder="1" applyAlignment="1">
      <alignment horizontal="right" vertical="center"/>
    </xf>
    <xf numFmtId="166" fontId="76" fillId="0" borderId="11" xfId="1" applyNumberFormat="1" applyFont="1" applyBorder="1"/>
    <xf numFmtId="166" fontId="76" fillId="5" borderId="0" xfId="1" applyNumberFormat="1" applyFont="1" applyFill="1" applyBorder="1"/>
    <xf numFmtId="0" fontId="84" fillId="2" borderId="14" xfId="0" applyFont="1" applyFill="1" applyBorder="1"/>
    <xf numFmtId="3" fontId="84" fillId="19" borderId="11" xfId="0" applyNumberFormat="1" applyFont="1" applyFill="1" applyBorder="1"/>
    <xf numFmtId="166" fontId="84" fillId="0" borderId="0" xfId="1" applyNumberFormat="1" applyFont="1"/>
    <xf numFmtId="166" fontId="87" fillId="9" borderId="11" xfId="1" applyNumberFormat="1" applyFont="1" applyFill="1" applyBorder="1"/>
    <xf numFmtId="166" fontId="76" fillId="22" borderId="0" xfId="1" applyNumberFormat="1" applyFont="1" applyFill="1"/>
    <xf numFmtId="0" fontId="88" fillId="0" borderId="14" xfId="0" applyFont="1" applyBorder="1"/>
    <xf numFmtId="166" fontId="87" fillId="9" borderId="11" xfId="1" applyNumberFormat="1" applyFont="1" applyFill="1" applyBorder="1" applyAlignment="1">
      <alignment horizontal="right" vertical="top" wrapText="1"/>
    </xf>
    <xf numFmtId="166" fontId="76" fillId="23" borderId="15" xfId="1" applyNumberFormat="1" applyFont="1" applyFill="1" applyBorder="1" applyAlignment="1">
      <alignment horizontal="right" vertical="top" wrapText="1"/>
    </xf>
    <xf numFmtId="166" fontId="76" fillId="21" borderId="25" xfId="1" applyNumberFormat="1" applyFont="1" applyFill="1" applyBorder="1" applyAlignment="1">
      <alignment horizontal="right" vertical="center"/>
    </xf>
    <xf numFmtId="0" fontId="87" fillId="0" borderId="22" xfId="0" applyFont="1" applyBorder="1"/>
    <xf numFmtId="166" fontId="76" fillId="23" borderId="15" xfId="1" applyNumberFormat="1" applyFont="1" applyFill="1" applyBorder="1" applyAlignment="1">
      <alignment horizontal="right" vertical="center"/>
    </xf>
    <xf numFmtId="166" fontId="87" fillId="23" borderId="11" xfId="1" applyNumberFormat="1" applyFont="1" applyFill="1" applyBorder="1" applyAlignment="1">
      <alignment horizontal="right" vertical="top" wrapText="1"/>
    </xf>
    <xf numFmtId="166" fontId="76" fillId="21" borderId="25" xfId="1" applyNumberFormat="1" applyFont="1" applyFill="1" applyBorder="1"/>
    <xf numFmtId="3" fontId="87" fillId="9" borderId="11" xfId="0" applyNumberFormat="1" applyFont="1" applyFill="1" applyBorder="1"/>
    <xf numFmtId="0" fontId="76" fillId="5" borderId="19" xfId="0" applyFont="1" applyFill="1" applyBorder="1" applyAlignment="1">
      <alignment horizontal="left" vertical="center"/>
    </xf>
    <xf numFmtId="169" fontId="76" fillId="0" borderId="24" xfId="0" applyNumberFormat="1" applyFont="1" applyBorder="1"/>
    <xf numFmtId="166" fontId="76" fillId="0" borderId="23" xfId="1" applyNumberFormat="1" applyFont="1" applyBorder="1"/>
    <xf numFmtId="166" fontId="76" fillId="0" borderId="24" xfId="1" applyNumberFormat="1" applyFont="1" applyBorder="1"/>
    <xf numFmtId="0" fontId="84" fillId="2" borderId="36" xfId="0" applyFont="1" applyFill="1" applyBorder="1" applyAlignment="1">
      <alignment horizontal="left" vertical="center"/>
    </xf>
    <xf numFmtId="3" fontId="84" fillId="19" borderId="37" xfId="0" applyNumberFormat="1" applyFont="1" applyFill="1" applyBorder="1" applyAlignment="1">
      <alignment horizontal="right" vertical="center"/>
    </xf>
    <xf numFmtId="0" fontId="84" fillId="0" borderId="0" xfId="0" applyFont="1" applyAlignment="1">
      <alignment vertical="center"/>
    </xf>
    <xf numFmtId="3" fontId="77" fillId="0" borderId="0" xfId="0" applyNumberFormat="1" applyFont="1" applyAlignment="1">
      <alignment horizontal="right"/>
    </xf>
    <xf numFmtId="166" fontId="77" fillId="0" borderId="0" xfId="1" applyNumberFormat="1" applyFont="1" applyAlignment="1">
      <alignment horizontal="right"/>
    </xf>
    <xf numFmtId="0" fontId="76" fillId="0" borderId="0" xfId="0" applyFont="1" applyAlignment="1">
      <alignment horizontal="center" wrapText="1"/>
    </xf>
    <xf numFmtId="0" fontId="76" fillId="9" borderId="15" xfId="0" applyFont="1" applyFill="1" applyBorder="1" applyAlignment="1">
      <alignment horizontal="center" vertical="center"/>
    </xf>
    <xf numFmtId="166" fontId="76" fillId="3" borderId="15" xfId="1" applyNumberFormat="1" applyFont="1" applyFill="1" applyBorder="1" applyAlignment="1">
      <alignment horizontal="center" vertical="center"/>
    </xf>
    <xf numFmtId="3" fontId="76" fillId="3" borderId="15" xfId="0" applyNumberFormat="1" applyFont="1" applyFill="1" applyBorder="1" applyAlignment="1">
      <alignment horizontal="center" vertical="center"/>
    </xf>
    <xf numFmtId="3" fontId="76" fillId="0" borderId="0" xfId="0" applyNumberFormat="1" applyFont="1" applyAlignment="1">
      <alignment horizontal="right" vertical="center"/>
    </xf>
    <xf numFmtId="3" fontId="76" fillId="16" borderId="11" xfId="0" applyNumberFormat="1" applyFont="1" applyFill="1" applyBorder="1" applyAlignment="1">
      <alignment vertical="center"/>
    </xf>
    <xf numFmtId="3" fontId="76" fillId="16" borderId="15" xfId="0" applyNumberFormat="1" applyFont="1" applyFill="1" applyBorder="1" applyAlignment="1">
      <alignment vertical="center"/>
    </xf>
    <xf numFmtId="166" fontId="76" fillId="0" borderId="15" xfId="1" applyNumberFormat="1" applyFont="1" applyBorder="1" applyAlignment="1">
      <alignment horizontal="right" vertical="center"/>
    </xf>
    <xf numFmtId="166" fontId="87" fillId="5" borderId="24" xfId="1" applyNumberFormat="1" applyFont="1" applyFill="1" applyBorder="1" applyAlignment="1">
      <alignment horizontal="right" vertical="center"/>
    </xf>
    <xf numFmtId="166" fontId="76" fillId="0" borderId="0" xfId="1" applyNumberFormat="1" applyFont="1" applyAlignment="1">
      <alignment horizontal="right" vertical="center"/>
    </xf>
    <xf numFmtId="3" fontId="76" fillId="5" borderId="15" xfId="0" applyNumberFormat="1" applyFont="1" applyFill="1" applyBorder="1" applyAlignment="1">
      <alignment horizontal="right" vertical="center"/>
    </xf>
    <xf numFmtId="3" fontId="77" fillId="16" borderId="11" xfId="0" applyNumberFormat="1" applyFont="1" applyFill="1" applyBorder="1" applyAlignment="1">
      <alignment vertical="center"/>
    </xf>
    <xf numFmtId="166" fontId="77" fillId="17" borderId="15" xfId="1" applyNumberFormat="1" applyFont="1" applyFill="1" applyBorder="1" applyAlignment="1">
      <alignment horizontal="right" vertical="center"/>
    </xf>
    <xf numFmtId="167" fontId="77" fillId="17" borderId="15" xfId="0" applyNumberFormat="1" applyFont="1" applyFill="1" applyBorder="1" applyAlignment="1">
      <alignment horizontal="right" vertical="center"/>
    </xf>
    <xf numFmtId="4" fontId="77" fillId="0" borderId="0" xfId="0" applyNumberFormat="1" applyFont="1" applyAlignment="1">
      <alignment horizontal="right" vertical="center"/>
    </xf>
    <xf numFmtId="3" fontId="76" fillId="16" borderId="0" xfId="0" applyNumberFormat="1" applyFont="1" applyFill="1" applyAlignment="1">
      <alignment horizontal="right" vertical="center"/>
    </xf>
    <xf numFmtId="166" fontId="76" fillId="16" borderId="0" xfId="1" applyNumberFormat="1" applyFont="1" applyFill="1" applyAlignment="1">
      <alignment horizontal="right" vertical="center"/>
    </xf>
    <xf numFmtId="0" fontId="77" fillId="0" borderId="0" xfId="0" quotePrefix="1" applyFont="1"/>
    <xf numFmtId="0" fontId="76" fillId="0" borderId="0" xfId="0" quotePrefix="1" applyFont="1"/>
    <xf numFmtId="43" fontId="83" fillId="0" borderId="0" xfId="0" applyNumberFormat="1" applyFont="1"/>
    <xf numFmtId="43" fontId="76" fillId="0" borderId="0" xfId="1" applyFont="1"/>
    <xf numFmtId="43" fontId="83" fillId="0" borderId="0" xfId="1" applyFont="1"/>
    <xf numFmtId="0" fontId="95" fillId="0" borderId="0" xfId="0" applyFont="1"/>
    <xf numFmtId="166" fontId="95" fillId="0" borderId="0" xfId="1" applyNumberFormat="1" applyFont="1"/>
    <xf numFmtId="166" fontId="83" fillId="0" borderId="0" xfId="1" applyNumberFormat="1" applyFont="1"/>
    <xf numFmtId="3" fontId="84" fillId="19" borderId="14" xfId="0" applyNumberFormat="1" applyFont="1" applyFill="1" applyBorder="1" applyAlignment="1">
      <alignment horizontal="right" vertical="center"/>
    </xf>
    <xf numFmtId="3" fontId="84" fillId="19" borderId="33" xfId="0" applyNumberFormat="1" applyFont="1" applyFill="1" applyBorder="1" applyAlignment="1">
      <alignment horizontal="right" vertical="center"/>
    </xf>
    <xf numFmtId="164" fontId="76" fillId="5" borderId="33" xfId="1" applyNumberFormat="1" applyFont="1" applyFill="1" applyBorder="1"/>
    <xf numFmtId="166" fontId="87" fillId="10" borderId="15" xfId="1" applyNumberFormat="1" applyFont="1" applyFill="1" applyBorder="1"/>
    <xf numFmtId="166" fontId="87" fillId="0" borderId="69" xfId="1" applyNumberFormat="1" applyFont="1" applyBorder="1"/>
    <xf numFmtId="166" fontId="87" fillId="0" borderId="70" xfId="1" applyNumberFormat="1" applyFont="1" applyBorder="1"/>
    <xf numFmtId="166" fontId="76" fillId="0" borderId="28" xfId="1" applyNumberFormat="1" applyFont="1" applyFill="1" applyBorder="1" applyAlignment="1">
      <alignment horizontal="right" vertical="top" wrapText="1"/>
    </xf>
    <xf numFmtId="166" fontId="87" fillId="9" borderId="21" xfId="1" applyNumberFormat="1" applyFont="1" applyFill="1" applyBorder="1" applyAlignment="1">
      <alignment horizontal="right" vertical="top" wrapText="1"/>
    </xf>
    <xf numFmtId="166" fontId="79" fillId="0" borderId="40" xfId="1" applyNumberFormat="1" applyFont="1" applyFill="1" applyBorder="1" applyAlignment="1"/>
    <xf numFmtId="166" fontId="79" fillId="9" borderId="13" xfId="1" applyNumberFormat="1" applyFont="1" applyFill="1" applyBorder="1"/>
    <xf numFmtId="166" fontId="79" fillId="8" borderId="10" xfId="1" applyNumberFormat="1" applyFont="1" applyFill="1" applyBorder="1" applyAlignment="1"/>
    <xf numFmtId="166" fontId="79" fillId="8" borderId="9" xfId="1" applyNumberFormat="1" applyFont="1" applyFill="1" applyBorder="1" applyAlignment="1"/>
    <xf numFmtId="166" fontId="79" fillId="9" borderId="15" xfId="1" applyNumberFormat="1" applyFont="1" applyFill="1" applyBorder="1"/>
    <xf numFmtId="166" fontId="79" fillId="8" borderId="11" xfId="1" applyNumberFormat="1" applyFont="1" applyFill="1" applyBorder="1" applyAlignment="1"/>
    <xf numFmtId="166" fontId="79" fillId="8" borderId="14" xfId="1" applyNumberFormat="1" applyFont="1" applyFill="1" applyBorder="1" applyAlignment="1"/>
    <xf numFmtId="0" fontId="0" fillId="10" borderId="15" xfId="0" applyFill="1" applyBorder="1"/>
    <xf numFmtId="166" fontId="78" fillId="8" borderId="11" xfId="1" applyNumberFormat="1" applyFont="1" applyFill="1" applyBorder="1" applyAlignment="1"/>
    <xf numFmtId="166" fontId="78" fillId="8" borderId="12" xfId="1" applyNumberFormat="1" applyFont="1" applyFill="1" applyBorder="1" applyAlignment="1"/>
    <xf numFmtId="166" fontId="79" fillId="9" borderId="15" xfId="1" applyNumberFormat="1" applyFont="1" applyFill="1" applyBorder="1" applyAlignment="1">
      <alignment horizontal="right" vertical="top" wrapText="1"/>
    </xf>
    <xf numFmtId="166" fontId="78" fillId="9" borderId="11" xfId="1" applyNumberFormat="1" applyFont="1" applyFill="1" applyBorder="1" applyAlignment="1">
      <alignment horizontal="right" vertical="top" wrapText="1"/>
    </xf>
    <xf numFmtId="3" fontId="79" fillId="21" borderId="16" xfId="0" applyNumberFormat="1" applyFont="1" applyFill="1" applyBorder="1" applyAlignment="1">
      <alignment horizontal="right" vertical="center"/>
    </xf>
    <xf numFmtId="166" fontId="92" fillId="0" borderId="15" xfId="0" applyNumberFormat="1" applyFont="1" applyBorder="1"/>
    <xf numFmtId="3" fontId="75" fillId="19" borderId="14" xfId="0" applyNumberFormat="1" applyFont="1" applyFill="1" applyBorder="1" applyAlignment="1">
      <alignment horizontal="right" vertical="center"/>
    </xf>
    <xf numFmtId="3" fontId="75" fillId="19" borderId="33" xfId="0" applyNumberFormat="1" applyFont="1" applyFill="1" applyBorder="1" applyAlignment="1">
      <alignment horizontal="right" vertical="center"/>
    </xf>
    <xf numFmtId="3" fontId="87" fillId="0" borderId="15" xfId="1" applyNumberFormat="1" applyFont="1" applyFill="1" applyBorder="1"/>
    <xf numFmtId="166" fontId="76" fillId="21" borderId="14" xfId="1" applyNumberFormat="1" applyFont="1" applyFill="1" applyBorder="1"/>
    <xf numFmtId="3" fontId="92" fillId="0" borderId="13" xfId="0" applyNumberFormat="1" applyFont="1" applyBorder="1" applyAlignment="1">
      <alignment horizontal="right" vertical="center" wrapText="1"/>
    </xf>
    <xf numFmtId="3" fontId="84" fillId="19" borderId="14" xfId="0" applyNumberFormat="1" applyFont="1" applyFill="1" applyBorder="1"/>
    <xf numFmtId="3" fontId="84" fillId="19" borderId="33" xfId="0" applyNumberFormat="1" applyFont="1" applyFill="1" applyBorder="1"/>
    <xf numFmtId="166" fontId="76" fillId="10" borderId="11" xfId="1" applyNumberFormat="1" applyFont="1" applyFill="1" applyBorder="1"/>
    <xf numFmtId="166" fontId="76" fillId="10" borderId="24" xfId="1" applyNumberFormat="1" applyFont="1" applyFill="1" applyBorder="1"/>
    <xf numFmtId="166" fontId="87" fillId="9" borderId="10" xfId="1" applyNumberFormat="1" applyFont="1" applyFill="1" applyBorder="1"/>
    <xf numFmtId="3" fontId="87" fillId="10" borderId="11" xfId="0" applyNumberFormat="1" applyFont="1" applyFill="1" applyBorder="1"/>
    <xf numFmtId="3" fontId="84" fillId="19" borderId="52" xfId="0" applyNumberFormat="1" applyFont="1" applyFill="1" applyBorder="1" applyAlignment="1">
      <alignment horizontal="right" vertical="center"/>
    </xf>
    <xf numFmtId="3" fontId="84" fillId="19" borderId="51" xfId="0" applyNumberFormat="1" applyFont="1" applyFill="1" applyBorder="1" applyAlignment="1">
      <alignment horizontal="right" vertical="center"/>
    </xf>
    <xf numFmtId="3" fontId="84" fillId="19" borderId="71" xfId="0" applyNumberFormat="1" applyFont="1" applyFill="1" applyBorder="1" applyAlignment="1">
      <alignment horizontal="right" vertical="center"/>
    </xf>
    <xf numFmtId="164" fontId="94" fillId="9" borderId="15" xfId="1" applyNumberFormat="1" applyFont="1" applyFill="1" applyBorder="1"/>
    <xf numFmtId="166" fontId="94" fillId="21" borderId="15" xfId="1" applyNumberFormat="1" applyFont="1" applyFill="1" applyBorder="1" applyAlignment="1">
      <alignment horizontal="right" vertical="center"/>
    </xf>
    <xf numFmtId="164" fontId="94" fillId="9" borderId="15" xfId="1" applyNumberFormat="1" applyFont="1" applyFill="1" applyBorder="1" applyAlignment="1">
      <alignment vertical="center"/>
    </xf>
    <xf numFmtId="166" fontId="94" fillId="5" borderId="15" xfId="1" applyNumberFormat="1" applyFont="1" applyFill="1" applyBorder="1" applyAlignment="1">
      <alignment horizontal="right" vertical="center"/>
    </xf>
    <xf numFmtId="164" fontId="94" fillId="5" borderId="15" xfId="1" applyNumberFormat="1" applyFont="1" applyFill="1" applyBorder="1"/>
    <xf numFmtId="164" fontId="94" fillId="5" borderId="33" xfId="1" applyNumberFormat="1" applyFont="1" applyFill="1" applyBorder="1"/>
    <xf numFmtId="166" fontId="87" fillId="21" borderId="23" xfId="1" applyNumberFormat="1" applyFont="1" applyFill="1" applyBorder="1" applyAlignment="1">
      <alignment horizontal="right" vertical="center"/>
    </xf>
    <xf numFmtId="166" fontId="94" fillId="21" borderId="3" xfId="1" applyNumberFormat="1" applyFont="1" applyFill="1" applyBorder="1" applyAlignment="1">
      <alignment horizontal="right" vertical="center"/>
    </xf>
    <xf numFmtId="0" fontId="82" fillId="0" borderId="0" xfId="0" applyFont="1" applyAlignment="1">
      <alignment horizontal="center" vertical="center"/>
    </xf>
    <xf numFmtId="0" fontId="84" fillId="2" borderId="1" xfId="0" applyFont="1" applyFill="1" applyBorder="1" applyAlignment="1">
      <alignment horizontal="center" vertical="center"/>
    </xf>
    <xf numFmtId="0" fontId="84" fillId="2" borderId="5" xfId="0" applyFont="1" applyFill="1" applyBorder="1" applyAlignment="1">
      <alignment horizontal="center" vertical="center"/>
    </xf>
    <xf numFmtId="0" fontId="84" fillId="2" borderId="2" xfId="0" applyFont="1" applyFill="1" applyBorder="1" applyAlignment="1">
      <alignment horizontal="center" vertical="center" wrapText="1"/>
    </xf>
    <xf numFmtId="0" fontId="84" fillId="2" borderId="6" xfId="0" applyFont="1" applyFill="1" applyBorder="1" applyAlignment="1">
      <alignment horizontal="center" vertical="center" wrapText="1"/>
    </xf>
    <xf numFmtId="166" fontId="84" fillId="3" borderId="2" xfId="1" applyNumberFormat="1" applyFont="1" applyFill="1" applyBorder="1" applyAlignment="1">
      <alignment horizontal="center" vertical="center" wrapText="1"/>
    </xf>
    <xf numFmtId="166" fontId="84" fillId="3" borderId="6" xfId="1" applyNumberFormat="1" applyFont="1" applyFill="1" applyBorder="1" applyAlignment="1">
      <alignment horizontal="center" vertical="center" wrapText="1"/>
    </xf>
    <xf numFmtId="166" fontId="84" fillId="3" borderId="3" xfId="1" applyNumberFormat="1" applyFont="1" applyFill="1" applyBorder="1" applyAlignment="1">
      <alignment horizontal="center" vertical="center"/>
    </xf>
    <xf numFmtId="166" fontId="84" fillId="3" borderId="4" xfId="1" applyNumberFormat="1" applyFont="1" applyFill="1" applyBorder="1" applyAlignment="1">
      <alignment horizontal="center" vertical="center"/>
    </xf>
    <xf numFmtId="166" fontId="84" fillId="3" borderId="26" xfId="1" applyNumberFormat="1" applyFont="1" applyFill="1" applyBorder="1" applyAlignment="1">
      <alignment horizontal="center" vertical="center"/>
    </xf>
    <xf numFmtId="0" fontId="84" fillId="13" borderId="27" xfId="0" applyFont="1" applyFill="1" applyBorder="1" applyAlignment="1">
      <alignment horizontal="center" vertical="center" wrapText="1"/>
    </xf>
    <xf numFmtId="0" fontId="84" fillId="13" borderId="29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3" fillId="3" borderId="3" xfId="1" applyNumberFormat="1" applyFont="1" applyFill="1" applyBorder="1" applyAlignment="1">
      <alignment horizontal="center" vertical="center"/>
    </xf>
    <xf numFmtId="166" fontId="3" fillId="3" borderId="4" xfId="1" applyNumberFormat="1" applyFont="1" applyFill="1" applyBorder="1" applyAlignment="1">
      <alignment horizontal="center" vertical="center"/>
    </xf>
    <xf numFmtId="166" fontId="3" fillId="3" borderId="26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166" fontId="3" fillId="3" borderId="2" xfId="1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center" vertical="center" wrapText="1"/>
    </xf>
    <xf numFmtId="0" fontId="3" fillId="13" borderId="27" xfId="0" applyFont="1" applyFill="1" applyBorder="1" applyAlignment="1">
      <alignment horizontal="center" vertical="center" wrapText="1"/>
    </xf>
    <xf numFmtId="0" fontId="3" fillId="13" borderId="29" xfId="0" applyFont="1" applyFill="1" applyBorder="1" applyAlignment="1">
      <alignment horizontal="center" vertical="center" wrapText="1"/>
    </xf>
    <xf numFmtId="3" fontId="3" fillId="19" borderId="11" xfId="0" applyNumberFormat="1" applyFont="1" applyFill="1" applyBorder="1" applyAlignment="1">
      <alignment horizontal="right" vertical="center"/>
    </xf>
    <xf numFmtId="3" fontId="3" fillId="19" borderId="14" xfId="0" applyNumberFormat="1" applyFont="1" applyFill="1" applyBorder="1" applyAlignment="1">
      <alignment horizontal="right" vertical="center"/>
    </xf>
    <xf numFmtId="3" fontId="3" fillId="19" borderId="33" xfId="0" applyNumberFormat="1" applyFont="1" applyFill="1" applyBorder="1" applyAlignment="1">
      <alignment horizontal="right" vertical="center"/>
    </xf>
    <xf numFmtId="165" fontId="17" fillId="20" borderId="20" xfId="0" applyNumberFormat="1" applyFont="1" applyFill="1" applyBorder="1"/>
    <xf numFmtId="164" fontId="4" fillId="0" borderId="11" xfId="1" applyNumberFormat="1" applyFont="1" applyFill="1" applyBorder="1" applyAlignment="1">
      <alignment horizontal="right" vertical="top" wrapText="1"/>
    </xf>
    <xf numFmtId="164" fontId="4" fillId="21" borderId="11" xfId="1" applyNumberFormat="1" applyFont="1" applyFill="1" applyBorder="1" applyAlignment="1">
      <alignment horizontal="right" vertical="top" wrapText="1"/>
    </xf>
    <xf numFmtId="164" fontId="4" fillId="21" borderId="16" xfId="1" applyNumberFormat="1" applyFont="1" applyFill="1" applyBorder="1" applyAlignment="1">
      <alignment horizontal="right" vertical="center"/>
    </xf>
    <xf numFmtId="164" fontId="4" fillId="21" borderId="15" xfId="1" applyNumberFormat="1" applyFont="1" applyFill="1" applyBorder="1" applyAlignment="1">
      <alignment horizontal="right" vertical="center"/>
    </xf>
    <xf numFmtId="166" fontId="4" fillId="0" borderId="11" xfId="1" applyNumberFormat="1" applyFont="1" applyFill="1" applyBorder="1" applyAlignment="1">
      <alignment horizontal="right" vertical="top" wrapText="1"/>
    </xf>
    <xf numFmtId="166" fontId="4" fillId="21" borderId="11" xfId="1" applyNumberFormat="1" applyFont="1" applyFill="1" applyBorder="1" applyAlignment="1">
      <alignment horizontal="right" vertical="top" wrapText="1"/>
    </xf>
    <xf numFmtId="166" fontId="4" fillId="21" borderId="16" xfId="1" applyNumberFormat="1" applyFont="1" applyFill="1" applyBorder="1" applyAlignment="1">
      <alignment horizontal="right" vertical="center"/>
    </xf>
    <xf numFmtId="166" fontId="2" fillId="21" borderId="15" xfId="1" applyNumberFormat="1" applyFont="1" applyFill="1" applyBorder="1" applyAlignment="1">
      <alignment horizontal="right" vertical="center"/>
    </xf>
    <xf numFmtId="164" fontId="2" fillId="9" borderId="15" xfId="1" applyNumberFormat="1" applyFont="1" applyFill="1" applyBorder="1"/>
    <xf numFmtId="166" fontId="4" fillId="0" borderId="11" xfId="1" applyNumberFormat="1" applyFont="1" applyFill="1" applyBorder="1" applyAlignment="1">
      <alignment vertical="center"/>
    </xf>
    <xf numFmtId="166" fontId="4" fillId="0" borderId="15" xfId="1" applyNumberFormat="1" applyFont="1" applyBorder="1" applyAlignment="1">
      <alignment vertical="center"/>
    </xf>
    <xf numFmtId="166" fontId="4" fillId="9" borderId="11" xfId="1" applyNumberFormat="1" applyFont="1" applyFill="1" applyBorder="1" applyAlignment="1">
      <alignment vertical="center"/>
    </xf>
    <xf numFmtId="166" fontId="4" fillId="9" borderId="16" xfId="1" applyNumberFormat="1" applyFont="1" applyFill="1" applyBorder="1" applyAlignment="1">
      <alignment horizontal="right" vertical="center"/>
    </xf>
    <xf numFmtId="166" fontId="2" fillId="9" borderId="15" xfId="1" applyNumberFormat="1" applyFont="1" applyFill="1" applyBorder="1" applyAlignment="1">
      <alignment vertical="center"/>
    </xf>
    <xf numFmtId="164" fontId="2" fillId="9" borderId="15" xfId="1" applyNumberFormat="1" applyFont="1" applyFill="1" applyBorder="1" applyAlignment="1">
      <alignment vertical="center"/>
    </xf>
    <xf numFmtId="164" fontId="2" fillId="5" borderId="33" xfId="1" applyNumberFormat="1" applyFont="1" applyFill="1" applyBorder="1"/>
    <xf numFmtId="3" fontId="4" fillId="22" borderId="11" xfId="0" applyNumberFormat="1" applyFont="1" applyFill="1" applyBorder="1" applyAlignment="1">
      <alignment horizontal="right" vertical="top" wrapText="1"/>
    </xf>
    <xf numFmtId="166" fontId="2" fillId="23" borderId="15" xfId="1" applyNumberFormat="1" applyFont="1" applyFill="1" applyBorder="1"/>
    <xf numFmtId="166" fontId="4" fillId="22" borderId="11" xfId="1" applyNumberFormat="1" applyFont="1" applyFill="1" applyBorder="1" applyAlignment="1">
      <alignment horizontal="right" vertical="top" wrapText="1"/>
    </xf>
    <xf numFmtId="166" fontId="4" fillId="10" borderId="15" xfId="1" applyNumberFormat="1" applyFont="1" applyFill="1" applyBorder="1"/>
    <xf numFmtId="166" fontId="4" fillId="0" borderId="69" xfId="1" applyNumberFormat="1" applyFont="1" applyBorder="1"/>
    <xf numFmtId="166" fontId="2" fillId="21" borderId="15" xfId="1" applyNumberFormat="1" applyFont="1" applyFill="1" applyBorder="1" applyAlignment="1">
      <alignment horizontal="right"/>
    </xf>
    <xf numFmtId="166" fontId="4" fillId="0" borderId="17" xfId="1" applyNumberFormat="1" applyFont="1" applyFill="1" applyBorder="1" applyAlignment="1">
      <alignment horizontal="right" vertical="top" wrapText="1"/>
    </xf>
    <xf numFmtId="166" fontId="2" fillId="0" borderId="28" xfId="1" applyNumberFormat="1" applyFont="1" applyFill="1" applyBorder="1" applyAlignment="1">
      <alignment horizontal="right" vertical="top" wrapText="1"/>
    </xf>
    <xf numFmtId="166" fontId="4" fillId="9" borderId="21" xfId="1" applyNumberFormat="1" applyFont="1" applyFill="1" applyBorder="1" applyAlignment="1">
      <alignment horizontal="right" vertical="top" wrapText="1"/>
    </xf>
    <xf numFmtId="166" fontId="4" fillId="21" borderId="7" xfId="1" applyNumberFormat="1" applyFont="1" applyFill="1" applyBorder="1" applyAlignment="1">
      <alignment horizontal="right" vertical="center"/>
    </xf>
    <xf numFmtId="166" fontId="96" fillId="8" borderId="8" xfId="1" applyNumberFormat="1" applyFont="1" applyFill="1" applyBorder="1"/>
    <xf numFmtId="165" fontId="17" fillId="20" borderId="34" xfId="0" applyNumberFormat="1" applyFont="1" applyFill="1" applyBorder="1"/>
    <xf numFmtId="166" fontId="7" fillId="0" borderId="40" xfId="1" applyNumberFormat="1" applyFont="1" applyFill="1" applyBorder="1" applyAlignment="1"/>
    <xf numFmtId="166" fontId="7" fillId="9" borderId="13" xfId="1" applyNumberFormat="1" applyFont="1" applyFill="1" applyBorder="1"/>
    <xf numFmtId="166" fontId="7" fillId="8" borderId="10" xfId="1" applyNumberFormat="1" applyFont="1" applyFill="1" applyBorder="1" applyAlignment="1"/>
    <xf numFmtId="166" fontId="7" fillId="8" borderId="9" xfId="1" applyNumberFormat="1" applyFont="1" applyFill="1" applyBorder="1" applyAlignment="1"/>
    <xf numFmtId="165" fontId="17" fillId="20" borderId="31" xfId="0" applyNumberFormat="1" applyFont="1" applyFill="1" applyBorder="1"/>
    <xf numFmtId="166" fontId="7" fillId="0" borderId="11" xfId="1" applyNumberFormat="1" applyFont="1" applyFill="1" applyBorder="1" applyAlignment="1"/>
    <xf numFmtId="166" fontId="7" fillId="9" borderId="15" xfId="1" applyNumberFormat="1" applyFont="1" applyFill="1" applyBorder="1"/>
    <xf numFmtId="166" fontId="7" fillId="8" borderId="11" xfId="1" applyNumberFormat="1" applyFont="1" applyFill="1" applyBorder="1" applyAlignment="1"/>
    <xf numFmtId="166" fontId="7" fillId="8" borderId="14" xfId="1" applyNumberFormat="1" applyFont="1" applyFill="1" applyBorder="1" applyAlignment="1"/>
    <xf numFmtId="166" fontId="11" fillId="8" borderId="11" xfId="1" applyNumberFormat="1" applyFont="1" applyFill="1" applyBorder="1" applyAlignment="1"/>
    <xf numFmtId="166" fontId="11" fillId="8" borderId="12" xfId="1" applyNumberFormat="1" applyFont="1" applyFill="1" applyBorder="1" applyAlignment="1"/>
    <xf numFmtId="166" fontId="11" fillId="0" borderId="11" xfId="1" applyNumberFormat="1" applyFont="1" applyFill="1" applyBorder="1" applyAlignment="1">
      <alignment horizontal="right" vertical="top" wrapText="1"/>
    </xf>
    <xf numFmtId="166" fontId="7" fillId="9" borderId="15" xfId="1" applyNumberFormat="1" applyFont="1" applyFill="1" applyBorder="1" applyAlignment="1">
      <alignment horizontal="right" vertical="top" wrapText="1"/>
    </xf>
    <xf numFmtId="166" fontId="11" fillId="9" borderId="11" xfId="1" applyNumberFormat="1" applyFont="1" applyFill="1" applyBorder="1" applyAlignment="1">
      <alignment horizontal="right" vertical="top" wrapText="1"/>
    </xf>
    <xf numFmtId="3" fontId="7" fillId="21" borderId="16" xfId="0" applyNumberFormat="1" applyFont="1" applyFill="1" applyBorder="1" applyAlignment="1">
      <alignment horizontal="right" vertical="center"/>
    </xf>
    <xf numFmtId="164" fontId="15" fillId="9" borderId="15" xfId="1" applyNumberFormat="1" applyFont="1" applyFill="1" applyBorder="1"/>
    <xf numFmtId="166" fontId="15" fillId="21" borderId="15" xfId="1" applyNumberFormat="1" applyFont="1" applyFill="1" applyBorder="1" applyAlignment="1">
      <alignment horizontal="right" vertical="center"/>
    </xf>
    <xf numFmtId="164" fontId="15" fillId="9" borderId="15" xfId="1" applyNumberFormat="1" applyFont="1" applyFill="1" applyBorder="1" applyAlignment="1">
      <alignment vertical="center"/>
    </xf>
    <xf numFmtId="166" fontId="15" fillId="5" borderId="15" xfId="1" applyNumberFormat="1" applyFont="1" applyFill="1" applyBorder="1" applyAlignment="1">
      <alignment horizontal="right" vertical="center"/>
    </xf>
    <xf numFmtId="164" fontId="15" fillId="5" borderId="15" xfId="1" applyNumberFormat="1" applyFont="1" applyFill="1" applyBorder="1"/>
    <xf numFmtId="164" fontId="15" fillId="5" borderId="33" xfId="1" applyNumberFormat="1" applyFont="1" applyFill="1" applyBorder="1"/>
    <xf numFmtId="3" fontId="14" fillId="19" borderId="11" xfId="0" applyNumberFormat="1" applyFont="1" applyFill="1" applyBorder="1" applyAlignment="1">
      <alignment horizontal="right" vertical="center"/>
    </xf>
    <xf numFmtId="166" fontId="4" fillId="0" borderId="11" xfId="1" applyNumberFormat="1" applyFont="1" applyFill="1" applyBorder="1" applyAlignment="1">
      <alignment horizontal="right" vertical="center"/>
    </xf>
    <xf numFmtId="166" fontId="4" fillId="9" borderId="11" xfId="1" applyNumberFormat="1" applyFont="1" applyFill="1" applyBorder="1" applyAlignment="1">
      <alignment horizontal="right" vertical="center"/>
    </xf>
    <xf numFmtId="164" fontId="4" fillId="9" borderId="15" xfId="1" applyNumberFormat="1" applyFont="1" applyFill="1" applyBorder="1"/>
    <xf numFmtId="166" fontId="4" fillId="21" borderId="15" xfId="1" applyNumberFormat="1" applyFont="1" applyFill="1" applyBorder="1" applyAlignment="1">
      <alignment horizontal="right" vertical="center"/>
    </xf>
    <xf numFmtId="1" fontId="4" fillId="9" borderId="16" xfId="1" applyNumberFormat="1" applyFont="1" applyFill="1" applyBorder="1" applyAlignment="1">
      <alignment horizontal="right" vertical="center"/>
    </xf>
    <xf numFmtId="166" fontId="4" fillId="21" borderId="11" xfId="1" applyNumberFormat="1" applyFont="1" applyFill="1" applyBorder="1" applyAlignment="1">
      <alignment horizontal="right" vertical="center"/>
    </xf>
    <xf numFmtId="166" fontId="4" fillId="21" borderId="15" xfId="1" applyNumberFormat="1" applyFont="1" applyFill="1" applyBorder="1"/>
    <xf numFmtId="166" fontId="4" fillId="0" borderId="11" xfId="1" applyNumberFormat="1" applyFont="1" applyFill="1" applyBorder="1" applyAlignment="1">
      <alignment horizontal="right"/>
    </xf>
    <xf numFmtId="166" fontId="2" fillId="0" borderId="15" xfId="1" applyNumberFormat="1" applyFont="1" applyFill="1" applyBorder="1" applyAlignment="1">
      <alignment horizontal="right"/>
    </xf>
    <xf numFmtId="166" fontId="4" fillId="21" borderId="11" xfId="1" applyNumberFormat="1" applyFont="1" applyFill="1" applyBorder="1" applyAlignment="1">
      <alignment horizontal="right"/>
    </xf>
    <xf numFmtId="166" fontId="4" fillId="24" borderId="15" xfId="1" applyNumberFormat="1" applyFont="1" applyFill="1" applyBorder="1"/>
    <xf numFmtId="164" fontId="4" fillId="21" borderId="25" xfId="1" applyNumberFormat="1" applyFont="1" applyFill="1" applyBorder="1" applyAlignment="1">
      <alignment horizontal="right" vertical="center"/>
    </xf>
    <xf numFmtId="3" fontId="4" fillId="21" borderId="11" xfId="0" applyNumberFormat="1" applyFont="1" applyFill="1" applyBorder="1" applyAlignment="1">
      <alignment horizontal="right" vertical="top" wrapText="1"/>
    </xf>
    <xf numFmtId="166" fontId="2" fillId="21" borderId="15" xfId="1" applyNumberFormat="1" applyFont="1" applyFill="1" applyBorder="1"/>
    <xf numFmtId="3" fontId="2" fillId="0" borderId="15" xfId="1" applyNumberFormat="1" applyFont="1" applyFill="1" applyBorder="1" applyAlignment="1">
      <alignment horizontal="right"/>
    </xf>
    <xf numFmtId="166" fontId="4" fillId="0" borderId="11" xfId="1" applyNumberFormat="1" applyFont="1" applyFill="1" applyBorder="1"/>
    <xf numFmtId="3" fontId="2" fillId="0" borderId="15" xfId="1" applyNumberFormat="1" applyFont="1" applyFill="1" applyBorder="1"/>
    <xf numFmtId="166" fontId="4" fillId="21" borderId="11" xfId="1" applyNumberFormat="1" applyFont="1" applyFill="1" applyBorder="1"/>
    <xf numFmtId="166" fontId="2" fillId="0" borderId="20" xfId="1" applyNumberFormat="1" applyFont="1" applyFill="1" applyBorder="1"/>
    <xf numFmtId="3" fontId="4" fillId="0" borderId="15" xfId="1" applyNumberFormat="1" applyFont="1" applyFill="1" applyBorder="1"/>
    <xf numFmtId="166" fontId="2" fillId="21" borderId="14" xfId="1" applyNumberFormat="1" applyFont="1" applyFill="1" applyBorder="1"/>
    <xf numFmtId="3" fontId="4" fillId="0" borderId="11" xfId="1" applyNumberFormat="1" applyFont="1" applyFill="1" applyBorder="1"/>
    <xf numFmtId="3" fontId="4" fillId="21" borderId="11" xfId="1" applyNumberFormat="1" applyFont="1" applyFill="1" applyBorder="1"/>
    <xf numFmtId="3" fontId="2" fillId="21" borderId="15" xfId="0" applyNumberFormat="1" applyFont="1" applyFill="1" applyBorder="1" applyAlignment="1">
      <alignment vertical="center"/>
    </xf>
    <xf numFmtId="3" fontId="4" fillId="21" borderId="11" xfId="0" applyNumberFormat="1" applyFont="1" applyFill="1" applyBorder="1" applyAlignment="1">
      <alignment horizontal="right" vertical="center"/>
    </xf>
    <xf numFmtId="3" fontId="2" fillId="21" borderId="15" xfId="0" applyNumberFormat="1" applyFont="1" applyFill="1" applyBorder="1" applyAlignment="1">
      <alignment horizontal="right" vertical="center"/>
    </xf>
    <xf numFmtId="3" fontId="4" fillId="21" borderId="11" xfId="0" applyNumberFormat="1" applyFont="1" applyFill="1" applyBorder="1"/>
    <xf numFmtId="166" fontId="4" fillId="0" borderId="17" xfId="1" applyNumberFormat="1" applyFont="1" applyFill="1" applyBorder="1"/>
    <xf numFmtId="3" fontId="2" fillId="0" borderId="8" xfId="0" applyNumberFormat="1" applyFont="1" applyBorder="1"/>
    <xf numFmtId="166" fontId="4" fillId="21" borderId="17" xfId="1" applyNumberFormat="1" applyFont="1" applyFill="1" applyBorder="1"/>
    <xf numFmtId="166" fontId="2" fillId="21" borderId="8" xfId="1" applyNumberFormat="1" applyFont="1" applyFill="1" applyBorder="1" applyAlignment="1">
      <alignment horizontal="right" vertical="center"/>
    </xf>
    <xf numFmtId="164" fontId="4" fillId="9" borderId="8" xfId="1" applyNumberFormat="1" applyFont="1" applyFill="1" applyBorder="1"/>
    <xf numFmtId="166" fontId="10" fillId="0" borderId="10" xfId="1" applyNumberFormat="1" applyFont="1" applyFill="1" applyBorder="1" applyAlignment="1">
      <alignment horizontal="right" vertical="center" wrapText="1"/>
    </xf>
    <xf numFmtId="3" fontId="10" fillId="0" borderId="13" xfId="0" applyNumberFormat="1" applyFont="1" applyBorder="1" applyAlignment="1">
      <alignment horizontal="right" vertical="center" wrapText="1"/>
    </xf>
    <xf numFmtId="166" fontId="10" fillId="21" borderId="10" xfId="1" applyNumberFormat="1" applyFont="1" applyFill="1" applyBorder="1" applyAlignment="1">
      <alignment horizontal="right" vertical="center" wrapText="1"/>
    </xf>
    <xf numFmtId="3" fontId="10" fillId="21" borderId="12" xfId="0" applyNumberFormat="1" applyFont="1" applyFill="1" applyBorder="1" applyAlignment="1">
      <alignment horizontal="right" vertical="center"/>
    </xf>
    <xf numFmtId="166" fontId="7" fillId="21" borderId="13" xfId="1" applyNumberFormat="1" applyFont="1" applyFill="1" applyBorder="1" applyAlignment="1">
      <alignment horizontal="right" vertical="center"/>
    </xf>
    <xf numFmtId="164" fontId="15" fillId="9" borderId="13" xfId="1" applyNumberFormat="1" applyFont="1" applyFill="1" applyBorder="1"/>
    <xf numFmtId="166" fontId="15" fillId="21" borderId="13" xfId="1" applyNumberFormat="1" applyFont="1" applyFill="1" applyBorder="1" applyAlignment="1">
      <alignment horizontal="right" vertical="center"/>
    </xf>
    <xf numFmtId="166" fontId="4" fillId="21" borderId="23" xfId="1" applyNumberFormat="1" applyFont="1" applyFill="1" applyBorder="1" applyAlignment="1">
      <alignment horizontal="center" vertical="center"/>
    </xf>
    <xf numFmtId="166" fontId="2" fillId="21" borderId="24" xfId="1" applyNumberFormat="1" applyFont="1" applyFill="1" applyBorder="1" applyAlignment="1">
      <alignment horizontal="center" vertical="center"/>
    </xf>
    <xf numFmtId="166" fontId="2" fillId="9" borderId="0" xfId="1" applyNumberFormat="1" applyFont="1" applyFill="1" applyBorder="1"/>
    <xf numFmtId="166" fontId="2" fillId="0" borderId="17" xfId="1" applyNumberFormat="1" applyFont="1" applyFill="1" applyBorder="1"/>
    <xf numFmtId="166" fontId="4" fillId="21" borderId="23" xfId="1" applyNumberFormat="1" applyFont="1" applyFill="1" applyBorder="1" applyAlignment="1">
      <alignment horizontal="right" vertical="center"/>
    </xf>
    <xf numFmtId="166" fontId="15" fillId="0" borderId="10" xfId="1" applyNumberFormat="1" applyFont="1" applyFill="1" applyBorder="1" applyAlignment="1">
      <alignment horizontal="right" vertical="center"/>
    </xf>
    <xf numFmtId="166" fontId="15" fillId="21" borderId="10" xfId="1" applyNumberFormat="1" applyFont="1" applyFill="1" applyBorder="1" applyAlignment="1">
      <alignment horizontal="right" vertical="center"/>
    </xf>
    <xf numFmtId="166" fontId="15" fillId="21" borderId="3" xfId="1" applyNumberFormat="1" applyFont="1" applyFill="1" applyBorder="1" applyAlignment="1">
      <alignment horizontal="right" vertical="center"/>
    </xf>
    <xf numFmtId="166" fontId="15" fillId="9" borderId="13" xfId="1" applyNumberFormat="1" applyFont="1" applyFill="1" applyBorder="1"/>
    <xf numFmtId="3" fontId="3" fillId="19" borderId="11" xfId="0" applyNumberFormat="1" applyFont="1" applyFill="1" applyBorder="1"/>
    <xf numFmtId="3" fontId="3" fillId="19" borderId="14" xfId="0" applyNumberFormat="1" applyFont="1" applyFill="1" applyBorder="1"/>
    <xf numFmtId="3" fontId="3" fillId="19" borderId="33" xfId="0" applyNumberFormat="1" applyFont="1" applyFill="1" applyBorder="1"/>
    <xf numFmtId="166" fontId="4" fillId="9" borderId="11" xfId="1" applyNumberFormat="1" applyFont="1" applyFill="1" applyBorder="1"/>
    <xf numFmtId="166" fontId="2" fillId="22" borderId="0" xfId="1" applyNumberFormat="1" applyFont="1" applyFill="1"/>
    <xf numFmtId="166" fontId="2" fillId="23" borderId="15" xfId="1" applyNumberFormat="1" applyFont="1" applyFill="1" applyBorder="1" applyAlignment="1">
      <alignment horizontal="right" vertical="top" wrapText="1"/>
    </xf>
    <xf numFmtId="166" fontId="2" fillId="21" borderId="25" xfId="1" applyNumberFormat="1" applyFont="1" applyFill="1" applyBorder="1" applyAlignment="1">
      <alignment horizontal="right" vertical="center"/>
    </xf>
    <xf numFmtId="166" fontId="2" fillId="23" borderId="15" xfId="1" applyNumberFormat="1" applyFont="1" applyFill="1" applyBorder="1" applyAlignment="1">
      <alignment horizontal="right" vertical="center"/>
    </xf>
    <xf numFmtId="166" fontId="2" fillId="10" borderId="11" xfId="1" applyNumberFormat="1" applyFont="1" applyFill="1" applyBorder="1"/>
    <xf numFmtId="166" fontId="2" fillId="10" borderId="24" xfId="1" applyNumberFormat="1" applyFont="1" applyFill="1" applyBorder="1"/>
    <xf numFmtId="166" fontId="4" fillId="9" borderId="10" xfId="1" applyNumberFormat="1" applyFont="1" applyFill="1" applyBorder="1"/>
    <xf numFmtId="166" fontId="2" fillId="21" borderId="25" xfId="1" applyNumberFormat="1" applyFont="1" applyFill="1" applyBorder="1"/>
    <xf numFmtId="3" fontId="4" fillId="10" borderId="11" xfId="0" applyNumberFormat="1" applyFont="1" applyFill="1" applyBorder="1"/>
    <xf numFmtId="1" fontId="4" fillId="21" borderId="16" xfId="1" applyNumberFormat="1" applyFont="1" applyFill="1" applyBorder="1" applyAlignment="1">
      <alignment horizontal="right" vertical="center"/>
    </xf>
    <xf numFmtId="3" fontId="3" fillId="19" borderId="37" xfId="0" applyNumberFormat="1" applyFont="1" applyFill="1" applyBorder="1" applyAlignment="1">
      <alignment horizontal="right" vertical="center"/>
    </xf>
    <xf numFmtId="3" fontId="3" fillId="19" borderId="52" xfId="0" applyNumberFormat="1" applyFont="1" applyFill="1" applyBorder="1" applyAlignment="1">
      <alignment horizontal="right" vertical="center"/>
    </xf>
    <xf numFmtId="3" fontId="3" fillId="19" borderId="51" xfId="0" applyNumberFormat="1" applyFont="1" applyFill="1" applyBorder="1" applyAlignment="1">
      <alignment horizontal="right" vertical="center"/>
    </xf>
    <xf numFmtId="3" fontId="3" fillId="19" borderId="71" xfId="0" applyNumberFormat="1" applyFont="1" applyFill="1" applyBorder="1" applyAlignment="1">
      <alignment horizontal="right" vertical="center"/>
    </xf>
    <xf numFmtId="0" fontId="2" fillId="9" borderId="15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6">
    <dxf>
      <numFmt numFmtId="164" formatCode="0_);[Red]\(0\)"/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numFmt numFmtId="164" formatCode="0_);[Red]\(0\)"/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numFmt numFmtId="164" formatCode="0_);[Red]\(0\)"/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numFmt numFmtId="164" formatCode="0_);[Red]\(0\)"/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numFmt numFmtId="164" formatCode="0_);[Red]\(0\)"/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numFmt numFmtId="164" formatCode="0_);[Red]\(0\)"/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numFmt numFmtId="164" formatCode="0_);[Red]\(0\)"/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numFmt numFmtId="164" formatCode="0_);[Red]\(0\)"/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0066CC"/>
      <color rgb="FF132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workbookViewId="0"/>
  </sheetViews>
  <sheetFormatPr defaultColWidth="9" defaultRowHeight="14.4"/>
  <sheetData>
    <row r="1" spans="1:17" ht="15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51"/>
      <c r="Q1" s="221"/>
    </row>
    <row r="2" spans="1:1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52"/>
      <c r="N2" s="152"/>
      <c r="O2" s="152"/>
      <c r="P2" s="2"/>
    </row>
    <row r="3" spans="1:17" ht="41.4">
      <c r="A3" s="587" t="s">
        <v>1</v>
      </c>
      <c r="B3" s="1283" t="s">
        <v>2</v>
      </c>
      <c r="C3" s="1284" t="s">
        <v>3</v>
      </c>
      <c r="D3" s="1285" t="s">
        <v>4</v>
      </c>
      <c r="E3" s="1286" t="s">
        <v>5</v>
      </c>
      <c r="F3" s="1287"/>
      <c r="G3" s="1287"/>
      <c r="H3" s="1287"/>
      <c r="I3" s="1287"/>
      <c r="J3" s="1287"/>
      <c r="K3" s="1287"/>
      <c r="L3" s="1287"/>
      <c r="M3" s="1287"/>
      <c r="N3" s="1368"/>
      <c r="O3" s="706" t="s">
        <v>6</v>
      </c>
      <c r="P3" s="707"/>
    </row>
    <row r="4" spans="1:17" ht="28.8">
      <c r="A4" s="593"/>
      <c r="B4" s="1288"/>
      <c r="C4" s="1289"/>
      <c r="D4" s="1290"/>
      <c r="E4" s="1291" t="s">
        <v>7</v>
      </c>
      <c r="F4" s="1292" t="s">
        <v>8</v>
      </c>
      <c r="G4" s="1292" t="s">
        <v>9</v>
      </c>
      <c r="H4" s="1292" t="s">
        <v>10</v>
      </c>
      <c r="I4" s="1292" t="s">
        <v>11</v>
      </c>
      <c r="J4" s="1369" t="s">
        <v>12</v>
      </c>
      <c r="K4" s="1370" t="s">
        <v>13</v>
      </c>
      <c r="L4" s="1370" t="s">
        <v>14</v>
      </c>
      <c r="M4" s="1371" t="s">
        <v>15</v>
      </c>
      <c r="N4" s="1372" t="s">
        <v>16</v>
      </c>
      <c r="O4" s="712"/>
      <c r="P4" s="707"/>
    </row>
    <row r="5" spans="1:17" ht="15.6">
      <c r="A5" s="599"/>
      <c r="B5" s="922"/>
      <c r="C5" s="921"/>
      <c r="D5" s="922"/>
      <c r="E5" s="921"/>
      <c r="F5" s="922"/>
      <c r="G5" s="922"/>
      <c r="H5" s="922"/>
      <c r="I5" s="922"/>
      <c r="J5" s="980"/>
      <c r="K5" s="922"/>
      <c r="L5" s="1098"/>
      <c r="M5" s="1099"/>
      <c r="N5" s="1100"/>
      <c r="O5" s="715"/>
      <c r="P5" s="707"/>
    </row>
    <row r="6" spans="1:17" ht="15">
      <c r="A6" s="13" t="s">
        <v>17</v>
      </c>
      <c r="B6" s="94">
        <f t="shared" ref="B6:N6" si="0">SUM(B8:B17)</f>
        <v>4976683</v>
      </c>
      <c r="C6" s="1392">
        <f t="shared" si="0"/>
        <v>421727</v>
      </c>
      <c r="D6" s="94">
        <f t="shared" si="0"/>
        <v>437610</v>
      </c>
      <c r="E6" s="924">
        <f t="shared" si="0"/>
        <v>437610</v>
      </c>
      <c r="F6" s="1144">
        <f t="shared" si="0"/>
        <v>207483</v>
      </c>
      <c r="G6" s="1144">
        <f t="shared" si="0"/>
        <v>186271</v>
      </c>
      <c r="H6" s="1144">
        <f t="shared" si="0"/>
        <v>17667</v>
      </c>
      <c r="I6" s="1144">
        <f t="shared" si="0"/>
        <v>14240</v>
      </c>
      <c r="J6" s="1144">
        <f t="shared" si="0"/>
        <v>0</v>
      </c>
      <c r="K6" s="1144">
        <f t="shared" si="0"/>
        <v>56246</v>
      </c>
      <c r="L6" s="1144">
        <f t="shared" si="0"/>
        <v>57675</v>
      </c>
      <c r="M6" s="1144">
        <f t="shared" si="0"/>
        <v>0</v>
      </c>
      <c r="N6" s="1144">
        <f t="shared" si="0"/>
        <v>1614</v>
      </c>
      <c r="O6" s="842">
        <f>+D6/C6</f>
        <v>1.0376618049117083</v>
      </c>
      <c r="P6" s="717"/>
    </row>
    <row r="7" spans="1:17" ht="15">
      <c r="A7" s="609" t="s">
        <v>18</v>
      </c>
      <c r="B7" s="1200"/>
      <c r="C7" s="1393"/>
      <c r="D7" s="1300"/>
      <c r="E7" s="620">
        <f>SUM(F7:J7)</f>
        <v>0</v>
      </c>
      <c r="F7" s="664"/>
      <c r="G7" s="664"/>
      <c r="H7" s="664"/>
      <c r="I7" s="664"/>
      <c r="J7" s="664"/>
      <c r="K7" s="259"/>
      <c r="L7" s="259"/>
      <c r="M7" s="259"/>
      <c r="N7" s="1009"/>
      <c r="O7" s="903"/>
      <c r="P7" s="717"/>
    </row>
    <row r="8" spans="1:17" ht="15.6">
      <c r="A8" s="623" t="s">
        <v>19</v>
      </c>
      <c r="B8" s="1200"/>
      <c r="C8" s="1393"/>
      <c r="D8" s="1362"/>
      <c r="E8" s="620">
        <f t="shared" ref="E8:E15" si="1">SUM(F8:J8)</f>
        <v>0</v>
      </c>
      <c r="F8" s="104"/>
      <c r="G8" s="104"/>
      <c r="H8" s="104"/>
      <c r="I8" s="104"/>
      <c r="J8" s="104"/>
      <c r="K8" s="1056"/>
      <c r="L8" s="1056"/>
      <c r="M8" s="1056"/>
      <c r="N8" s="1022"/>
      <c r="O8" s="903"/>
      <c r="P8" s="707"/>
    </row>
    <row r="9" spans="1:17" ht="15">
      <c r="A9" s="609" t="s">
        <v>20</v>
      </c>
      <c r="B9" s="1200">
        <f>108077+85467+113186+113042+116756+109995+110509+101300+92745+107226+101895+113016</f>
        <v>1273214</v>
      </c>
      <c r="C9" s="1393">
        <f>108077</f>
        <v>108077</v>
      </c>
      <c r="D9" s="1300">
        <f>109800</f>
        <v>109800</v>
      </c>
      <c r="E9" s="620">
        <f t="shared" si="1"/>
        <v>109800</v>
      </c>
      <c r="F9" s="104">
        <v>42907</v>
      </c>
      <c r="G9" s="104">
        <v>39015</v>
      </c>
      <c r="H9" s="104">
        <v>15633</v>
      </c>
      <c r="I9" s="104">
        <v>12245</v>
      </c>
      <c r="J9" s="664"/>
      <c r="K9" s="259"/>
      <c r="L9" s="259"/>
      <c r="M9" s="1056"/>
      <c r="N9" s="1022"/>
      <c r="O9" s="903">
        <f t="shared" ref="O9:O16" si="2">+D9/C9</f>
        <v>1.0159423374075891</v>
      </c>
      <c r="P9" s="745"/>
      <c r="Q9" s="222"/>
    </row>
    <row r="10" spans="1:17" ht="15">
      <c r="A10" s="609" t="s">
        <v>21</v>
      </c>
      <c r="B10" s="1200">
        <f>148719+103732+138638+114388+149772+144287+154524+162231+134683+114242+101779+138292</f>
        <v>1605287</v>
      </c>
      <c r="C10" s="1393">
        <f>148719</f>
        <v>148719</v>
      </c>
      <c r="D10" s="1301">
        <f>131015</f>
        <v>131015</v>
      </c>
      <c r="E10" s="620">
        <f t="shared" si="1"/>
        <v>131015</v>
      </c>
      <c r="F10" s="33">
        <v>71145</v>
      </c>
      <c r="G10" s="33">
        <v>59870</v>
      </c>
      <c r="H10" s="621"/>
      <c r="I10" s="621"/>
      <c r="J10" s="227"/>
      <c r="K10" s="1103">
        <v>15799</v>
      </c>
      <c r="L10" s="1103">
        <f>38025+2219</f>
        <v>40244</v>
      </c>
      <c r="M10" s="248"/>
      <c r="N10" s="1022"/>
      <c r="O10" s="903">
        <f t="shared" si="2"/>
        <v>0.88095670358192291</v>
      </c>
      <c r="P10" s="733"/>
      <c r="Q10" s="222"/>
    </row>
    <row r="11" spans="1:17" ht="15">
      <c r="A11" s="609" t="s">
        <v>22</v>
      </c>
      <c r="B11" s="1200"/>
      <c r="C11" s="1393"/>
      <c r="D11" s="1301"/>
      <c r="E11" s="620">
        <f t="shared" si="1"/>
        <v>0</v>
      </c>
      <c r="F11" s="104"/>
      <c r="G11" s="104"/>
      <c r="H11" s="104"/>
      <c r="I11" s="104"/>
      <c r="J11" s="104"/>
      <c r="K11" s="1056"/>
      <c r="L11" s="1056"/>
      <c r="M11" s="1056"/>
      <c r="N11" s="1022"/>
      <c r="O11" s="903"/>
      <c r="P11" s="1179"/>
      <c r="Q11" s="222"/>
    </row>
    <row r="12" spans="1:17" ht="15">
      <c r="A12" s="609" t="s">
        <v>23</v>
      </c>
      <c r="B12" s="1200">
        <f>39231+38035+45839+55212+55252+51874+53719+51193+43893+46338+47055+45738</f>
        <v>573379</v>
      </c>
      <c r="C12" s="1393">
        <f>39231</f>
        <v>39231</v>
      </c>
      <c r="D12" s="1301">
        <f>44552</f>
        <v>44552</v>
      </c>
      <c r="E12" s="620">
        <f t="shared" si="1"/>
        <v>44552</v>
      </c>
      <c r="F12" s="104">
        <v>21296</v>
      </c>
      <c r="G12" s="104">
        <v>22162</v>
      </c>
      <c r="H12" s="104">
        <v>552</v>
      </c>
      <c r="I12" s="104">
        <v>542</v>
      </c>
      <c r="J12" s="104"/>
      <c r="K12" s="1056">
        <v>12596</v>
      </c>
      <c r="L12" s="1056">
        <f>1212+9795+413+14</f>
        <v>11434</v>
      </c>
      <c r="M12" s="1056"/>
      <c r="N12" s="1022"/>
      <c r="O12" s="903">
        <f t="shared" si="2"/>
        <v>1.1356325354948893</v>
      </c>
      <c r="P12" s="733"/>
      <c r="Q12" s="222"/>
    </row>
    <row r="13" spans="1:17" ht="15">
      <c r="A13" s="623" t="s">
        <v>24</v>
      </c>
      <c r="B13" s="1200">
        <v>0</v>
      </c>
      <c r="C13" s="1393">
        <v>0</v>
      </c>
      <c r="D13" s="1301"/>
      <c r="E13" s="620"/>
      <c r="F13" s="104"/>
      <c r="G13" s="104"/>
      <c r="H13" s="104"/>
      <c r="I13" s="104"/>
      <c r="J13" s="104"/>
      <c r="K13" s="1056"/>
      <c r="L13" s="1056"/>
      <c r="M13" s="1056"/>
      <c r="N13" s="1022"/>
      <c r="O13" s="903"/>
      <c r="P13" s="1179"/>
      <c r="Q13" s="222"/>
    </row>
    <row r="14" spans="1:17" ht="15">
      <c r="A14" s="68" t="s">
        <v>25</v>
      </c>
      <c r="B14" s="1200">
        <f>107401+71667+97692+112321+100543+91682+100061+119410+112186+136804+148168+145637</f>
        <v>1343572</v>
      </c>
      <c r="C14" s="1393">
        <f>107401</f>
        <v>107401</v>
      </c>
      <c r="D14" s="1300">
        <f>137359</f>
        <v>137359</v>
      </c>
      <c r="E14" s="620">
        <f t="shared" si="1"/>
        <v>137359</v>
      </c>
      <c r="F14" s="36">
        <v>72135</v>
      </c>
      <c r="G14" s="36">
        <v>65224</v>
      </c>
      <c r="H14" s="36"/>
      <c r="I14" s="36"/>
      <c r="J14" s="36"/>
      <c r="K14" s="1104">
        <f>13590+13749</f>
        <v>27339</v>
      </c>
      <c r="L14" s="1104">
        <f>3877+1955</f>
        <v>5832</v>
      </c>
      <c r="M14" s="1104"/>
      <c r="N14" s="1105">
        <v>1614</v>
      </c>
      <c r="O14" s="903">
        <f t="shared" si="2"/>
        <v>1.2789359503170361</v>
      </c>
      <c r="P14" s="733"/>
      <c r="Q14" s="222"/>
    </row>
    <row r="15" spans="1:17" ht="15">
      <c r="A15" s="609" t="s">
        <v>26</v>
      </c>
      <c r="B15" s="1200">
        <f>5818+3471+4879+3146+1868+3203+3535+2520+3649+3073+2995+3507</f>
        <v>41664</v>
      </c>
      <c r="C15" s="1393">
        <f>5818</f>
        <v>5818</v>
      </c>
      <c r="D15" s="1300">
        <f>2935</f>
        <v>2935</v>
      </c>
      <c r="E15" s="620">
        <f t="shared" si="1"/>
        <v>2935</v>
      </c>
      <c r="F15" s="1303"/>
      <c r="G15" s="1303"/>
      <c r="H15" s="104">
        <v>1482</v>
      </c>
      <c r="I15" s="104">
        <v>1453</v>
      </c>
      <c r="J15" s="104"/>
      <c r="K15" s="1106">
        <f>253+259</f>
        <v>512</v>
      </c>
      <c r="L15" s="1056">
        <f>15+150</f>
        <v>165</v>
      </c>
      <c r="M15" s="1056"/>
      <c r="N15" s="1022"/>
      <c r="O15" s="903">
        <f t="shared" si="2"/>
        <v>0.50446888965280168</v>
      </c>
      <c r="P15" s="1378"/>
      <c r="Q15" s="222"/>
    </row>
    <row r="16" spans="1:17" ht="15">
      <c r="A16" s="609" t="s">
        <v>27</v>
      </c>
      <c r="B16" s="1200">
        <f>528</f>
        <v>528</v>
      </c>
      <c r="C16" s="1393">
        <v>436</v>
      </c>
      <c r="D16" s="1300"/>
      <c r="E16" s="620">
        <v>0</v>
      </c>
      <c r="F16" s="104"/>
      <c r="G16" s="104"/>
      <c r="H16" s="104"/>
      <c r="I16" s="104"/>
      <c r="J16" s="104"/>
      <c r="K16" s="259"/>
      <c r="L16" s="119"/>
      <c r="M16" s="1056"/>
      <c r="N16" s="1022"/>
      <c r="O16" s="903">
        <f t="shared" si="2"/>
        <v>0</v>
      </c>
      <c r="P16" s="1179"/>
      <c r="Q16" s="222"/>
    </row>
    <row r="17" spans="1:17" ht="15">
      <c r="A17" s="1147" t="s">
        <v>28</v>
      </c>
      <c r="B17" s="1394">
        <f>127397+11642</f>
        <v>139039</v>
      </c>
      <c r="C17" s="1395">
        <v>12045</v>
      </c>
      <c r="D17" s="1396">
        <f>11949</f>
        <v>11949</v>
      </c>
      <c r="E17" s="1206">
        <v>11949</v>
      </c>
      <c r="F17" s="1397"/>
      <c r="G17" s="1397"/>
      <c r="H17" s="1397"/>
      <c r="I17" s="1397"/>
      <c r="J17" s="1397"/>
      <c r="K17" s="1425"/>
      <c r="L17" s="1425"/>
      <c r="M17" s="1425"/>
      <c r="N17" s="1425"/>
      <c r="O17" s="1425"/>
      <c r="P17" s="733"/>
      <c r="Q17" s="223"/>
    </row>
    <row r="18" spans="1:17" ht="15.6">
      <c r="A18" s="42" t="s">
        <v>29</v>
      </c>
      <c r="B18" s="1398">
        <f>534688+54911+55025</f>
        <v>644624</v>
      </c>
      <c r="C18" s="1399">
        <v>57024</v>
      </c>
      <c r="D18" s="1400">
        <v>45442</v>
      </c>
      <c r="E18" s="1400">
        <v>45442</v>
      </c>
      <c r="F18" s="928"/>
      <c r="G18" s="928"/>
      <c r="H18" s="928"/>
      <c r="I18" s="928"/>
      <c r="J18" s="928"/>
      <c r="K18" s="1107"/>
      <c r="L18" s="1107"/>
      <c r="M18" s="1107"/>
      <c r="N18" s="1108"/>
      <c r="O18" s="1109"/>
      <c r="P18" s="729"/>
      <c r="Q18" s="754"/>
    </row>
    <row r="19" spans="1:17" ht="15.6">
      <c r="A19" s="47" t="s">
        <v>30</v>
      </c>
      <c r="B19" s="1401">
        <f>228437+18717+26622</f>
        <v>273776</v>
      </c>
      <c r="C19" s="1402">
        <v>24857</v>
      </c>
      <c r="D19" s="1403">
        <v>23561</v>
      </c>
      <c r="E19" s="1403">
        <v>23561</v>
      </c>
      <c r="F19" s="929"/>
      <c r="G19" s="929"/>
      <c r="H19" s="929"/>
      <c r="I19" s="929"/>
      <c r="J19" s="929"/>
      <c r="K19" s="1056"/>
      <c r="L19" s="1056"/>
      <c r="M19" s="1056"/>
      <c r="N19" s="1022"/>
      <c r="O19" s="903"/>
      <c r="P19" s="730"/>
    </row>
    <row r="20" spans="1:17" ht="15.6">
      <c r="A20" s="47" t="s">
        <v>31</v>
      </c>
      <c r="B20" s="1401">
        <f>76626+5290+8224</f>
        <v>90140</v>
      </c>
      <c r="C20" s="1402">
        <v>4324</v>
      </c>
      <c r="D20" s="1403">
        <v>5832</v>
      </c>
      <c r="E20" s="1403">
        <v>5832</v>
      </c>
      <c r="F20" s="929"/>
      <c r="G20" s="929"/>
      <c r="H20" s="929"/>
      <c r="I20" s="929"/>
      <c r="J20" s="929"/>
      <c r="K20" s="1056"/>
      <c r="L20" s="1056"/>
      <c r="M20" s="1056"/>
      <c r="N20" s="1022"/>
      <c r="O20" s="903"/>
      <c r="P20" s="730"/>
    </row>
    <row r="21" spans="1:17" ht="15.6">
      <c r="A21" s="47" t="s">
        <v>32</v>
      </c>
      <c r="B21" s="1401">
        <v>483790</v>
      </c>
      <c r="C21" s="1402">
        <v>36183</v>
      </c>
      <c r="D21" s="1403">
        <v>41080</v>
      </c>
      <c r="E21" s="1403">
        <v>41080</v>
      </c>
      <c r="F21" s="929"/>
      <c r="G21" s="929"/>
      <c r="H21" s="929"/>
      <c r="I21" s="929"/>
      <c r="J21" s="929"/>
      <c r="K21" s="1056"/>
      <c r="L21" s="1056"/>
      <c r="M21" s="1056"/>
      <c r="N21" s="1022"/>
      <c r="O21" s="903"/>
      <c r="P21" s="730"/>
    </row>
    <row r="22" spans="1:17" ht="15.6">
      <c r="A22" s="47" t="s">
        <v>33</v>
      </c>
      <c r="B22" s="1401">
        <f>159887+13631+13177</f>
        <v>186695</v>
      </c>
      <c r="C22" s="1402">
        <v>14645</v>
      </c>
      <c r="D22" s="1403">
        <v>12445</v>
      </c>
      <c r="E22" s="1403">
        <v>12445</v>
      </c>
      <c r="F22" s="929"/>
      <c r="G22" s="929"/>
      <c r="H22" s="929"/>
      <c r="I22" s="929"/>
      <c r="J22" s="929"/>
      <c r="K22" s="1056"/>
      <c r="L22" s="1056"/>
      <c r="M22" s="1056"/>
      <c r="N22" s="1022"/>
      <c r="O22" s="903"/>
      <c r="P22" s="730"/>
    </row>
    <row r="23" spans="1:17" ht="15.6">
      <c r="A23" s="47" t="s">
        <v>34</v>
      </c>
      <c r="B23" s="1401">
        <f>199276+27729+38601</f>
        <v>265606</v>
      </c>
      <c r="C23" s="1402">
        <v>22071</v>
      </c>
      <c r="D23" s="1403">
        <v>32478</v>
      </c>
      <c r="E23" s="1403">
        <v>32478</v>
      </c>
      <c r="F23" s="929"/>
      <c r="G23" s="929"/>
      <c r="H23" s="930"/>
      <c r="I23" s="929"/>
      <c r="J23" s="929"/>
      <c r="K23" s="1056"/>
      <c r="L23" s="1056"/>
      <c r="M23" s="1056"/>
      <c r="N23" s="1022"/>
      <c r="O23" s="903"/>
      <c r="P23" s="730"/>
    </row>
    <row r="24" spans="1:17" ht="15.6">
      <c r="A24" s="53" t="s">
        <v>35</v>
      </c>
      <c r="B24" s="1243">
        <v>169502</v>
      </c>
      <c r="C24" s="1404">
        <v>0</v>
      </c>
      <c r="D24" s="1245">
        <v>18288</v>
      </c>
      <c r="E24" s="1245">
        <v>18288</v>
      </c>
      <c r="F24" s="932"/>
      <c r="G24" s="932"/>
      <c r="H24" s="932"/>
      <c r="I24" s="932"/>
      <c r="J24" s="932"/>
      <c r="K24" s="259"/>
      <c r="L24" s="259"/>
      <c r="M24" s="259"/>
      <c r="N24" s="1009"/>
      <c r="O24" s="903"/>
      <c r="P24" s="730"/>
    </row>
    <row r="25" spans="1:17" ht="15.6">
      <c r="A25" s="47" t="s">
        <v>36</v>
      </c>
      <c r="B25" s="1317">
        <f>29509+14652+23209+24242+23009+26529+25218+28150+30612+24870+21148+23890</f>
        <v>295038</v>
      </c>
      <c r="C25" s="1405">
        <f>29509</f>
        <v>29509</v>
      </c>
      <c r="D25" s="1319">
        <f>21897</f>
        <v>21897</v>
      </c>
      <c r="E25" s="933">
        <f>SUM(F25:J25)</f>
        <v>22356</v>
      </c>
      <c r="F25" s="1078"/>
      <c r="G25" s="1078"/>
      <c r="H25" s="1078">
        <v>10751</v>
      </c>
      <c r="I25" s="1078">
        <v>11605</v>
      </c>
      <c r="J25" s="1078"/>
      <c r="K25" s="1110">
        <v>6157</v>
      </c>
      <c r="L25" s="1110">
        <f>973+855</f>
        <v>1828</v>
      </c>
      <c r="M25" s="1110"/>
      <c r="N25" s="1111"/>
      <c r="O25" s="1112">
        <f>+D25/C25</f>
        <v>0.74204479989155847</v>
      </c>
      <c r="P25" s="730"/>
    </row>
    <row r="26" spans="1:17" ht="15.6">
      <c r="A26" s="649"/>
      <c r="B26" s="1406">
        <f>SUM(B18:B25)</f>
        <v>2409171</v>
      </c>
      <c r="C26" s="1406">
        <f t="shared" ref="C26:E26" si="3">SUM(C18:C25)</f>
        <v>188613</v>
      </c>
      <c r="D26" s="1406">
        <f t="shared" si="3"/>
        <v>201023</v>
      </c>
      <c r="E26" s="1406">
        <f t="shared" si="3"/>
        <v>201482</v>
      </c>
      <c r="F26" s="941"/>
      <c r="G26" s="941"/>
      <c r="H26" s="941"/>
      <c r="I26" s="941"/>
      <c r="J26" s="941"/>
      <c r="K26" s="259"/>
      <c r="L26" s="259"/>
      <c r="M26" s="259"/>
      <c r="N26" s="1009"/>
      <c r="O26" s="903"/>
      <c r="P26" s="730"/>
    </row>
    <row r="27" spans="1:17" ht="15.6">
      <c r="A27" s="13" t="s">
        <v>37</v>
      </c>
      <c r="B27" s="94">
        <f>SUM(B28:B31)</f>
        <v>975868</v>
      </c>
      <c r="C27" s="924">
        <f t="shared" ref="C27:D27" si="4">SUM(C28:C31)</f>
        <v>93571</v>
      </c>
      <c r="D27" s="94">
        <f t="shared" si="4"/>
        <v>92941</v>
      </c>
      <c r="E27" s="924">
        <f t="shared" ref="E27:N27" si="5">SUM(E28:E31)</f>
        <v>92941</v>
      </c>
      <c r="F27" s="942">
        <f t="shared" si="5"/>
        <v>33245</v>
      </c>
      <c r="G27" s="942">
        <f t="shared" si="5"/>
        <v>39584</v>
      </c>
      <c r="H27" s="942">
        <f t="shared" si="5"/>
        <v>10943</v>
      </c>
      <c r="I27" s="942">
        <f t="shared" si="5"/>
        <v>9169</v>
      </c>
      <c r="J27" s="942">
        <f t="shared" si="5"/>
        <v>0</v>
      </c>
      <c r="K27" s="942">
        <f t="shared" si="5"/>
        <v>16394</v>
      </c>
      <c r="L27" s="942">
        <f t="shared" si="5"/>
        <v>16343</v>
      </c>
      <c r="M27" s="942">
        <f t="shared" si="5"/>
        <v>0</v>
      </c>
      <c r="N27" s="942">
        <f t="shared" si="5"/>
        <v>20649</v>
      </c>
      <c r="O27" s="842">
        <f t="shared" ref="O27:O66" si="6">+D27/C27</f>
        <v>0.9932671447350141</v>
      </c>
      <c r="P27" s="729"/>
    </row>
    <row r="28" spans="1:17" ht="15">
      <c r="A28" s="609" t="s">
        <v>38</v>
      </c>
      <c r="B28" s="270">
        <f>31848+3560+3666</f>
        <v>39074</v>
      </c>
      <c r="C28" s="1320">
        <v>6576</v>
      </c>
      <c r="D28" s="929">
        <f>3848</f>
        <v>3848</v>
      </c>
      <c r="E28" s="620">
        <f t="shared" ref="E28:E30" si="7">SUM(F28:J28)</f>
        <v>3848</v>
      </c>
      <c r="F28" s="104"/>
      <c r="G28" s="104"/>
      <c r="H28" s="104">
        <v>1660</v>
      </c>
      <c r="I28" s="104">
        <v>2188</v>
      </c>
      <c r="J28" s="664"/>
      <c r="K28" s="1056">
        <v>1258</v>
      </c>
      <c r="L28" s="1056">
        <f>955</f>
        <v>955</v>
      </c>
      <c r="M28" s="1056"/>
      <c r="N28" s="1022"/>
      <c r="O28" s="903">
        <f t="shared" si="6"/>
        <v>0.58515815085158152</v>
      </c>
      <c r="P28" s="733"/>
    </row>
    <row r="29" spans="1:17" ht="15.6">
      <c r="A29" s="87" t="s">
        <v>39</v>
      </c>
      <c r="B29" s="270">
        <f>64505+48073+62185+62452+59765+64280+67096+71165+61780+66528+63320+71042</f>
        <v>762191</v>
      </c>
      <c r="C29" s="1320">
        <f>64505</f>
        <v>64505</v>
      </c>
      <c r="D29" s="104">
        <f>68444</f>
        <v>68444</v>
      </c>
      <c r="E29" s="620">
        <f t="shared" si="7"/>
        <v>68444</v>
      </c>
      <c r="F29" s="22">
        <v>26073</v>
      </c>
      <c r="G29" s="22">
        <v>28605</v>
      </c>
      <c r="H29" s="22">
        <v>6934</v>
      </c>
      <c r="I29" s="22">
        <v>6832</v>
      </c>
      <c r="J29" s="612"/>
      <c r="K29" s="92">
        <v>13998</v>
      </c>
      <c r="L29" s="92">
        <f>2745+5074+2637+4321</f>
        <v>14777</v>
      </c>
      <c r="M29" s="1106"/>
      <c r="N29" s="1114"/>
      <c r="O29" s="903">
        <f t="shared" si="6"/>
        <v>1.0610650337183165</v>
      </c>
      <c r="P29" s="707"/>
    </row>
    <row r="30" spans="1:17" ht="15.6">
      <c r="A30" s="87" t="s">
        <v>40</v>
      </c>
      <c r="B30" s="176">
        <f>22490+11900+19473+16591+12914+13370+11563+9278+10032+11317+15030+20645</f>
        <v>174603</v>
      </c>
      <c r="C30" s="1321">
        <f>22490</f>
        <v>22490</v>
      </c>
      <c r="D30" s="36">
        <f>20649</f>
        <v>20649</v>
      </c>
      <c r="E30" s="620">
        <f t="shared" si="7"/>
        <v>20649</v>
      </c>
      <c r="F30" s="22">
        <v>7172</v>
      </c>
      <c r="G30" s="22">
        <v>10979</v>
      </c>
      <c r="H30" s="22">
        <v>2349</v>
      </c>
      <c r="I30" s="22">
        <v>149</v>
      </c>
      <c r="J30" s="664"/>
      <c r="K30" s="92">
        <f>207+854+58+19</f>
        <v>1138</v>
      </c>
      <c r="L30" s="92">
        <f>421+3+111+76</f>
        <v>611</v>
      </c>
      <c r="M30" s="1056"/>
      <c r="N30" s="1022">
        <v>20649</v>
      </c>
      <c r="O30" s="903">
        <f t="shared" si="6"/>
        <v>0.91814139617607826</v>
      </c>
      <c r="P30" s="707"/>
    </row>
    <row r="31" spans="1:17" ht="15.6">
      <c r="A31" s="87" t="s">
        <v>41</v>
      </c>
      <c r="B31" s="1200"/>
      <c r="C31" s="1299">
        <v>0</v>
      </c>
      <c r="D31" s="1300"/>
      <c r="E31" s="620"/>
      <c r="F31" s="104"/>
      <c r="G31" s="104"/>
      <c r="H31" s="104"/>
      <c r="I31" s="104"/>
      <c r="J31" s="104"/>
      <c r="K31" s="1056"/>
      <c r="L31" s="1056"/>
      <c r="M31" s="1056"/>
      <c r="N31" s="1022"/>
      <c r="O31" s="903"/>
      <c r="P31" s="707"/>
    </row>
    <row r="32" spans="1:17" ht="15.6">
      <c r="A32" s="87"/>
      <c r="B32" s="89"/>
      <c r="C32" s="1225"/>
      <c r="D32" s="89"/>
      <c r="E32" s="945"/>
      <c r="F32" s="119"/>
      <c r="G32" s="119"/>
      <c r="H32" s="119"/>
      <c r="I32" s="119"/>
      <c r="J32" s="119"/>
      <c r="K32" s="1115"/>
      <c r="L32" s="1115"/>
      <c r="M32" s="1115"/>
      <c r="N32" s="1016"/>
      <c r="O32" s="903"/>
      <c r="P32" s="707"/>
    </row>
    <row r="33" spans="1:16" ht="15.6">
      <c r="A33" s="13" t="s">
        <v>42</v>
      </c>
      <c r="B33" s="94">
        <f t="shared" ref="B33:N33" si="8">SUM(B34:B43)</f>
        <v>8566129</v>
      </c>
      <c r="C33" s="924">
        <f t="shared" si="8"/>
        <v>731354</v>
      </c>
      <c r="D33" s="94">
        <f t="shared" si="8"/>
        <v>713092</v>
      </c>
      <c r="E33" s="924">
        <f t="shared" si="8"/>
        <v>713092</v>
      </c>
      <c r="F33" s="924">
        <f t="shared" si="8"/>
        <v>269386</v>
      </c>
      <c r="G33" s="924">
        <f t="shared" si="8"/>
        <v>222599</v>
      </c>
      <c r="H33" s="924">
        <f t="shared" si="8"/>
        <v>87998</v>
      </c>
      <c r="I33" s="924">
        <f t="shared" si="8"/>
        <v>132931</v>
      </c>
      <c r="J33" s="924">
        <f t="shared" si="8"/>
        <v>178</v>
      </c>
      <c r="K33" s="94">
        <f t="shared" si="8"/>
        <v>147230</v>
      </c>
      <c r="L33" s="94">
        <f t="shared" si="8"/>
        <v>46705</v>
      </c>
      <c r="M33" s="94">
        <f t="shared" si="8"/>
        <v>146</v>
      </c>
      <c r="N33" s="94">
        <f t="shared" si="8"/>
        <v>61104</v>
      </c>
      <c r="O33" s="1426">
        <f t="shared" si="6"/>
        <v>0.97502987609283598</v>
      </c>
      <c r="P33" s="707"/>
    </row>
    <row r="34" spans="1:16" ht="15.6">
      <c r="A34" s="609" t="s">
        <v>43</v>
      </c>
      <c r="B34" s="1200">
        <f>176793+71526+59980+65204+71423+79211+71917+76068+84439+81079</f>
        <v>837640</v>
      </c>
      <c r="C34" s="1299">
        <f>67666</f>
        <v>67666</v>
      </c>
      <c r="D34" s="1300">
        <f>79188</f>
        <v>79188</v>
      </c>
      <c r="E34" s="620">
        <f t="shared" ref="E34:E36" si="9">SUM(F34:J34)</f>
        <v>79188</v>
      </c>
      <c r="F34" s="104"/>
      <c r="G34" s="104"/>
      <c r="H34" s="104">
        <v>17849</v>
      </c>
      <c r="I34" s="104">
        <v>61339</v>
      </c>
      <c r="J34" s="104"/>
      <c r="K34" s="1117">
        <v>1918</v>
      </c>
      <c r="L34" s="1117">
        <f>14923+10</f>
        <v>14933</v>
      </c>
      <c r="M34" s="1117"/>
      <c r="N34" s="1019"/>
      <c r="O34" s="903">
        <f t="shared" si="6"/>
        <v>1.1702775396801939</v>
      </c>
      <c r="P34" s="707"/>
    </row>
    <row r="35" spans="1:16" ht="15.6">
      <c r="A35" s="609" t="s">
        <v>44</v>
      </c>
      <c r="B35" s="1200">
        <f>315296+56739+61665+55007+62647+65661+65065</f>
        <v>682080</v>
      </c>
      <c r="C35" s="1299">
        <f>58796</f>
        <v>58796</v>
      </c>
      <c r="D35" s="1300">
        <f>59800</f>
        <v>59800</v>
      </c>
      <c r="E35" s="620">
        <f t="shared" si="9"/>
        <v>59800</v>
      </c>
      <c r="F35" s="664"/>
      <c r="G35" s="664"/>
      <c r="H35" s="104">
        <v>10032</v>
      </c>
      <c r="I35" s="104">
        <v>49768</v>
      </c>
      <c r="J35" s="104"/>
      <c r="K35" s="1118">
        <v>1546</v>
      </c>
      <c r="L35" s="1118">
        <f>9689+2</f>
        <v>9691</v>
      </c>
      <c r="M35" s="1118"/>
      <c r="N35" s="1020">
        <v>59800</v>
      </c>
      <c r="O35" s="903">
        <f t="shared" si="6"/>
        <v>1.0170759915640519</v>
      </c>
      <c r="P35" s="707"/>
    </row>
    <row r="36" spans="1:16" ht="15.6">
      <c r="A36" s="87" t="s">
        <v>45</v>
      </c>
      <c r="B36" s="1227">
        <f>20214+11681+23581+25619+22301+21824+20127+19528+19926+20275+23052+20682</f>
        <v>248810</v>
      </c>
      <c r="C36" s="1407">
        <f>20214</f>
        <v>20214</v>
      </c>
      <c r="D36" s="1328">
        <f>21093</f>
        <v>21093</v>
      </c>
      <c r="E36" s="620">
        <f t="shared" si="9"/>
        <v>21093</v>
      </c>
      <c r="F36" s="104"/>
      <c r="G36" s="104"/>
      <c r="H36" s="104">
        <v>10676</v>
      </c>
      <c r="I36" s="104">
        <v>10417</v>
      </c>
      <c r="J36" s="102"/>
      <c r="K36" s="1120">
        <v>5385</v>
      </c>
      <c r="L36" s="1118">
        <f>2857+2958</f>
        <v>5815</v>
      </c>
      <c r="M36" s="1118">
        <v>42</v>
      </c>
      <c r="N36" s="1020"/>
      <c r="O36" s="259"/>
      <c r="P36" s="707"/>
    </row>
    <row r="37" spans="1:16" ht="15.6">
      <c r="A37" s="87" t="s">
        <v>46</v>
      </c>
      <c r="B37" s="1229">
        <f>36191+20920+29070+23929+27875+30427+28473+27605+28149+32945+33352+27283</f>
        <v>346219</v>
      </c>
      <c r="C37" s="1408">
        <f>36191</f>
        <v>36191</v>
      </c>
      <c r="D37" s="961">
        <f>23167</f>
        <v>23167</v>
      </c>
      <c r="E37" s="620">
        <f>SUM(H37:J37)</f>
        <v>23167</v>
      </c>
      <c r="F37" s="938"/>
      <c r="G37" s="932"/>
      <c r="H37" s="104">
        <v>11760</v>
      </c>
      <c r="I37" s="104">
        <v>11407</v>
      </c>
      <c r="J37" s="664"/>
      <c r="K37" s="1056">
        <v>7843</v>
      </c>
      <c r="L37" s="1056">
        <f>678+723</f>
        <v>1401</v>
      </c>
      <c r="M37" s="1056">
        <v>104</v>
      </c>
      <c r="N37" s="1022"/>
      <c r="O37" s="903">
        <f>+D36/C36</f>
        <v>1.0434847135648559</v>
      </c>
      <c r="P37" s="707"/>
    </row>
    <row r="38" spans="1:16" ht="15.6">
      <c r="A38" s="87" t="s">
        <v>47</v>
      </c>
      <c r="B38" s="1229">
        <f>12008+9467+14763+14113+14691+14606+10209+8082+10081+11470+13518+17152</f>
        <v>150160</v>
      </c>
      <c r="C38" s="1408">
        <v>12008</v>
      </c>
      <c r="D38" s="961">
        <v>16861</v>
      </c>
      <c r="E38" s="620">
        <f>SUM(F38:J38)</f>
        <v>16861</v>
      </c>
      <c r="F38" s="104">
        <v>4244</v>
      </c>
      <c r="G38" s="104">
        <v>12439</v>
      </c>
      <c r="H38" s="104"/>
      <c r="I38" s="104"/>
      <c r="J38" s="104">
        <v>178</v>
      </c>
      <c r="K38" s="1056">
        <f>1286+2943+54</f>
        <v>4283</v>
      </c>
      <c r="L38" s="1056">
        <f>228+1172</f>
        <v>1400</v>
      </c>
      <c r="M38" s="1118"/>
      <c r="N38" s="1020">
        <v>141</v>
      </c>
      <c r="O38" s="903">
        <f>+D37/C37</f>
        <v>0.64013152441214671</v>
      </c>
      <c r="P38" s="707"/>
    </row>
    <row r="39" spans="1:16" ht="15.6">
      <c r="A39" s="87" t="s">
        <v>48</v>
      </c>
      <c r="B39" s="1229">
        <f>492323+373517+489518+501319+498148+483300+509517+496996+483525+491240+487179+505109</f>
        <v>5811691</v>
      </c>
      <c r="C39" s="1408">
        <f>492323</f>
        <v>492323</v>
      </c>
      <c r="D39" s="961">
        <f>470369</f>
        <v>470369</v>
      </c>
      <c r="E39" s="620">
        <f>SUM(F39:J39)</f>
        <v>470369</v>
      </c>
      <c r="F39" s="104">
        <v>261295</v>
      </c>
      <c r="G39" s="104">
        <v>209074</v>
      </c>
      <c r="H39" s="104"/>
      <c r="I39" s="664"/>
      <c r="J39" s="104"/>
      <c r="K39" s="92">
        <f>69029+56687</f>
        <v>125716</v>
      </c>
      <c r="L39" s="92">
        <f>4878+8317</f>
        <v>13195</v>
      </c>
      <c r="M39" s="1118"/>
      <c r="N39" s="1020"/>
      <c r="O39" s="903">
        <f>+D38/C38</f>
        <v>1.4041472351765489</v>
      </c>
      <c r="P39" s="707"/>
    </row>
    <row r="40" spans="1:16" ht="15.6">
      <c r="A40" s="87" t="s">
        <v>49</v>
      </c>
      <c r="B40" s="1229">
        <f>41444+27037+39698+37856+42480+38521+41958+41846+36877+41203+36023+42811</f>
        <v>467754</v>
      </c>
      <c r="C40" s="1408">
        <f>41444</f>
        <v>41444</v>
      </c>
      <c r="D40" s="961">
        <f>41135</f>
        <v>41135</v>
      </c>
      <c r="E40" s="620">
        <f>SUM(F40:J40)</f>
        <v>41135</v>
      </c>
      <c r="F40" s="102">
        <v>3454</v>
      </c>
      <c r="G40" s="102"/>
      <c r="H40" s="102">
        <v>37681</v>
      </c>
      <c r="I40" s="102"/>
      <c r="J40" s="104"/>
      <c r="K40" s="1118"/>
      <c r="L40" s="1118"/>
      <c r="M40" s="1118"/>
      <c r="N40" s="1020"/>
      <c r="O40" s="903">
        <f>+D39/C39</f>
        <v>0.95540732405351769</v>
      </c>
      <c r="P40" s="707"/>
    </row>
    <row r="41" spans="1:16" ht="15.6">
      <c r="A41" s="87" t="s">
        <v>50</v>
      </c>
      <c r="B41" s="270"/>
      <c r="C41" s="1320"/>
      <c r="D41" s="104"/>
      <c r="E41" s="620"/>
      <c r="F41" s="104"/>
      <c r="G41" s="104"/>
      <c r="H41" s="104"/>
      <c r="I41" s="104"/>
      <c r="J41" s="104"/>
      <c r="K41" s="1118"/>
      <c r="L41" s="1118"/>
      <c r="M41" s="1118"/>
      <c r="N41" s="1020"/>
      <c r="O41" s="903">
        <f>+D40/C40</f>
        <v>0.99254415596950096</v>
      </c>
      <c r="P41" s="707"/>
    </row>
    <row r="42" spans="1:16" ht="15.6">
      <c r="A42" s="87" t="s">
        <v>51</v>
      </c>
      <c r="B42" s="1034">
        <f>1591+185+300+228+282+250+254+222+245+289+277+286</f>
        <v>4409</v>
      </c>
      <c r="C42" s="1409">
        <f>1591</f>
        <v>1591</v>
      </c>
      <c r="D42" s="1337">
        <f>353</f>
        <v>353</v>
      </c>
      <c r="E42" s="620">
        <f>SUM(F42:J42)</f>
        <v>353</v>
      </c>
      <c r="F42" s="104">
        <v>162</v>
      </c>
      <c r="G42" s="104">
        <v>191</v>
      </c>
      <c r="H42" s="104"/>
      <c r="I42" s="104"/>
      <c r="J42" s="104"/>
      <c r="K42" s="1118">
        <v>353</v>
      </c>
      <c r="L42" s="1118">
        <f>162</f>
        <v>162</v>
      </c>
      <c r="M42" s="1118"/>
      <c r="N42" s="1020">
        <v>37</v>
      </c>
      <c r="O42" s="903"/>
      <c r="P42" s="736"/>
    </row>
    <row r="43" spans="1:16" ht="15.6">
      <c r="A43" s="671" t="s">
        <v>52</v>
      </c>
      <c r="B43" s="1410">
        <f>5554+2707+1759+1797+950+1036+1570+888+1105</f>
        <v>17366</v>
      </c>
      <c r="C43" s="1411">
        <f>1121</f>
        <v>1121</v>
      </c>
      <c r="D43" s="1341">
        <f>1126</f>
        <v>1126</v>
      </c>
      <c r="E43" s="948">
        <f>SUM(F43:F43:J43)</f>
        <v>1126</v>
      </c>
      <c r="F43" s="948">
        <v>231</v>
      </c>
      <c r="G43" s="948">
        <v>895</v>
      </c>
      <c r="H43" s="948"/>
      <c r="I43" s="948"/>
      <c r="J43" s="1023"/>
      <c r="K43" s="1427">
        <f>13+173</f>
        <v>186</v>
      </c>
      <c r="L43" s="1428">
        <f>102+6</f>
        <v>108</v>
      </c>
      <c r="M43" s="1428"/>
      <c r="N43" s="1026">
        <v>1126</v>
      </c>
      <c r="O43" s="1140">
        <f>+D42/C42</f>
        <v>0.22187303582652421</v>
      </c>
      <c r="P43" s="707"/>
    </row>
    <row r="44" spans="1:16" ht="15.6">
      <c r="A44" s="112" t="s">
        <v>53</v>
      </c>
      <c r="B44" s="1412">
        <f>43919+38655+49389+49920+41452+46211+54147+61115+45816+53985+53251+54204</f>
        <v>592064</v>
      </c>
      <c r="C44" s="1413">
        <f>43919</f>
        <v>43919</v>
      </c>
      <c r="D44" s="1414">
        <v>46498</v>
      </c>
      <c r="E44" s="951">
        <f>SUM(F44:J44)</f>
        <v>46498</v>
      </c>
      <c r="F44" s="1415">
        <v>20261</v>
      </c>
      <c r="G44" s="1415">
        <v>19535</v>
      </c>
      <c r="H44" s="1415">
        <v>2485</v>
      </c>
      <c r="I44" s="1429">
        <v>2481</v>
      </c>
      <c r="J44" s="1415">
        <v>1736</v>
      </c>
      <c r="K44" s="1430">
        <f>2589+6499+624+518+43</f>
        <v>10273</v>
      </c>
      <c r="L44" s="1431">
        <f>876+62+7+237+201</f>
        <v>1383</v>
      </c>
      <c r="M44" s="1430"/>
      <c r="N44" s="1431">
        <v>2786</v>
      </c>
      <c r="O44" s="1432">
        <f>+D43/C43</f>
        <v>1.0044603033006245</v>
      </c>
      <c r="P44" s="707"/>
    </row>
    <row r="45" spans="1:16" ht="15.6">
      <c r="O45" s="1109">
        <f>+D44/C44</f>
        <v>1.0587217377444842</v>
      </c>
      <c r="P45" s="707"/>
    </row>
    <row r="46" spans="1:16" ht="15.6">
      <c r="A46" s="13" t="s">
        <v>54</v>
      </c>
      <c r="B46" s="94">
        <f t="shared" ref="B46:N46" si="10">SUM(B47:B53)</f>
        <v>4719935</v>
      </c>
      <c r="C46" s="94">
        <f t="shared" si="10"/>
        <v>357512</v>
      </c>
      <c r="D46" s="94">
        <f t="shared" si="10"/>
        <v>491020</v>
      </c>
      <c r="E46" s="94">
        <f t="shared" si="10"/>
        <v>491020</v>
      </c>
      <c r="F46" s="94">
        <f t="shared" si="10"/>
        <v>221304</v>
      </c>
      <c r="G46" s="94">
        <f t="shared" si="10"/>
        <v>214733</v>
      </c>
      <c r="H46" s="94">
        <f t="shared" si="10"/>
        <v>6949</v>
      </c>
      <c r="I46" s="94">
        <f t="shared" si="10"/>
        <v>6282</v>
      </c>
      <c r="J46" s="94">
        <f t="shared" si="10"/>
        <v>41752</v>
      </c>
      <c r="K46" s="94">
        <f t="shared" si="10"/>
        <v>43245</v>
      </c>
      <c r="L46" s="94">
        <f t="shared" si="10"/>
        <v>79547</v>
      </c>
      <c r="M46" s="94">
        <f t="shared" si="10"/>
        <v>1547</v>
      </c>
      <c r="N46" s="94">
        <f t="shared" si="10"/>
        <v>83604</v>
      </c>
      <c r="O46" s="849">
        <f t="shared" si="6"/>
        <v>1.3734364161202981</v>
      </c>
      <c r="P46" s="707"/>
    </row>
    <row r="47" spans="1:16" ht="15.6">
      <c r="A47" s="87" t="s">
        <v>55</v>
      </c>
      <c r="B47" s="1200"/>
      <c r="C47" s="1299"/>
      <c r="D47" s="1300"/>
      <c r="E47" s="620"/>
      <c r="F47" s="104"/>
      <c r="G47" s="104"/>
      <c r="H47" s="104"/>
      <c r="I47" s="104"/>
      <c r="J47" s="104"/>
      <c r="K47" s="119"/>
      <c r="L47" s="119"/>
      <c r="M47" s="119"/>
      <c r="N47" s="118"/>
      <c r="O47" s="903"/>
      <c r="P47" s="707"/>
    </row>
    <row r="48" spans="1:16" ht="15">
      <c r="A48" s="680" t="s">
        <v>56</v>
      </c>
      <c r="B48" s="270">
        <f>152617+131920+130997+153389+149066+196349+174625+189556+159615+174414+174638+173536</f>
        <v>1960722</v>
      </c>
      <c r="C48" s="1416">
        <f>152617</f>
        <v>152617</v>
      </c>
      <c r="D48" s="104">
        <f>209453</f>
        <v>209453</v>
      </c>
      <c r="E48" s="957">
        <f>209453</f>
        <v>209453</v>
      </c>
      <c r="F48" s="104">
        <v>94287</v>
      </c>
      <c r="G48" s="104">
        <v>92760</v>
      </c>
      <c r="H48" s="104">
        <v>6649</v>
      </c>
      <c r="I48" s="104">
        <v>6282</v>
      </c>
      <c r="J48" s="104">
        <v>9475</v>
      </c>
      <c r="K48" s="1056">
        <f>3107+8471+1171+445</f>
        <v>13194</v>
      </c>
      <c r="L48" s="1056">
        <f>2868+1169+226</f>
        <v>4263</v>
      </c>
      <c r="M48" s="1056"/>
      <c r="N48" s="1022"/>
      <c r="O48" s="906">
        <f t="shared" si="6"/>
        <v>1.3724093646186204</v>
      </c>
      <c r="P48" s="745"/>
    </row>
    <row r="49" spans="1:17" ht="15">
      <c r="A49" s="682"/>
      <c r="B49" s="270"/>
      <c r="C49" s="1417"/>
      <c r="D49" s="104"/>
      <c r="E49" s="959"/>
      <c r="F49" s="104"/>
      <c r="G49" s="104"/>
      <c r="H49" s="104"/>
      <c r="I49" s="104"/>
      <c r="J49" s="104"/>
      <c r="K49" s="1056"/>
      <c r="L49" s="1056"/>
      <c r="M49" s="1056"/>
      <c r="N49" s="1022"/>
      <c r="O49" s="907"/>
      <c r="P49" s="746"/>
    </row>
    <row r="50" spans="1:17" ht="15.6">
      <c r="A50" s="87" t="s">
        <v>57</v>
      </c>
      <c r="B50" s="1418">
        <f>97537+55586+99611+80866+84077+87464+89817+110297+103108+86858+89238+102094</f>
        <v>1086553</v>
      </c>
      <c r="C50" s="1409">
        <f>97537</f>
        <v>97537</v>
      </c>
      <c r="D50" s="1351">
        <f>104773</f>
        <v>104773</v>
      </c>
      <c r="E50" s="620">
        <f t="shared" ref="E50:E52" si="11">SUM(F50:J50)</f>
        <v>104773</v>
      </c>
      <c r="F50" s="961">
        <v>48519</v>
      </c>
      <c r="G50" s="22">
        <v>48979</v>
      </c>
      <c r="H50" s="962"/>
      <c r="I50" s="664"/>
      <c r="J50" s="22">
        <v>7275</v>
      </c>
      <c r="K50" s="92">
        <f>890+3680+1013</f>
        <v>5583</v>
      </c>
      <c r="L50" s="92">
        <f>2693+7+340</f>
        <v>3040</v>
      </c>
      <c r="M50" s="119"/>
      <c r="N50" s="118"/>
      <c r="O50" s="903">
        <f t="shared" si="6"/>
        <v>1.0741872315121441</v>
      </c>
      <c r="P50" s="747"/>
    </row>
    <row r="51" spans="1:17" ht="15.6">
      <c r="A51" s="68" t="s">
        <v>58</v>
      </c>
      <c r="B51" s="1034">
        <f>59734+65037+69566+76869+85180+98871+84349+95878+74900+91720+96454+90939</f>
        <v>989497</v>
      </c>
      <c r="C51" s="1409">
        <v>59734</v>
      </c>
      <c r="D51" s="1337">
        <f>90832</f>
        <v>90832</v>
      </c>
      <c r="E51" s="620">
        <f t="shared" si="11"/>
        <v>90832</v>
      </c>
      <c r="F51" s="104">
        <v>34742</v>
      </c>
      <c r="G51" s="104">
        <v>36270</v>
      </c>
      <c r="H51" s="104"/>
      <c r="I51" s="1037"/>
      <c r="J51" s="104">
        <v>19820</v>
      </c>
      <c r="K51" s="1056">
        <v>13086</v>
      </c>
      <c r="L51" s="1056">
        <f>26544+19+3800</f>
        <v>30363</v>
      </c>
      <c r="M51" s="119"/>
      <c r="N51" s="118"/>
      <c r="O51" s="903">
        <f t="shared" si="6"/>
        <v>1.5206080289282486</v>
      </c>
      <c r="P51" s="707"/>
    </row>
    <row r="52" spans="1:17" ht="15.6">
      <c r="A52" s="68" t="s">
        <v>59</v>
      </c>
      <c r="B52" s="1034">
        <f>47624+41548+39771+61527+61540+40461+59109+75205+60419+66567+64451+64941</f>
        <v>683163</v>
      </c>
      <c r="C52" s="1409">
        <f>47624</f>
        <v>47624</v>
      </c>
      <c r="D52" s="1337">
        <f>85962</f>
        <v>85962</v>
      </c>
      <c r="E52" s="620">
        <f t="shared" si="11"/>
        <v>85962</v>
      </c>
      <c r="F52" s="104">
        <v>43756</v>
      </c>
      <c r="G52" s="104">
        <v>36724</v>
      </c>
      <c r="H52" s="104">
        <v>300</v>
      </c>
      <c r="I52" s="104"/>
      <c r="J52" s="104">
        <v>5182</v>
      </c>
      <c r="K52" s="1118">
        <v>11382</v>
      </c>
      <c r="L52" s="1118">
        <f>40818+13+300+750</f>
        <v>41881</v>
      </c>
      <c r="M52" s="1118">
        <v>1547</v>
      </c>
      <c r="N52" s="1020">
        <v>83604</v>
      </c>
      <c r="O52" s="903">
        <f t="shared" si="6"/>
        <v>1.8050142785150345</v>
      </c>
      <c r="P52" s="707"/>
    </row>
    <row r="53" spans="1:17" ht="15.6">
      <c r="A53" s="68" t="s">
        <v>60</v>
      </c>
      <c r="H53" s="1419"/>
      <c r="I53" s="1419"/>
      <c r="J53" s="1433"/>
      <c r="K53" s="1434"/>
      <c r="L53" s="1434"/>
      <c r="M53" s="1434"/>
      <c r="N53" s="1435"/>
      <c r="O53" s="903">
        <f>+D54/C54</f>
        <v>0.23951648049177696</v>
      </c>
      <c r="P53" s="1272"/>
    </row>
    <row r="54" spans="1:17" ht="15.6">
      <c r="A54" s="1242" t="s">
        <v>61</v>
      </c>
      <c r="B54" s="1004">
        <v>1755236</v>
      </c>
      <c r="C54" s="1420">
        <v>653955</v>
      </c>
      <c r="D54" s="1078">
        <v>156633</v>
      </c>
      <c r="E54" s="1421">
        <f>SUM(F54:J54)</f>
        <v>156633</v>
      </c>
      <c r="F54" s="1422">
        <v>68914</v>
      </c>
      <c r="G54" s="1422">
        <v>75587</v>
      </c>
      <c r="H54" s="1423"/>
      <c r="I54" s="1436"/>
      <c r="J54" s="1437">
        <v>12132</v>
      </c>
      <c r="K54" s="119"/>
      <c r="L54" s="119"/>
      <c r="M54" s="119"/>
      <c r="N54" s="118"/>
      <c r="O54" s="1438"/>
      <c r="P54" s="1439"/>
      <c r="Q54" s="755"/>
    </row>
    <row r="55" spans="1:17" ht="15.6">
      <c r="H55" s="260"/>
      <c r="I55" s="1388"/>
      <c r="J55" s="1043"/>
      <c r="K55" s="119"/>
      <c r="L55" s="119"/>
      <c r="M55" s="119"/>
      <c r="N55" s="118"/>
      <c r="O55" s="903"/>
      <c r="P55" s="742"/>
      <c r="Q55" s="755"/>
    </row>
    <row r="56" spans="1:17" ht="15.6">
      <c r="A56" s="140" t="s">
        <v>62</v>
      </c>
      <c r="B56" s="142">
        <f>SUM(B57:B64)</f>
        <v>55955</v>
      </c>
      <c r="C56" s="1044">
        <f>SUM(C57:C64)</f>
        <v>4746</v>
      </c>
      <c r="D56" s="142">
        <f>SUM(D57:D64)</f>
        <v>2950</v>
      </c>
      <c r="E56" s="970">
        <f t="shared" ref="E56" si="12">SUM(E57:E64)</f>
        <v>2950</v>
      </c>
      <c r="F56" s="142"/>
      <c r="G56" s="142"/>
      <c r="H56" s="970">
        <f t="shared" ref="H56:N56" si="13">SUM(H57:H64)</f>
        <v>1454</v>
      </c>
      <c r="I56" s="970">
        <f t="shared" si="13"/>
        <v>1496</v>
      </c>
      <c r="J56" s="142"/>
      <c r="K56" s="970">
        <f t="shared" si="13"/>
        <v>1444</v>
      </c>
      <c r="L56" s="970">
        <f t="shared" si="13"/>
        <v>972</v>
      </c>
      <c r="M56" s="970">
        <f t="shared" si="13"/>
        <v>0</v>
      </c>
      <c r="N56" s="970">
        <f t="shared" si="13"/>
        <v>2118</v>
      </c>
      <c r="O56" s="842">
        <f t="shared" si="6"/>
        <v>0.62157606405394017</v>
      </c>
      <c r="P56" s="707"/>
    </row>
    <row r="57" spans="1:17" ht="15.6">
      <c r="A57" s="68" t="s">
        <v>63</v>
      </c>
      <c r="B57" s="1034">
        <f>335+74+675+1816+624+522+232+273+655+1600+1480+1538</f>
        <v>9824</v>
      </c>
      <c r="C57" s="1409">
        <f>335</f>
        <v>335</v>
      </c>
      <c r="D57" s="1361">
        <f>742</f>
        <v>742</v>
      </c>
      <c r="E57" s="620">
        <f>SUM(F57:J57)</f>
        <v>742</v>
      </c>
      <c r="F57" s="971"/>
      <c r="G57" s="104"/>
      <c r="H57" s="972">
        <v>366</v>
      </c>
      <c r="I57" s="104">
        <v>376</v>
      </c>
      <c r="J57" s="104"/>
      <c r="K57" s="119">
        <v>26</v>
      </c>
      <c r="L57" s="119"/>
      <c r="M57" s="119"/>
      <c r="N57" s="118"/>
      <c r="O57" s="903">
        <f t="shared" si="6"/>
        <v>2.2149253731343284</v>
      </c>
      <c r="P57" s="707"/>
    </row>
    <row r="58" spans="1:17" ht="15.6">
      <c r="A58" s="68" t="s">
        <v>64</v>
      </c>
      <c r="B58" s="1200"/>
      <c r="C58" s="1299"/>
      <c r="D58" s="1362"/>
      <c r="E58" s="620">
        <f t="shared" ref="E58:E64" si="14">SUM(F58:J58)</f>
        <v>0</v>
      </c>
      <c r="F58" s="974"/>
      <c r="G58" s="620"/>
      <c r="H58" s="104"/>
      <c r="I58" s="104"/>
      <c r="J58" s="104"/>
      <c r="K58" s="119"/>
      <c r="L58" s="119"/>
      <c r="M58" s="119"/>
      <c r="N58" s="118"/>
      <c r="O58" s="903"/>
      <c r="P58" s="707"/>
    </row>
    <row r="59" spans="1:17" ht="15.6">
      <c r="A59" s="68" t="s">
        <v>65</v>
      </c>
      <c r="B59" s="1034">
        <f>1670+1062+1129+1350+1391+1439+1192+1252+1332+1078+1196+1258</f>
        <v>15349</v>
      </c>
      <c r="C59" s="1409">
        <f>1670</f>
        <v>1670</v>
      </c>
      <c r="D59" s="1361">
        <f>392</f>
        <v>392</v>
      </c>
      <c r="E59" s="620">
        <f t="shared" si="14"/>
        <v>392</v>
      </c>
      <c r="F59" s="972"/>
      <c r="G59" s="620"/>
      <c r="H59" s="104">
        <v>172</v>
      </c>
      <c r="I59" s="104">
        <v>220</v>
      </c>
      <c r="J59" s="104"/>
      <c r="K59" s="119">
        <f>45+91</f>
        <v>136</v>
      </c>
      <c r="L59" s="119">
        <f>73+71</f>
        <v>144</v>
      </c>
      <c r="M59" s="119"/>
      <c r="N59" s="118">
        <v>392</v>
      </c>
      <c r="O59" s="903">
        <f t="shared" si="6"/>
        <v>0.2347305389221557</v>
      </c>
      <c r="P59" s="707"/>
    </row>
    <row r="60" spans="1:17" ht="15.6">
      <c r="A60" s="68" t="s">
        <v>66</v>
      </c>
      <c r="B60" s="1200">
        <f>1089+517+1381+2546+1336+1503+1713+1785+1646+1436+909+1418</f>
        <v>17279</v>
      </c>
      <c r="C60" s="1299">
        <f>1089</f>
        <v>1089</v>
      </c>
      <c r="D60" s="1362">
        <f>892</f>
        <v>892</v>
      </c>
      <c r="E60" s="620">
        <f t="shared" si="14"/>
        <v>892</v>
      </c>
      <c r="F60" s="974"/>
      <c r="G60" s="620"/>
      <c r="H60" s="104">
        <v>468</v>
      </c>
      <c r="I60" s="104">
        <v>424</v>
      </c>
      <c r="J60" s="104"/>
      <c r="K60" s="1056">
        <v>802</v>
      </c>
      <c r="L60" s="1056">
        <f>467+35</f>
        <v>502</v>
      </c>
      <c r="M60" s="119"/>
      <c r="N60" s="118">
        <v>802</v>
      </c>
      <c r="O60" s="903">
        <f t="shared" si="6"/>
        <v>0.81910009182736454</v>
      </c>
      <c r="P60" s="707"/>
    </row>
    <row r="61" spans="1:17" ht="15.6">
      <c r="A61" s="758" t="s">
        <v>67</v>
      </c>
      <c r="B61" s="270"/>
      <c r="C61" s="1102"/>
      <c r="D61" s="929"/>
      <c r="E61" s="620">
        <f t="shared" si="14"/>
        <v>0</v>
      </c>
      <c r="F61" s="1045"/>
      <c r="G61" s="620"/>
      <c r="H61" s="104"/>
      <c r="I61" s="104"/>
      <c r="J61" s="104"/>
      <c r="K61" s="119"/>
      <c r="L61" s="119"/>
      <c r="M61" s="119"/>
      <c r="N61" s="118"/>
      <c r="O61" s="903"/>
      <c r="P61" s="707"/>
    </row>
    <row r="62" spans="1:17" ht="15.6">
      <c r="A62" s="68" t="s">
        <v>68</v>
      </c>
      <c r="B62" s="1200">
        <f>949+632+800+680+378+254+120+150+155+159+135+133</f>
        <v>4545</v>
      </c>
      <c r="C62" s="1299">
        <f>949</f>
        <v>949</v>
      </c>
      <c r="D62" s="974">
        <f>290</f>
        <v>290</v>
      </c>
      <c r="E62" s="620">
        <f t="shared" si="14"/>
        <v>290</v>
      </c>
      <c r="F62" s="974"/>
      <c r="G62" s="620"/>
      <c r="H62" s="104">
        <v>150</v>
      </c>
      <c r="I62" s="104">
        <v>140</v>
      </c>
      <c r="J62" s="104"/>
      <c r="K62" s="1056">
        <v>290</v>
      </c>
      <c r="L62" s="1056">
        <f>150</f>
        <v>150</v>
      </c>
      <c r="M62" s="119"/>
      <c r="N62" s="118">
        <v>290</v>
      </c>
      <c r="O62" s="903">
        <f t="shared" si="6"/>
        <v>0.30558482613277133</v>
      </c>
      <c r="P62" s="707"/>
    </row>
    <row r="63" spans="1:17" ht="15.6">
      <c r="A63" s="614" t="s">
        <v>69</v>
      </c>
      <c r="B63" s="1034"/>
      <c r="C63" s="1424"/>
      <c r="D63" s="1361"/>
      <c r="E63" s="620">
        <f t="shared" si="14"/>
        <v>0</v>
      </c>
      <c r="F63" s="972"/>
      <c r="G63" s="1047"/>
      <c r="H63" s="664"/>
      <c r="I63" s="664"/>
      <c r="J63" s="664"/>
      <c r="K63" s="259"/>
      <c r="L63" s="259"/>
      <c r="M63" s="259"/>
      <c r="N63" s="1009"/>
      <c r="O63" s="903"/>
      <c r="P63" s="707"/>
    </row>
    <row r="64" spans="1:17" ht="15.6">
      <c r="A64" s="68" t="s">
        <v>70</v>
      </c>
      <c r="B64" s="1034">
        <f>703+210+509+267+526+508+670+637+1462+1836+801+829</f>
        <v>8958</v>
      </c>
      <c r="C64" s="1409">
        <f>703</f>
        <v>703</v>
      </c>
      <c r="D64" s="1361">
        <v>634</v>
      </c>
      <c r="E64" s="620">
        <f t="shared" si="14"/>
        <v>634</v>
      </c>
      <c r="F64" s="104"/>
      <c r="G64" s="104"/>
      <c r="H64" s="104">
        <v>298</v>
      </c>
      <c r="I64" s="104">
        <v>336</v>
      </c>
      <c r="J64" s="104"/>
      <c r="K64" s="1056">
        <f>156+34</f>
        <v>190</v>
      </c>
      <c r="L64" s="1056">
        <f>176</f>
        <v>176</v>
      </c>
      <c r="M64" s="1056"/>
      <c r="N64" s="1022">
        <v>634</v>
      </c>
      <c r="O64" s="903">
        <f t="shared" si="6"/>
        <v>0.9018492176386913</v>
      </c>
      <c r="P64" s="707"/>
      <c r="Q64" s="754"/>
    </row>
    <row r="65" spans="1:17" ht="15.6">
      <c r="A65" s="231"/>
      <c r="B65" s="763"/>
      <c r="C65" s="1440"/>
      <c r="D65" s="763"/>
      <c r="E65" s="1049"/>
      <c r="F65" s="1050"/>
      <c r="G65" s="1051"/>
      <c r="H65" s="1050"/>
      <c r="I65" s="1050"/>
      <c r="J65" s="1050"/>
      <c r="K65" s="1050"/>
      <c r="L65" s="1050"/>
      <c r="M65" s="1050"/>
      <c r="N65" s="1061"/>
      <c r="O65" s="1389"/>
      <c r="P65" s="707"/>
    </row>
    <row r="66" spans="1:17" ht="15">
      <c r="A66" s="235" t="s">
        <v>71</v>
      </c>
      <c r="B66" s="236">
        <f>B6+B27+B33+B46+B56</f>
        <v>19294570</v>
      </c>
      <c r="C66" s="1441">
        <f>C6+C27+C33+C46+C56</f>
        <v>1608910</v>
      </c>
      <c r="D66" s="236">
        <f>D6+D27+D33+D46+D56</f>
        <v>1737613</v>
      </c>
      <c r="E66" s="1053">
        <f>E6+E27+E33+E46+E56</f>
        <v>1737613</v>
      </c>
      <c r="F66" s="236">
        <f>F6+F27+F33+F46+F56</f>
        <v>731418</v>
      </c>
      <c r="G66" s="236">
        <f t="shared" ref="G66:N66" si="15">G6+G27+F33+G46+G56</f>
        <v>709974</v>
      </c>
      <c r="H66" s="236">
        <f t="shared" si="15"/>
        <v>259612</v>
      </c>
      <c r="I66" s="236">
        <f t="shared" si="15"/>
        <v>119185</v>
      </c>
      <c r="J66" s="236">
        <f t="shared" si="15"/>
        <v>174683</v>
      </c>
      <c r="K66" s="236">
        <f t="shared" si="15"/>
        <v>117507</v>
      </c>
      <c r="L66" s="236">
        <f t="shared" si="15"/>
        <v>301767</v>
      </c>
      <c r="M66" s="236">
        <f t="shared" si="15"/>
        <v>48252</v>
      </c>
      <c r="N66" s="867">
        <f t="shared" si="15"/>
        <v>108131</v>
      </c>
      <c r="O66" s="1062">
        <f t="shared" si="6"/>
        <v>1.0799939089197035</v>
      </c>
      <c r="P66" s="783"/>
    </row>
    <row r="67" spans="1:17">
      <c r="A67" s="1390" t="s">
        <v>72</v>
      </c>
      <c r="B67" s="1391">
        <f>+B66+B26+B44+B54</f>
        <v>24051041</v>
      </c>
      <c r="C67" s="1391">
        <f>+C66+C26+C44+C54</f>
        <v>2495397</v>
      </c>
      <c r="D67" s="1391">
        <f>+D66+D26+D44+D54</f>
        <v>2141767</v>
      </c>
      <c r="E67" s="1391">
        <f>+E66+E26+E44+E54</f>
        <v>2142226</v>
      </c>
      <c r="F67" s="1054"/>
      <c r="G67" s="1054"/>
      <c r="H67" s="151"/>
      <c r="I67" s="151"/>
      <c r="J67" s="151"/>
      <c r="K67" s="151"/>
      <c r="L67" s="1054"/>
      <c r="N67" s="1054"/>
      <c r="O67" s="911"/>
    </row>
    <row r="68" spans="1:17">
      <c r="A68" s="2"/>
      <c r="B68" s="241"/>
      <c r="C68" s="241"/>
      <c r="D68" s="241"/>
      <c r="E68" s="241"/>
      <c r="F68" s="152"/>
      <c r="G68" s="152"/>
      <c r="H68" s="2"/>
      <c r="I68" s="2"/>
      <c r="J68" s="2"/>
      <c r="K68" s="2"/>
      <c r="L68" s="152"/>
      <c r="M68" s="152" t="s">
        <v>73</v>
      </c>
      <c r="N68" s="152"/>
      <c r="O68" s="2"/>
    </row>
    <row r="69" spans="1:17">
      <c r="B69" s="2"/>
      <c r="C69" s="2"/>
      <c r="D69" s="152"/>
      <c r="E69" s="2"/>
      <c r="F69" s="152"/>
      <c r="G69" s="2"/>
      <c r="H69" s="2"/>
      <c r="I69" s="2"/>
      <c r="J69" s="2"/>
      <c r="K69" s="2"/>
      <c r="L69" s="152"/>
      <c r="M69" s="152"/>
      <c r="N69" s="152"/>
      <c r="O69" s="2"/>
    </row>
    <row r="70" spans="1:17">
      <c r="B70" s="2"/>
      <c r="C70" s="2"/>
      <c r="D70" s="786" t="s">
        <v>74</v>
      </c>
      <c r="E70" s="786" t="s">
        <v>75</v>
      </c>
      <c r="F70" s="786" t="s">
        <v>76</v>
      </c>
      <c r="G70" s="786" t="s">
        <v>77</v>
      </c>
      <c r="H70" s="786" t="s">
        <v>78</v>
      </c>
      <c r="I70" s="786" t="s">
        <v>79</v>
      </c>
      <c r="J70" s="786" t="s">
        <v>80</v>
      </c>
      <c r="K70" s="786" t="s">
        <v>81</v>
      </c>
      <c r="L70" s="786" t="s">
        <v>82</v>
      </c>
      <c r="M70" s="786" t="s">
        <v>83</v>
      </c>
      <c r="N70" s="786" t="s">
        <v>84</v>
      </c>
      <c r="O70" s="786" t="s">
        <v>85</v>
      </c>
      <c r="P70" s="786" t="s">
        <v>86</v>
      </c>
    </row>
    <row r="71" spans="1:17">
      <c r="B71" s="246" t="s">
        <v>87</v>
      </c>
      <c r="C71" s="246"/>
      <c r="D71" s="1056">
        <v>1737613</v>
      </c>
      <c r="E71" s="1056"/>
      <c r="F71" s="1057"/>
      <c r="G71" s="1056"/>
      <c r="H71" s="1056"/>
      <c r="I71" s="3"/>
      <c r="J71" s="1056"/>
      <c r="K71" s="789"/>
      <c r="L71" s="1056"/>
      <c r="M71" s="789"/>
      <c r="N71" s="268"/>
      <c r="O71" s="789"/>
      <c r="P71" s="1188">
        <f>SUM(D71:O71)</f>
        <v>1737613</v>
      </c>
    </row>
    <row r="72" spans="1:17">
      <c r="A72" s="2"/>
      <c r="B72" s="249" t="s">
        <v>88</v>
      </c>
      <c r="C72" s="249"/>
      <c r="D72" s="1139"/>
      <c r="E72" s="271">
        <f t="shared" ref="E72:O72" si="16">IF(D71&gt;0,E71/D71,0)*100</f>
        <v>0</v>
      </c>
      <c r="F72" s="271">
        <f t="shared" si="16"/>
        <v>0</v>
      </c>
      <c r="G72" s="271">
        <f t="shared" si="16"/>
        <v>0</v>
      </c>
      <c r="H72" s="271">
        <f t="shared" si="16"/>
        <v>0</v>
      </c>
      <c r="I72" s="271">
        <f t="shared" si="16"/>
        <v>0</v>
      </c>
      <c r="J72" s="271">
        <f t="shared" si="16"/>
        <v>0</v>
      </c>
      <c r="K72" s="271">
        <f t="shared" si="16"/>
        <v>0</v>
      </c>
      <c r="L72" s="271">
        <f t="shared" si="16"/>
        <v>0</v>
      </c>
      <c r="M72" s="271">
        <f t="shared" si="16"/>
        <v>0</v>
      </c>
      <c r="N72" s="271">
        <f t="shared" si="16"/>
        <v>0</v>
      </c>
      <c r="O72" s="271">
        <f t="shared" si="16"/>
        <v>0</v>
      </c>
      <c r="P72" s="1189">
        <f>P71/C66</f>
        <v>1.0799939089197035</v>
      </c>
    </row>
    <row r="73" spans="1:17">
      <c r="A73" s="2"/>
      <c r="B73" s="251"/>
      <c r="C73" s="251"/>
      <c r="D73" s="251"/>
      <c r="E73" s="268"/>
      <c r="F73" s="251"/>
      <c r="G73" s="2"/>
      <c r="H73" s="2"/>
      <c r="I73" s="2"/>
      <c r="J73" s="2"/>
      <c r="K73" s="2"/>
      <c r="L73" s="2"/>
      <c r="M73" s="152"/>
      <c r="N73" s="152"/>
      <c r="O73" s="152"/>
      <c r="P73" s="2"/>
    </row>
    <row r="74" spans="1:17">
      <c r="A74" s="1442" t="s">
        <v>89</v>
      </c>
      <c r="B74" s="152"/>
      <c r="C74" s="152"/>
      <c r="D74" s="152"/>
      <c r="E74" s="152"/>
      <c r="F74" s="2"/>
      <c r="G74" s="2"/>
      <c r="H74" s="2"/>
      <c r="I74" s="2"/>
      <c r="J74" s="2"/>
      <c r="K74" s="2"/>
      <c r="L74" s="2"/>
      <c r="M74" s="152"/>
      <c r="N74" s="152"/>
      <c r="O74" s="152"/>
      <c r="P74" s="2"/>
      <c r="Q74" s="3"/>
    </row>
    <row r="75" spans="1:17">
      <c r="A75" s="2" t="s">
        <v>90</v>
      </c>
      <c r="B75" s="152"/>
      <c r="C75" s="152"/>
      <c r="D75" s="152"/>
      <c r="E75" s="152"/>
      <c r="F75" s="2"/>
      <c r="G75" s="2"/>
      <c r="H75" s="2"/>
      <c r="I75" s="2"/>
      <c r="J75" s="2"/>
      <c r="K75" s="2"/>
      <c r="L75" s="2"/>
      <c r="M75" s="152"/>
      <c r="N75" s="152"/>
      <c r="O75" s="152"/>
      <c r="P75" s="2"/>
      <c r="Q75" s="3"/>
    </row>
    <row r="76" spans="1:17">
      <c r="A76" s="1442" t="s">
        <v>91</v>
      </c>
      <c r="B76" s="152"/>
      <c r="C76" s="152"/>
      <c r="D76" s="152"/>
      <c r="E76" s="152"/>
      <c r="F76" s="2"/>
      <c r="G76" s="2"/>
      <c r="H76" s="2"/>
      <c r="I76" s="2"/>
      <c r="J76" s="2"/>
      <c r="K76" s="2"/>
      <c r="L76" s="2"/>
      <c r="M76" s="152"/>
      <c r="N76" s="152"/>
      <c r="O76" s="152"/>
      <c r="P76" s="2"/>
      <c r="Q76" s="3"/>
    </row>
    <row r="77" spans="1:17">
      <c r="A77" s="1443" t="s">
        <v>92</v>
      </c>
      <c r="B77" s="152"/>
      <c r="C77" s="152"/>
      <c r="D77" s="152"/>
      <c r="E77" s="152"/>
      <c r="F77" s="2"/>
      <c r="G77" s="2"/>
      <c r="H77" s="2"/>
      <c r="I77" s="2"/>
      <c r="J77" s="2"/>
      <c r="K77" s="2"/>
      <c r="L77" s="2"/>
      <c r="M77" s="152"/>
      <c r="N77" s="152"/>
      <c r="O77" s="152"/>
      <c r="P77" s="2"/>
      <c r="Q77" s="281"/>
    </row>
    <row r="78" spans="1:17">
      <c r="A78" s="2" t="s">
        <v>93</v>
      </c>
      <c r="B78" s="2"/>
      <c r="C78" s="2"/>
      <c r="D78" s="2"/>
      <c r="E78" s="2"/>
      <c r="F78" s="2"/>
      <c r="G78" s="2"/>
      <c r="H78" s="2"/>
      <c r="I78" s="2"/>
      <c r="K78" s="2"/>
      <c r="M78" s="152"/>
      <c r="N78" s="152"/>
      <c r="O78" s="152"/>
      <c r="P78" s="2"/>
    </row>
    <row r="79" spans="1:17">
      <c r="A79" s="2" t="s">
        <v>94</v>
      </c>
      <c r="B79" s="2"/>
      <c r="C79" s="2"/>
      <c r="D79" s="2"/>
      <c r="E79" s="2"/>
      <c r="F79" s="2"/>
      <c r="G79" s="2"/>
      <c r="H79" s="2"/>
      <c r="I79" s="2"/>
      <c r="K79" s="2"/>
      <c r="M79" s="152"/>
      <c r="N79" s="152"/>
      <c r="O79" s="273"/>
      <c r="P79" s="2"/>
    </row>
    <row r="80" spans="1:17">
      <c r="A80" s="2" t="s">
        <v>95</v>
      </c>
      <c r="B80" s="2"/>
      <c r="C80" s="2"/>
      <c r="D80" s="2"/>
      <c r="E80" s="2"/>
      <c r="F80" s="2"/>
      <c r="G80" s="2"/>
      <c r="H80" s="2"/>
      <c r="I80" s="2"/>
      <c r="K80" s="2"/>
      <c r="L80" s="2"/>
      <c r="M80" s="152"/>
      <c r="N80" s="152"/>
      <c r="O80" s="152"/>
      <c r="P80" s="2"/>
    </row>
    <row r="83" spans="1:15" ht="15.6">
      <c r="B83" s="875" t="s">
        <v>96</v>
      </c>
      <c r="C83" s="875"/>
      <c r="D83" s="875"/>
      <c r="E83" s="875"/>
      <c r="F83" s="875"/>
      <c r="G83" s="875"/>
      <c r="H83" s="875"/>
      <c r="I83" s="875"/>
      <c r="J83" s="875"/>
      <c r="K83" s="875"/>
      <c r="L83" s="875"/>
      <c r="M83" s="875"/>
      <c r="N83" s="875"/>
      <c r="O83" s="875"/>
    </row>
    <row r="84" spans="1:15">
      <c r="A84" s="775" t="s">
        <v>97</v>
      </c>
      <c r="B84" s="776" t="s">
        <v>74</v>
      </c>
      <c r="C84" s="776" t="s">
        <v>75</v>
      </c>
      <c r="D84" s="776" t="s">
        <v>76</v>
      </c>
      <c r="E84" s="776" t="s">
        <v>77</v>
      </c>
      <c r="F84" s="776" t="s">
        <v>78</v>
      </c>
      <c r="G84" s="776" t="s">
        <v>79</v>
      </c>
      <c r="H84" s="776" t="s">
        <v>80</v>
      </c>
      <c r="I84" s="776" t="s">
        <v>81</v>
      </c>
      <c r="J84" s="776" t="s">
        <v>82</v>
      </c>
      <c r="K84" s="776" t="s">
        <v>83</v>
      </c>
      <c r="L84" s="776" t="s">
        <v>84</v>
      </c>
      <c r="M84" s="776" t="s">
        <v>85</v>
      </c>
      <c r="N84" s="776" t="s">
        <v>86</v>
      </c>
      <c r="O84" s="775" t="s">
        <v>98</v>
      </c>
    </row>
    <row r="85" spans="1:15">
      <c r="A85" s="876" t="s">
        <v>99</v>
      </c>
      <c r="B85" s="877">
        <v>5672894</v>
      </c>
      <c r="C85" s="889"/>
      <c r="D85" s="889"/>
      <c r="E85" s="889"/>
      <c r="F85" s="889"/>
      <c r="G85" s="889"/>
      <c r="H85" s="889"/>
      <c r="I85" s="889"/>
      <c r="J85" s="889"/>
      <c r="K85" s="889"/>
      <c r="L85" s="889"/>
      <c r="M85" s="889"/>
      <c r="N85" s="1058">
        <f>SUM(B85:M85)</f>
        <v>5672894</v>
      </c>
      <c r="O85" s="886">
        <f>N85/$N$85%</f>
        <v>100</v>
      </c>
    </row>
    <row r="86" spans="1:15">
      <c r="A86" s="259" t="s">
        <v>100</v>
      </c>
      <c r="B86" s="260">
        <v>1809898</v>
      </c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1280">
        <f t="shared" ref="N86:N101" si="17">SUM(B86:M86)</f>
        <v>1809898</v>
      </c>
      <c r="O86" s="1281">
        <f t="shared" ref="O86:O92" si="18">N86/$N$85%</f>
        <v>31.904315504573148</v>
      </c>
    </row>
    <row r="87" spans="1:15">
      <c r="A87" s="259" t="s">
        <v>101</v>
      </c>
      <c r="B87" s="260">
        <v>216643</v>
      </c>
      <c r="C87" s="259"/>
      <c r="D87" s="259"/>
      <c r="E87" s="259"/>
      <c r="F87" s="259"/>
      <c r="G87" s="259"/>
      <c r="H87" s="259"/>
      <c r="I87" s="259"/>
      <c r="J87" s="259"/>
      <c r="K87" s="259"/>
      <c r="L87" s="259"/>
      <c r="M87" s="259"/>
      <c r="N87" s="1280">
        <f t="shared" si="17"/>
        <v>216643</v>
      </c>
      <c r="O87" s="1281">
        <f t="shared" si="18"/>
        <v>3.8189150017610056</v>
      </c>
    </row>
    <row r="88" spans="1:15">
      <c r="A88" s="259" t="s">
        <v>102</v>
      </c>
      <c r="B88" s="260">
        <v>1371301</v>
      </c>
      <c r="C88" s="259"/>
      <c r="D88" s="259"/>
      <c r="E88" s="259"/>
      <c r="F88" s="259"/>
      <c r="G88" s="259"/>
      <c r="H88" s="259"/>
      <c r="I88" s="259"/>
      <c r="J88" s="259"/>
      <c r="K88" s="259"/>
      <c r="L88" s="259"/>
      <c r="M88" s="259"/>
      <c r="N88" s="1280">
        <f t="shared" si="17"/>
        <v>1371301</v>
      </c>
      <c r="O88" s="1281">
        <f t="shared" si="18"/>
        <v>24.172864855222041</v>
      </c>
    </row>
    <row r="89" spans="1:15">
      <c r="A89" s="259" t="s">
        <v>103</v>
      </c>
      <c r="B89" s="260">
        <v>758783</v>
      </c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1280">
        <f t="shared" si="17"/>
        <v>758783</v>
      </c>
      <c r="O89" s="1281">
        <f t="shared" si="18"/>
        <v>13.375589249508275</v>
      </c>
    </row>
    <row r="90" spans="1:15">
      <c r="A90" s="259" t="s">
        <v>104</v>
      </c>
      <c r="B90" s="260">
        <v>663451</v>
      </c>
      <c r="C90" s="259"/>
      <c r="D90" s="259"/>
      <c r="E90" s="259"/>
      <c r="F90" s="259"/>
      <c r="G90" s="259"/>
      <c r="H90" s="259"/>
      <c r="I90" s="259"/>
      <c r="J90" s="259"/>
      <c r="K90" s="259"/>
      <c r="L90" s="259"/>
      <c r="M90" s="259"/>
      <c r="N90" s="1280">
        <f t="shared" si="17"/>
        <v>663451</v>
      </c>
      <c r="O90" s="1281">
        <f t="shared" si="18"/>
        <v>11.695106589335179</v>
      </c>
    </row>
    <row r="91" spans="1:15">
      <c r="A91" s="259" t="s">
        <v>105</v>
      </c>
      <c r="B91" s="260">
        <v>94829</v>
      </c>
      <c r="C91" s="259"/>
      <c r="D91" s="259"/>
      <c r="E91" s="259"/>
      <c r="F91" s="259"/>
      <c r="G91" s="259"/>
      <c r="H91" s="259"/>
      <c r="I91" s="259"/>
      <c r="J91" s="259"/>
      <c r="K91" s="259"/>
      <c r="L91" s="259"/>
      <c r="M91" s="259"/>
      <c r="N91" s="1280">
        <f t="shared" si="17"/>
        <v>94829</v>
      </c>
      <c r="O91" s="1281">
        <f t="shared" si="18"/>
        <v>1.6716159335957979</v>
      </c>
    </row>
    <row r="92" spans="1:15">
      <c r="A92" s="259" t="s">
        <v>58</v>
      </c>
      <c r="B92" s="260">
        <v>644996</v>
      </c>
      <c r="C92" s="259"/>
      <c r="D92" s="259"/>
      <c r="E92" s="259"/>
      <c r="F92" s="259"/>
      <c r="G92" s="259"/>
      <c r="H92" s="259"/>
      <c r="I92" s="259"/>
      <c r="J92" s="259"/>
      <c r="K92" s="259"/>
      <c r="L92" s="259"/>
      <c r="M92" s="259"/>
      <c r="N92" s="1280">
        <f t="shared" si="17"/>
        <v>644996</v>
      </c>
      <c r="O92" s="1281">
        <f t="shared" si="18"/>
        <v>11.369787625152171</v>
      </c>
    </row>
    <row r="93" spans="1:15">
      <c r="A93" s="879" t="s">
        <v>106</v>
      </c>
      <c r="B93" s="878">
        <v>6857452</v>
      </c>
      <c r="C93" s="259"/>
      <c r="D93" s="259"/>
      <c r="E93" s="259"/>
      <c r="F93" s="259"/>
      <c r="G93" s="259"/>
      <c r="H93" s="259"/>
      <c r="I93" s="259"/>
      <c r="J93" s="259"/>
      <c r="K93" s="259"/>
      <c r="L93" s="259"/>
      <c r="M93" s="259"/>
      <c r="N93" s="1058">
        <f t="shared" si="17"/>
        <v>6857452</v>
      </c>
      <c r="O93" s="886">
        <f>N93/$N$93%</f>
        <v>100</v>
      </c>
    </row>
    <row r="94" spans="1:15">
      <c r="A94" s="259" t="s">
        <v>100</v>
      </c>
      <c r="B94" s="260">
        <v>2135077</v>
      </c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1280">
        <f t="shared" si="17"/>
        <v>2135077</v>
      </c>
      <c r="O94" s="888">
        <f t="shared" ref="O94:O100" si="19">N94/$N$93%</f>
        <v>31.135135907622828</v>
      </c>
    </row>
    <row r="95" spans="1:15">
      <c r="A95" s="259" t="s">
        <v>101</v>
      </c>
      <c r="B95" s="260">
        <v>263002</v>
      </c>
      <c r="C95" s="259"/>
      <c r="D95" s="259"/>
      <c r="E95" s="259"/>
      <c r="F95" s="259"/>
      <c r="G95" s="259"/>
      <c r="H95" s="259"/>
      <c r="I95" s="259"/>
      <c r="J95" s="259"/>
      <c r="K95" s="259"/>
      <c r="L95" s="259"/>
      <c r="M95" s="259"/>
      <c r="N95" s="1280">
        <f t="shared" si="17"/>
        <v>263002</v>
      </c>
      <c r="O95" s="888">
        <f t="shared" si="19"/>
        <v>3.8352729264455658</v>
      </c>
    </row>
    <row r="96" spans="1:15">
      <c r="A96" s="259" t="s">
        <v>102</v>
      </c>
      <c r="B96" s="260">
        <v>1600519</v>
      </c>
      <c r="C96" s="259"/>
      <c r="D96" s="259"/>
      <c r="E96" s="259"/>
      <c r="F96" s="259"/>
      <c r="G96" s="259"/>
      <c r="H96" s="259"/>
      <c r="I96" s="259"/>
      <c r="J96" s="259"/>
      <c r="K96" s="259"/>
      <c r="L96" s="259"/>
      <c r="M96" s="259"/>
      <c r="N96" s="1280">
        <f t="shared" si="17"/>
        <v>1600519</v>
      </c>
      <c r="O96" s="888">
        <f t="shared" si="19"/>
        <v>23.339849845102815</v>
      </c>
    </row>
    <row r="97" spans="1:15">
      <c r="A97" s="259" t="s">
        <v>103</v>
      </c>
      <c r="B97" s="260">
        <v>906127</v>
      </c>
      <c r="C97" s="259"/>
      <c r="D97" s="259"/>
      <c r="E97" s="259"/>
      <c r="F97" s="259"/>
      <c r="G97" s="259"/>
      <c r="H97" s="259"/>
      <c r="I97" s="259"/>
      <c r="J97" s="259"/>
      <c r="K97" s="259"/>
      <c r="L97" s="259"/>
      <c r="M97" s="259"/>
      <c r="N97" s="1280">
        <f t="shared" si="17"/>
        <v>906127</v>
      </c>
      <c r="O97" s="888">
        <f t="shared" si="19"/>
        <v>13.213756363150628</v>
      </c>
    </row>
    <row r="98" spans="1:15">
      <c r="A98" s="259" t="s">
        <v>104</v>
      </c>
      <c r="B98" s="260">
        <v>910303</v>
      </c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1280">
        <f t="shared" si="17"/>
        <v>910303</v>
      </c>
      <c r="O98" s="888">
        <f t="shared" si="19"/>
        <v>13.274653617699402</v>
      </c>
    </row>
    <row r="99" spans="1:15">
      <c r="A99" s="259" t="s">
        <v>105</v>
      </c>
      <c r="B99" s="260">
        <v>73110</v>
      </c>
      <c r="C99" s="259"/>
      <c r="D99" s="259"/>
      <c r="E99" s="259"/>
      <c r="F99" s="259"/>
      <c r="G99" s="259"/>
      <c r="H99" s="259"/>
      <c r="I99" s="259"/>
      <c r="J99" s="259"/>
      <c r="K99" s="259"/>
      <c r="L99" s="259"/>
      <c r="M99" s="259"/>
      <c r="N99" s="1280">
        <f t="shared" si="17"/>
        <v>73110</v>
      </c>
      <c r="O99" s="888">
        <f t="shared" si="19"/>
        <v>1.0661394348804774</v>
      </c>
    </row>
    <row r="100" spans="1:15">
      <c r="A100" s="259" t="s">
        <v>58</v>
      </c>
      <c r="B100" s="260">
        <v>917981</v>
      </c>
      <c r="C100" s="259"/>
      <c r="D100" s="259"/>
      <c r="E100" s="259"/>
      <c r="F100" s="259"/>
      <c r="G100" s="259"/>
      <c r="H100" s="259"/>
      <c r="I100" s="259"/>
      <c r="J100" s="259"/>
      <c r="K100" s="259"/>
      <c r="L100" s="259"/>
      <c r="M100" s="259"/>
      <c r="N100" s="1280">
        <f t="shared" si="17"/>
        <v>917981</v>
      </c>
      <c r="O100" s="888">
        <f t="shared" si="19"/>
        <v>13.386619403241903</v>
      </c>
    </row>
    <row r="101" spans="1:15">
      <c r="A101" s="880" t="s">
        <v>107</v>
      </c>
      <c r="B101" s="881">
        <f>B85+B93</f>
        <v>12530346</v>
      </c>
      <c r="C101" s="881">
        <f t="shared" ref="C101:M101" si="20">C85+C93</f>
        <v>0</v>
      </c>
      <c r="D101" s="881">
        <f t="shared" si="20"/>
        <v>0</v>
      </c>
      <c r="E101" s="881">
        <f t="shared" si="20"/>
        <v>0</v>
      </c>
      <c r="F101" s="881">
        <f t="shared" si="20"/>
        <v>0</v>
      </c>
      <c r="G101" s="881">
        <f t="shared" si="20"/>
        <v>0</v>
      </c>
      <c r="H101" s="881">
        <f t="shared" si="20"/>
        <v>0</v>
      </c>
      <c r="I101" s="881">
        <f t="shared" si="20"/>
        <v>0</v>
      </c>
      <c r="J101" s="881">
        <f t="shared" si="20"/>
        <v>0</v>
      </c>
      <c r="K101" s="881">
        <f t="shared" si="20"/>
        <v>0</v>
      </c>
      <c r="L101" s="881">
        <f t="shared" si="20"/>
        <v>0</v>
      </c>
      <c r="M101" s="881">
        <f t="shared" si="20"/>
        <v>0</v>
      </c>
      <c r="N101" s="881">
        <f t="shared" si="17"/>
        <v>12530346</v>
      </c>
      <c r="O101" s="25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1"/>
  <sheetViews>
    <sheetView workbookViewId="0">
      <selection activeCell="D12" sqref="D12"/>
    </sheetView>
  </sheetViews>
  <sheetFormatPr defaultColWidth="9" defaultRowHeight="14.4"/>
  <sheetData>
    <row r="1" spans="1:17" ht="15">
      <c r="A1" s="586" t="s">
        <v>108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  <c r="L1" s="586"/>
      <c r="M1" s="586"/>
      <c r="N1" s="586"/>
      <c r="O1" s="586"/>
      <c r="P1" s="151"/>
      <c r="Q1" s="221"/>
    </row>
    <row r="2" spans="1:1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52"/>
      <c r="N2" s="152"/>
      <c r="O2" s="152"/>
      <c r="P2" s="2"/>
    </row>
    <row r="3" spans="1:17" ht="41.4">
      <c r="A3" s="587" t="s">
        <v>1</v>
      </c>
      <c r="B3" s="1283" t="s">
        <v>2</v>
      </c>
      <c r="C3" s="1284" t="s">
        <v>109</v>
      </c>
      <c r="D3" s="1285" t="s">
        <v>110</v>
      </c>
      <c r="E3" s="1286" t="s">
        <v>111</v>
      </c>
      <c r="F3" s="1287"/>
      <c r="G3" s="1287"/>
      <c r="H3" s="1287"/>
      <c r="I3" s="1287"/>
      <c r="J3" s="1287"/>
      <c r="K3" s="1287"/>
      <c r="L3" s="1287"/>
      <c r="M3" s="1287"/>
      <c r="N3" s="1368"/>
      <c r="O3" s="706" t="s">
        <v>112</v>
      </c>
      <c r="P3" s="707"/>
    </row>
    <row r="4" spans="1:17" ht="28.8">
      <c r="A4" s="593"/>
      <c r="B4" s="1288"/>
      <c r="C4" s="1289"/>
      <c r="D4" s="1290"/>
      <c r="E4" s="1291" t="s">
        <v>7</v>
      </c>
      <c r="F4" s="1292" t="s">
        <v>8</v>
      </c>
      <c r="G4" s="1292" t="s">
        <v>9</v>
      </c>
      <c r="H4" s="1292" t="s">
        <v>10</v>
      </c>
      <c r="I4" s="1292" t="s">
        <v>11</v>
      </c>
      <c r="J4" s="1369" t="s">
        <v>12</v>
      </c>
      <c r="K4" s="1370" t="s">
        <v>13</v>
      </c>
      <c r="L4" s="1370" t="s">
        <v>14</v>
      </c>
      <c r="M4" s="1371" t="s">
        <v>15</v>
      </c>
      <c r="N4" s="1372" t="s">
        <v>16</v>
      </c>
      <c r="O4" s="712"/>
      <c r="P4" s="707"/>
    </row>
    <row r="5" spans="1:17" ht="15.6">
      <c r="A5" s="1293"/>
      <c r="B5" s="1294"/>
      <c r="C5" s="1295"/>
      <c r="D5" s="1294"/>
      <c r="E5" s="1295"/>
      <c r="F5" s="1294"/>
      <c r="G5" s="1294"/>
      <c r="H5" s="1294"/>
      <c r="I5" s="1294"/>
      <c r="J5" s="1373"/>
      <c r="K5" s="1294"/>
      <c r="L5" s="1374"/>
      <c r="M5" s="1375"/>
      <c r="N5" s="1376"/>
      <c r="O5" s="775" t="s">
        <v>98</v>
      </c>
      <c r="P5" s="707"/>
    </row>
    <row r="6" spans="1:17" ht="15">
      <c r="A6" s="13" t="s">
        <v>17</v>
      </c>
      <c r="B6" s="94">
        <f>SUM(B8:B17)</f>
        <v>4976683</v>
      </c>
      <c r="C6" s="1296">
        <v>773066</v>
      </c>
      <c r="D6" s="1297">
        <f>SUM(D9:D17)</f>
        <v>734552</v>
      </c>
      <c r="E6" s="1064">
        <f>SUM(E8:E17)</f>
        <v>296942</v>
      </c>
      <c r="F6" s="1199">
        <f t="shared" ref="F6:N6" si="0">SUM(F8:F18)</f>
        <v>134369</v>
      </c>
      <c r="G6" s="1199">
        <f t="shared" si="0"/>
        <v>126807</v>
      </c>
      <c r="H6" s="1199">
        <f t="shared" si="0"/>
        <v>12120</v>
      </c>
      <c r="I6" s="1199">
        <f t="shared" si="0"/>
        <v>15688</v>
      </c>
      <c r="J6" s="1199">
        <f t="shared" si="0"/>
        <v>0</v>
      </c>
      <c r="K6" s="1377">
        <f t="shared" si="0"/>
        <v>35949</v>
      </c>
      <c r="L6" s="1377">
        <f t="shared" si="0"/>
        <v>7161</v>
      </c>
      <c r="M6" s="1377">
        <f t="shared" si="0"/>
        <v>4</v>
      </c>
      <c r="N6" s="1377">
        <f t="shared" si="0"/>
        <v>541</v>
      </c>
      <c r="O6" s="849">
        <f>+D6/C6</f>
        <v>0.95018019160071709</v>
      </c>
      <c r="P6" s="717"/>
    </row>
    <row r="7" spans="1:17" ht="15">
      <c r="A7" s="1298" t="s">
        <v>18</v>
      </c>
      <c r="B7" s="1200"/>
      <c r="C7" s="1299"/>
      <c r="D7" s="1300"/>
      <c r="E7" s="620">
        <f>SUM(F7:J7)</f>
        <v>0</v>
      </c>
      <c r="F7" s="664"/>
      <c r="G7" s="664"/>
      <c r="H7" s="664"/>
      <c r="I7" s="664"/>
      <c r="J7" s="664"/>
      <c r="K7" s="259"/>
      <c r="L7" s="259"/>
      <c r="M7" s="259"/>
      <c r="N7" s="1009"/>
      <c r="O7" s="903"/>
      <c r="P7" s="717"/>
    </row>
    <row r="8" spans="1:17" ht="15.6">
      <c r="A8" s="1298" t="s">
        <v>19</v>
      </c>
      <c r="B8" s="1200"/>
      <c r="C8" s="1299"/>
      <c r="D8" s="1300"/>
      <c r="E8" s="620">
        <f>SUM(F8:J8)</f>
        <v>0</v>
      </c>
      <c r="F8" s="104"/>
      <c r="G8" s="104"/>
      <c r="H8" s="104"/>
      <c r="I8" s="104"/>
      <c r="J8" s="104"/>
      <c r="K8" s="1056"/>
      <c r="L8" s="1056"/>
      <c r="M8" s="1056"/>
      <c r="N8" s="1022"/>
      <c r="O8" s="903"/>
      <c r="P8" s="707"/>
    </row>
    <row r="9" spans="1:17" ht="15">
      <c r="A9" s="1298" t="s">
        <v>20</v>
      </c>
      <c r="B9" s="1200">
        <f>108077+85467+113186+113042+116756+109995+110509+101300+92745+107226+101895+113016</f>
        <v>1273214</v>
      </c>
      <c r="C9" s="1299">
        <v>193544</v>
      </c>
      <c r="D9" s="1300">
        <v>195272</v>
      </c>
      <c r="E9" s="620">
        <f t="shared" ref="E9:E16" si="1">SUM(F9:J9)</f>
        <v>85472</v>
      </c>
      <c r="F9" s="104">
        <v>33321</v>
      </c>
      <c r="G9" s="104">
        <v>28266</v>
      </c>
      <c r="H9" s="104">
        <v>10353</v>
      </c>
      <c r="I9" s="104">
        <v>13532</v>
      </c>
      <c r="J9" s="664"/>
      <c r="K9" s="259"/>
      <c r="L9" s="259"/>
      <c r="M9" s="1056"/>
      <c r="N9" s="1022"/>
      <c r="O9" s="903">
        <f>+D9/C9</f>
        <v>1.0089282023725872</v>
      </c>
      <c r="P9" s="745"/>
      <c r="Q9" s="222"/>
    </row>
    <row r="10" spans="1:17" ht="15">
      <c r="A10" s="1298" t="s">
        <v>21</v>
      </c>
      <c r="B10" s="1200">
        <f>148719+103732+138638+114388+149772+144287+154524+162231+134683+114242+101779+138292</f>
        <v>1605287</v>
      </c>
      <c r="C10" s="1299">
        <v>252451</v>
      </c>
      <c r="D10" s="1301">
        <v>209265</v>
      </c>
      <c r="E10" s="620">
        <f t="shared" si="1"/>
        <v>78250</v>
      </c>
      <c r="F10" s="33">
        <v>39439</v>
      </c>
      <c r="G10" s="33">
        <v>38811</v>
      </c>
      <c r="H10" s="621"/>
      <c r="I10" s="621"/>
      <c r="J10" s="227"/>
      <c r="K10" s="1103">
        <f>4266+3789</f>
        <v>8055</v>
      </c>
      <c r="L10" s="1103">
        <f>791+910</f>
        <v>1701</v>
      </c>
      <c r="M10" s="248"/>
      <c r="N10" s="1022"/>
      <c r="O10" s="903">
        <f t="shared" ref="O10:O15" si="2">+D10/C10</f>
        <v>0.82893313950033864</v>
      </c>
      <c r="P10" s="733"/>
      <c r="Q10" s="222"/>
    </row>
    <row r="11" spans="1:17" ht="15">
      <c r="A11" s="1298" t="s">
        <v>22</v>
      </c>
      <c r="B11" s="1200"/>
      <c r="C11" s="1299"/>
      <c r="D11" s="1301"/>
      <c r="E11" s="620">
        <f t="shared" si="1"/>
        <v>0</v>
      </c>
      <c r="F11" s="104"/>
      <c r="G11" s="104"/>
      <c r="H11" s="104"/>
      <c r="I11" s="104"/>
      <c r="J11" s="104"/>
      <c r="K11" s="1056"/>
      <c r="L11" s="1056"/>
      <c r="M11" s="1056"/>
      <c r="N11" s="1022"/>
      <c r="O11" s="903"/>
      <c r="P11" s="1179"/>
      <c r="Q11" s="222"/>
    </row>
    <row r="12" spans="1:17" ht="15">
      <c r="A12" s="1298" t="s">
        <v>23</v>
      </c>
      <c r="B12" s="1200">
        <f>39231+38035+45839+55212+55252+51874+53719+51193+43893+46338+47055+45738</f>
        <v>573379</v>
      </c>
      <c r="C12" s="1299">
        <v>77266</v>
      </c>
      <c r="D12" s="1301">
        <v>74332</v>
      </c>
      <c r="E12" s="620">
        <f t="shared" si="1"/>
        <v>29780</v>
      </c>
      <c r="F12" s="104">
        <v>14127</v>
      </c>
      <c r="G12" s="104">
        <v>14438</v>
      </c>
      <c r="H12" s="104">
        <v>503</v>
      </c>
      <c r="I12" s="104">
        <v>712</v>
      </c>
      <c r="J12" s="104"/>
      <c r="K12" s="1056">
        <f>4188+1875+4+290</f>
        <v>6357</v>
      </c>
      <c r="L12" s="1056">
        <f>53+2545+199</f>
        <v>2797</v>
      </c>
      <c r="M12" s="1056"/>
      <c r="N12" s="1022"/>
      <c r="O12" s="903">
        <f t="shared" si="2"/>
        <v>0.96202728237517143</v>
      </c>
      <c r="P12" s="733"/>
      <c r="Q12" s="222"/>
    </row>
    <row r="13" spans="1:17" ht="15">
      <c r="A13" s="1298" t="s">
        <v>24</v>
      </c>
      <c r="B13" s="1200">
        <v>0</v>
      </c>
      <c r="C13" s="1299">
        <v>0</v>
      </c>
      <c r="D13" s="1301"/>
      <c r="E13" s="620"/>
      <c r="F13" s="104"/>
      <c r="G13" s="104"/>
      <c r="H13" s="104"/>
      <c r="I13" s="104"/>
      <c r="J13" s="104"/>
      <c r="K13" s="1056"/>
      <c r="L13" s="1056"/>
      <c r="M13" s="1056"/>
      <c r="N13" s="1022"/>
      <c r="O13" s="903"/>
      <c r="P13" s="1179"/>
      <c r="Q13" s="222"/>
    </row>
    <row r="14" spans="1:17" ht="15">
      <c r="A14" s="1302" t="s">
        <v>25</v>
      </c>
      <c r="B14" s="1200">
        <f>107401+71667+97692+112321+100543+91682+100061+119410+112186+136804+148168+145637</f>
        <v>1343572</v>
      </c>
      <c r="C14" s="1299">
        <v>179068</v>
      </c>
      <c r="D14" s="1300">
        <v>230133</v>
      </c>
      <c r="E14" s="620">
        <f t="shared" si="1"/>
        <v>92774</v>
      </c>
      <c r="F14" s="36">
        <v>47482</v>
      </c>
      <c r="G14" s="36">
        <v>45292</v>
      </c>
      <c r="H14" s="36"/>
      <c r="I14" s="36"/>
      <c r="J14" s="36"/>
      <c r="K14" s="1104">
        <f>10382+10601</f>
        <v>20983</v>
      </c>
      <c r="L14" s="1104">
        <f>686+1753</f>
        <v>2439</v>
      </c>
      <c r="M14" s="1104">
        <v>4</v>
      </c>
      <c r="N14" s="1105">
        <v>541</v>
      </c>
      <c r="O14" s="903">
        <f t="shared" si="2"/>
        <v>1.2851709964929523</v>
      </c>
      <c r="P14" s="733"/>
      <c r="Q14" s="222"/>
    </row>
    <row r="15" spans="1:17" ht="15">
      <c r="A15" s="1298" t="s">
        <v>26</v>
      </c>
      <c r="B15" s="1200">
        <f>5818+3471+4879+3146+1868+3203+3535+2520+3649+3073+2995+3507</f>
        <v>41664</v>
      </c>
      <c r="C15" s="1299">
        <v>9288</v>
      </c>
      <c r="D15" s="1300">
        <v>5643</v>
      </c>
      <c r="E15" s="620">
        <f t="shared" si="1"/>
        <v>2708</v>
      </c>
      <c r="F15" s="1303"/>
      <c r="G15" s="1303"/>
      <c r="H15" s="104">
        <v>1264</v>
      </c>
      <c r="I15" s="104">
        <v>1444</v>
      </c>
      <c r="J15" s="104"/>
      <c r="K15" s="1106">
        <f>215+339</f>
        <v>554</v>
      </c>
      <c r="L15" s="1056">
        <f>25+199</f>
        <v>224</v>
      </c>
      <c r="M15" s="1056"/>
      <c r="N15" s="1022"/>
      <c r="O15" s="903">
        <f t="shared" si="2"/>
        <v>0.60755813953488369</v>
      </c>
      <c r="P15" s="1378"/>
      <c r="Q15" s="222"/>
    </row>
    <row r="16" spans="1:17" ht="15">
      <c r="A16" s="1298" t="s">
        <v>27</v>
      </c>
      <c r="B16" s="1200">
        <f>528</f>
        <v>528</v>
      </c>
      <c r="C16" s="1299"/>
      <c r="D16" s="1300"/>
      <c r="E16" s="620">
        <f t="shared" si="1"/>
        <v>0</v>
      </c>
      <c r="F16" s="104"/>
      <c r="G16" s="104"/>
      <c r="H16" s="104"/>
      <c r="I16" s="104"/>
      <c r="J16" s="104"/>
      <c r="K16" s="259"/>
      <c r="L16" s="119"/>
      <c r="M16" s="1056"/>
      <c r="N16" s="1022"/>
      <c r="O16" s="903"/>
      <c r="P16" s="1179"/>
      <c r="Q16" s="222"/>
    </row>
    <row r="17" spans="1:17" ht="15">
      <c r="A17" s="1304" t="s">
        <v>28</v>
      </c>
      <c r="B17" s="626">
        <f>127397+11642</f>
        <v>139039</v>
      </c>
      <c r="C17" s="1305">
        <v>17286</v>
      </c>
      <c r="D17" s="1306">
        <v>19907</v>
      </c>
      <c r="E17" s="925">
        <v>7958</v>
      </c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733"/>
      <c r="Q17" s="223"/>
    </row>
    <row r="18" spans="1:17" ht="15.6">
      <c r="A18" s="42" t="s">
        <v>29</v>
      </c>
      <c r="B18" s="1307">
        <f>534688+54911+55025</f>
        <v>644624</v>
      </c>
      <c r="C18" s="1308">
        <v>98758</v>
      </c>
      <c r="D18" s="1309">
        <f>45442+42731</f>
        <v>88173</v>
      </c>
      <c r="E18" s="1309">
        <v>42731</v>
      </c>
      <c r="F18" s="1310"/>
      <c r="G18" s="1310"/>
      <c r="H18" s="1310"/>
      <c r="I18" s="1310"/>
      <c r="J18" s="1310"/>
      <c r="K18" s="1379"/>
      <c r="L18" s="1379"/>
      <c r="M18" s="1379"/>
      <c r="N18" s="1380"/>
      <c r="O18" s="1381">
        <f>+D17/C17</f>
        <v>1.1516255929654056</v>
      </c>
      <c r="P18" s="1382"/>
      <c r="Q18" s="1382"/>
    </row>
    <row r="19" spans="1:17" ht="15.6">
      <c r="A19" s="47" t="s">
        <v>30</v>
      </c>
      <c r="B19" s="1311">
        <f>228437+18717+26622</f>
        <v>273776</v>
      </c>
      <c r="C19" s="1312">
        <v>42497</v>
      </c>
      <c r="D19" s="1313">
        <f>23561+14439</f>
        <v>38000</v>
      </c>
      <c r="E19" s="1313">
        <v>14439</v>
      </c>
      <c r="F19" s="928"/>
      <c r="G19" s="928"/>
      <c r="H19" s="928"/>
      <c r="I19" s="928"/>
      <c r="J19" s="928"/>
      <c r="K19" s="1107"/>
      <c r="L19" s="1107"/>
      <c r="M19" s="1107"/>
      <c r="N19" s="1108"/>
      <c r="O19" s="1109"/>
      <c r="P19" s="729"/>
      <c r="Q19" s="754"/>
    </row>
    <row r="20" spans="1:17" ht="15.6">
      <c r="A20" s="47" t="s">
        <v>31</v>
      </c>
      <c r="B20" s="1311">
        <f>76626+5290+8224</f>
        <v>90140</v>
      </c>
      <c r="C20" s="1312">
        <v>8659</v>
      </c>
      <c r="D20" s="1313">
        <f>5832+4910</f>
        <v>10742</v>
      </c>
      <c r="E20" s="1313">
        <v>4910</v>
      </c>
      <c r="F20" s="929"/>
      <c r="G20" s="929"/>
      <c r="H20" s="929"/>
      <c r="I20" s="929"/>
      <c r="J20" s="929"/>
      <c r="K20" s="1056"/>
      <c r="L20" s="1056"/>
      <c r="M20" s="1056"/>
      <c r="N20" s="1022"/>
      <c r="O20" s="903"/>
      <c r="P20" s="730"/>
    </row>
    <row r="21" spans="1:17" ht="15.6">
      <c r="A21" s="47" t="s">
        <v>32</v>
      </c>
      <c r="B21" s="1311">
        <v>483790</v>
      </c>
      <c r="C21" s="1312">
        <v>66690</v>
      </c>
      <c r="D21" s="1313">
        <f>41080+36660</f>
        <v>77740</v>
      </c>
      <c r="E21" s="1313">
        <v>36660</v>
      </c>
      <c r="F21" s="929"/>
      <c r="G21" s="929"/>
      <c r="H21" s="929"/>
      <c r="I21" s="929"/>
      <c r="J21" s="929"/>
      <c r="K21" s="1056"/>
      <c r="L21" s="1056"/>
      <c r="M21" s="1056"/>
      <c r="N21" s="1022"/>
      <c r="O21" s="903"/>
      <c r="P21" s="730"/>
    </row>
    <row r="22" spans="1:17" ht="15.6">
      <c r="A22" s="47" t="s">
        <v>33</v>
      </c>
      <c r="B22" s="1311">
        <f>159887+13631+13177</f>
        <v>186695</v>
      </c>
      <c r="C22" s="1312">
        <v>26704</v>
      </c>
      <c r="D22" s="1313">
        <f>12445+10252</f>
        <v>22697</v>
      </c>
      <c r="E22" s="1313">
        <v>10252</v>
      </c>
      <c r="F22" s="929"/>
      <c r="G22" s="929"/>
      <c r="H22" s="929"/>
      <c r="I22" s="929"/>
      <c r="J22" s="929"/>
      <c r="K22" s="1056"/>
      <c r="L22" s="1056"/>
      <c r="M22" s="1056"/>
      <c r="N22" s="1022"/>
      <c r="O22" s="903"/>
      <c r="P22" s="730"/>
    </row>
    <row r="23" spans="1:17" ht="15.6">
      <c r="A23" s="47" t="s">
        <v>34</v>
      </c>
      <c r="B23" s="1311">
        <f>199276+27729+38601</f>
        <v>265606</v>
      </c>
      <c r="C23" s="1312">
        <v>31758</v>
      </c>
      <c r="D23" s="1313">
        <f>32478+19819</f>
        <v>52297</v>
      </c>
      <c r="E23" s="1313">
        <v>19819</v>
      </c>
      <c r="F23" s="929"/>
      <c r="G23" s="929"/>
      <c r="H23" s="929"/>
      <c r="I23" s="929"/>
      <c r="J23" s="929"/>
      <c r="K23" s="1056"/>
      <c r="L23" s="1056"/>
      <c r="M23" s="1056"/>
      <c r="N23" s="1022"/>
      <c r="O23" s="903"/>
      <c r="P23" s="730"/>
    </row>
    <row r="24" spans="1:17" ht="15.6">
      <c r="A24" s="53" t="s">
        <v>35</v>
      </c>
      <c r="B24" s="1314">
        <v>169502</v>
      </c>
      <c r="C24" s="1315">
        <v>0</v>
      </c>
      <c r="D24" s="1316">
        <f>18288+13663</f>
        <v>31951</v>
      </c>
      <c r="E24" s="1316">
        <v>13663</v>
      </c>
      <c r="F24" s="929"/>
      <c r="G24" s="929"/>
      <c r="H24" s="930"/>
      <c r="I24" s="929"/>
      <c r="J24" s="929"/>
      <c r="K24" s="1056"/>
      <c r="L24" s="1056"/>
      <c r="M24" s="1056"/>
      <c r="N24" s="1022"/>
      <c r="O24" s="903"/>
      <c r="P24" s="730"/>
    </row>
    <row r="25" spans="1:17" ht="15.6">
      <c r="A25" s="47" t="s">
        <v>36</v>
      </c>
      <c r="B25" s="1317">
        <f>29509+14652+23209+24242+23009+26529+25218+28150+30612+24870+21148+23890</f>
        <v>295038</v>
      </c>
      <c r="C25" s="1318">
        <v>44161</v>
      </c>
      <c r="D25" s="1319">
        <v>38233</v>
      </c>
      <c r="E25" s="933">
        <f>H25+I25</f>
        <v>16336</v>
      </c>
      <c r="F25" s="932"/>
      <c r="G25" s="932"/>
      <c r="H25" s="104">
        <v>7138</v>
      </c>
      <c r="I25" s="104">
        <v>9198</v>
      </c>
      <c r="J25" s="104"/>
      <c r="K25" s="1056">
        <v>4652</v>
      </c>
      <c r="L25" s="1056">
        <f>188+804</f>
        <v>992</v>
      </c>
      <c r="M25" s="1056"/>
      <c r="N25" s="1022"/>
      <c r="O25" s="903">
        <f>+D25/C25</f>
        <v>0.86576390933176328</v>
      </c>
      <c r="P25" s="730"/>
    </row>
    <row r="26" spans="1:17" ht="15.6">
      <c r="A26" s="259"/>
      <c r="B26" s="1160">
        <f>SUM(B18:B25)</f>
        <v>2409171</v>
      </c>
      <c r="C26" s="1160">
        <f t="shared" ref="C26:E26" si="3">SUM(C18:C25)</f>
        <v>319227</v>
      </c>
      <c r="D26" s="1160">
        <f t="shared" si="3"/>
        <v>359833</v>
      </c>
      <c r="E26" s="1160">
        <f t="shared" si="3"/>
        <v>158810</v>
      </c>
      <c r="F26" s="104"/>
      <c r="G26" s="104"/>
      <c r="H26" s="259"/>
      <c r="P26" s="730"/>
    </row>
    <row r="27" spans="1:17" ht="15.6">
      <c r="A27" s="259"/>
      <c r="B27" s="1056"/>
      <c r="C27" s="1056"/>
      <c r="D27" s="654"/>
      <c r="E27" s="654"/>
      <c r="F27" s="941"/>
      <c r="G27" s="941"/>
      <c r="H27" s="941"/>
      <c r="I27" s="1383"/>
      <c r="J27" s="941"/>
      <c r="K27" s="259"/>
      <c r="L27" s="259"/>
      <c r="M27" s="259"/>
      <c r="N27" s="1009"/>
      <c r="O27" s="903"/>
      <c r="P27" s="730"/>
    </row>
    <row r="28" spans="1:17" ht="15.6">
      <c r="A28" s="13" t="s">
        <v>37</v>
      </c>
      <c r="B28" s="94">
        <f>SUM(B29:B32)</f>
        <v>975868</v>
      </c>
      <c r="C28" s="924">
        <f t="shared" ref="C28:D28" si="4">SUM(C29:C32)</f>
        <v>93571</v>
      </c>
      <c r="D28" s="1065">
        <f t="shared" si="4"/>
        <v>166965</v>
      </c>
      <c r="E28" s="1064">
        <f t="shared" ref="E28:N28" si="5">SUM(E29:E32)</f>
        <v>74024</v>
      </c>
      <c r="F28" s="1081">
        <f t="shared" si="5"/>
        <v>26492</v>
      </c>
      <c r="G28" s="1081">
        <f t="shared" si="5"/>
        <v>30106</v>
      </c>
      <c r="H28" s="1081">
        <f t="shared" si="5"/>
        <v>10112</v>
      </c>
      <c r="I28" s="1081">
        <f t="shared" si="5"/>
        <v>7314</v>
      </c>
      <c r="J28" s="1081">
        <f t="shared" si="5"/>
        <v>0</v>
      </c>
      <c r="K28" s="1113">
        <f t="shared" si="5"/>
        <v>16939</v>
      </c>
      <c r="L28" s="1113">
        <f t="shared" si="5"/>
        <v>10037</v>
      </c>
      <c r="M28" s="1113">
        <f t="shared" si="5"/>
        <v>0</v>
      </c>
      <c r="N28" s="1113">
        <f t="shared" si="5"/>
        <v>0</v>
      </c>
      <c r="O28" s="849">
        <f t="shared" ref="O28:O65" si="6">+D28/C28</f>
        <v>1.7843669512990137</v>
      </c>
      <c r="P28" s="729"/>
    </row>
    <row r="29" spans="1:17" ht="15">
      <c r="A29" s="609" t="s">
        <v>38</v>
      </c>
      <c r="B29" s="270">
        <f>31848+3560+3666</f>
        <v>39074</v>
      </c>
      <c r="C29" s="1320">
        <v>6576</v>
      </c>
      <c r="D29" s="929">
        <v>8241</v>
      </c>
      <c r="E29" s="620">
        <f t="shared" ref="E29:E31" si="7">SUM(F29:J29)</f>
        <v>4393</v>
      </c>
      <c r="F29" s="104"/>
      <c r="G29" s="104"/>
      <c r="H29" s="104">
        <v>2244</v>
      </c>
      <c r="I29" s="104">
        <v>2149</v>
      </c>
      <c r="J29" s="664"/>
      <c r="K29" s="1056">
        <f>648+957</f>
        <v>1605</v>
      </c>
      <c r="L29" s="1056">
        <f>316</f>
        <v>316</v>
      </c>
      <c r="M29" s="1056"/>
      <c r="N29" s="1022"/>
      <c r="O29" s="903">
        <f t="shared" si="6"/>
        <v>1.2531934306569343</v>
      </c>
      <c r="P29" s="733"/>
    </row>
    <row r="30" spans="1:17" ht="15.6">
      <c r="A30" s="87" t="s">
        <v>39</v>
      </c>
      <c r="B30" s="270">
        <f>64505+48073+62185+62452+59765+64280+67096+71165+61780+66528+63320+71042</f>
        <v>762191</v>
      </c>
      <c r="C30" s="1320">
        <f>64505</f>
        <v>64505</v>
      </c>
      <c r="D30" s="104">
        <v>122864</v>
      </c>
      <c r="E30" s="620">
        <f t="shared" si="7"/>
        <v>54420</v>
      </c>
      <c r="F30" s="22">
        <v>19394</v>
      </c>
      <c r="G30" s="22">
        <v>23568</v>
      </c>
      <c r="H30" s="22">
        <v>6378</v>
      </c>
      <c r="I30" s="22">
        <v>5080</v>
      </c>
      <c r="J30" s="612"/>
      <c r="K30" s="92">
        <v>13988</v>
      </c>
      <c r="L30" s="92">
        <f>2907+1359+2004+2576</f>
        <v>8846</v>
      </c>
      <c r="M30" s="1106"/>
      <c r="N30" s="1114"/>
      <c r="O30" s="903">
        <f t="shared" si="6"/>
        <v>1.9047205642973413</v>
      </c>
      <c r="P30" s="707"/>
    </row>
    <row r="31" spans="1:17" ht="15.6">
      <c r="A31" s="87" t="s">
        <v>40</v>
      </c>
      <c r="B31" s="176">
        <f>22490+11900+19473+16591+12914+13370+11563+9278+10032+11317+15030+20645</f>
        <v>174603</v>
      </c>
      <c r="C31" s="1321">
        <f>22490</f>
        <v>22490</v>
      </c>
      <c r="D31" s="36">
        <v>35860</v>
      </c>
      <c r="E31" s="620">
        <f t="shared" si="7"/>
        <v>15211</v>
      </c>
      <c r="F31" s="22">
        <v>7098</v>
      </c>
      <c r="G31" s="22">
        <v>6538</v>
      </c>
      <c r="H31" s="22">
        <v>1490</v>
      </c>
      <c r="I31" s="22">
        <v>85</v>
      </c>
      <c r="J31" s="664"/>
      <c r="K31" s="92">
        <f>197+1008+99+42</f>
        <v>1346</v>
      </c>
      <c r="L31" s="92">
        <f>785+2+47+41</f>
        <v>875</v>
      </c>
      <c r="M31" s="1056"/>
      <c r="N31" s="1022"/>
      <c r="O31" s="903">
        <f t="shared" si="6"/>
        <v>1.5944864384170743</v>
      </c>
      <c r="P31" s="707"/>
    </row>
    <row r="32" spans="1:17" ht="15.6">
      <c r="A32" s="87" t="s">
        <v>41</v>
      </c>
      <c r="B32" s="1200">
        <v>0</v>
      </c>
      <c r="C32" s="1299">
        <v>0</v>
      </c>
      <c r="D32" s="1300"/>
      <c r="E32" s="620"/>
      <c r="F32" s="104"/>
      <c r="G32" s="104"/>
      <c r="H32" s="104"/>
      <c r="I32" s="104"/>
      <c r="J32" s="104"/>
      <c r="K32" s="1056"/>
      <c r="L32" s="1056"/>
      <c r="M32" s="1056"/>
      <c r="N32" s="1022"/>
      <c r="O32" s="903"/>
      <c r="P32" s="707"/>
    </row>
    <row r="33" spans="1:16" ht="15.6">
      <c r="A33" s="13" t="s">
        <v>42</v>
      </c>
      <c r="B33" s="94">
        <f>SUM(B34:B43)</f>
        <v>8566129</v>
      </c>
      <c r="C33" s="924">
        <v>1350534</v>
      </c>
      <c r="D33" s="1065">
        <f t="shared" ref="D33:N33" si="8">SUM(D34:D43)</f>
        <v>1325506</v>
      </c>
      <c r="E33" s="1064">
        <f t="shared" si="8"/>
        <v>612414</v>
      </c>
      <c r="F33" s="1064">
        <f t="shared" si="8"/>
        <v>245861</v>
      </c>
      <c r="G33" s="1064">
        <f t="shared" si="8"/>
        <v>196082</v>
      </c>
      <c r="H33" s="1064">
        <f t="shared" si="8"/>
        <v>67428</v>
      </c>
      <c r="I33" s="1064">
        <f t="shared" si="8"/>
        <v>103041</v>
      </c>
      <c r="J33" s="1064">
        <f t="shared" si="8"/>
        <v>2</v>
      </c>
      <c r="K33" s="1101">
        <f t="shared" si="8"/>
        <v>154951</v>
      </c>
      <c r="L33" s="1101">
        <f t="shared" si="8"/>
        <v>82296</v>
      </c>
      <c r="M33" s="1101">
        <f t="shared" si="8"/>
        <v>186</v>
      </c>
      <c r="N33" s="1101">
        <f t="shared" si="8"/>
        <v>46048</v>
      </c>
      <c r="O33" s="1384">
        <f t="shared" si="6"/>
        <v>0.98146807114815326</v>
      </c>
      <c r="P33" s="707"/>
    </row>
    <row r="34" spans="1:16" ht="15.6">
      <c r="A34" s="1322" t="s">
        <v>43</v>
      </c>
      <c r="B34" s="1323">
        <f>176793+71526+59980+65204+71423+79211+71917+76068+84439+81079</f>
        <v>837640</v>
      </c>
      <c r="C34" s="1324">
        <v>119043</v>
      </c>
      <c r="D34" s="1300">
        <v>141659</v>
      </c>
      <c r="E34" s="620">
        <f t="shared" ref="E34:E40" si="9">SUM(F34:J34)</f>
        <v>62471</v>
      </c>
      <c r="F34" s="104"/>
      <c r="G34" s="104"/>
      <c r="H34" s="104">
        <v>25369</v>
      </c>
      <c r="I34" s="104">
        <v>37102</v>
      </c>
      <c r="J34" s="104"/>
      <c r="K34" s="1117">
        <v>1625</v>
      </c>
      <c r="L34" s="1117">
        <f>19689+8</f>
        <v>19697</v>
      </c>
      <c r="M34" s="1117"/>
      <c r="N34" s="1019"/>
      <c r="O34" s="903">
        <f t="shared" si="6"/>
        <v>1.1899817712927261</v>
      </c>
      <c r="P34" s="707"/>
    </row>
    <row r="35" spans="1:16" ht="15.6">
      <c r="A35" s="1322" t="s">
        <v>44</v>
      </c>
      <c r="B35" s="1323">
        <f>315296+56739+61665+55007+62647+65661+65065</f>
        <v>682080</v>
      </c>
      <c r="C35" s="1324">
        <v>99782</v>
      </c>
      <c r="D35" s="1300">
        <v>104618</v>
      </c>
      <c r="E35" s="620">
        <f t="shared" si="9"/>
        <v>44818</v>
      </c>
      <c r="F35" s="664"/>
      <c r="G35" s="664"/>
      <c r="H35" s="104">
        <v>10670</v>
      </c>
      <c r="I35" s="104">
        <v>34148</v>
      </c>
      <c r="J35" s="104"/>
      <c r="K35" s="1118">
        <f>64+1266</f>
        <v>1330</v>
      </c>
      <c r="L35" s="1118">
        <f>244</f>
        <v>244</v>
      </c>
      <c r="M35" s="1118"/>
      <c r="N35" s="1020">
        <v>44818</v>
      </c>
      <c r="O35" s="903">
        <f t="shared" si="6"/>
        <v>1.0484656551281795</v>
      </c>
      <c r="P35" s="707"/>
    </row>
    <row r="36" spans="1:16" ht="15.6">
      <c r="A36" s="1325" t="s">
        <v>45</v>
      </c>
      <c r="B36" s="1326">
        <f>20214+11681+23581+25619+22301+21824+20127+19528+19926+20275+23052+20682</f>
        <v>248810</v>
      </c>
      <c r="C36" s="1327">
        <v>31895</v>
      </c>
      <c r="D36" s="1328">
        <v>35539</v>
      </c>
      <c r="E36" s="620">
        <f t="shared" si="9"/>
        <v>14446</v>
      </c>
      <c r="F36" s="104"/>
      <c r="G36" s="104"/>
      <c r="H36" s="104">
        <v>6689</v>
      </c>
      <c r="I36" s="104">
        <v>7757</v>
      </c>
      <c r="J36" s="102"/>
      <c r="K36" s="1120">
        <f>1734+2207</f>
        <v>3941</v>
      </c>
      <c r="L36" s="1118">
        <f>477+304</f>
        <v>781</v>
      </c>
      <c r="M36" s="1118">
        <v>86</v>
      </c>
      <c r="N36" s="1020"/>
      <c r="O36" s="903">
        <f t="shared" si="6"/>
        <v>1.1142498824267126</v>
      </c>
      <c r="P36" s="707"/>
    </row>
    <row r="37" spans="1:16" ht="15.6">
      <c r="A37" s="1325" t="s">
        <v>46</v>
      </c>
      <c r="B37" s="1329">
        <f>36191+20920+29070+23929+27875+30427+28473+27605+28149+32945+33352+27283</f>
        <v>346219</v>
      </c>
      <c r="C37" s="1330">
        <v>57111</v>
      </c>
      <c r="D37" s="961">
        <v>42541</v>
      </c>
      <c r="E37" s="620">
        <f>SUM(H37:J37)</f>
        <v>19374</v>
      </c>
      <c r="F37" s="938"/>
      <c r="G37" s="932"/>
      <c r="H37" s="104">
        <v>9814</v>
      </c>
      <c r="I37" s="104">
        <v>9560</v>
      </c>
      <c r="J37" s="664"/>
      <c r="K37" s="1056">
        <f>3015+3284</f>
        <v>6299</v>
      </c>
      <c r="L37" s="1056">
        <f>497+98</f>
        <v>595</v>
      </c>
      <c r="M37" s="1056">
        <v>100</v>
      </c>
      <c r="N37" s="1022"/>
      <c r="O37" s="903">
        <f t="shared" si="6"/>
        <v>0.74488277214547105</v>
      </c>
      <c r="P37" s="707"/>
    </row>
    <row r="38" spans="1:16" ht="15.6">
      <c r="A38" s="1331" t="s">
        <v>47</v>
      </c>
      <c r="B38" s="1332">
        <f>12008+9467+14763+14113+14691+14606+10209+8082+10081+11470+13518+17152</f>
        <v>150160</v>
      </c>
      <c r="C38" s="1333">
        <v>21475</v>
      </c>
      <c r="D38" s="402">
        <v>35287</v>
      </c>
      <c r="E38" s="346">
        <f>SUM(F38:J38)</f>
        <v>18426</v>
      </c>
      <c r="F38" s="104">
        <v>7674</v>
      </c>
      <c r="G38" s="104">
        <v>10750</v>
      </c>
      <c r="H38" s="104"/>
      <c r="I38" s="104"/>
      <c r="J38" s="104">
        <v>2</v>
      </c>
      <c r="K38" s="1056">
        <v>4058</v>
      </c>
      <c r="L38" s="1056">
        <f>1415+2634</f>
        <v>4049</v>
      </c>
      <c r="M38" s="1118"/>
      <c r="N38" s="1020">
        <v>35</v>
      </c>
      <c r="O38" s="903">
        <f t="shared" si="6"/>
        <v>1.6431664726426076</v>
      </c>
      <c r="P38" s="707"/>
    </row>
    <row r="39" spans="1:16" ht="15.6">
      <c r="A39" s="1325" t="s">
        <v>48</v>
      </c>
      <c r="B39" s="1329">
        <f>492323+373517+489518+501319+498148+483300+509517+496996+483525+491240+487179+505109</f>
        <v>5811691</v>
      </c>
      <c r="C39" s="1330">
        <v>865840</v>
      </c>
      <c r="D39" s="961">
        <v>890002</v>
      </c>
      <c r="E39" s="620">
        <f t="shared" si="9"/>
        <v>419633</v>
      </c>
      <c r="F39" s="104">
        <v>236768</v>
      </c>
      <c r="G39" s="104">
        <v>182865</v>
      </c>
      <c r="H39" s="104"/>
      <c r="I39" s="664"/>
      <c r="J39" s="104"/>
      <c r="K39" s="92">
        <v>137177</v>
      </c>
      <c r="L39" s="92">
        <f>31821+25011</f>
        <v>56832</v>
      </c>
      <c r="M39" s="1118"/>
      <c r="N39" s="1020"/>
      <c r="O39" s="903">
        <f t="shared" si="6"/>
        <v>1.0279058486556407</v>
      </c>
      <c r="P39" s="707"/>
    </row>
    <row r="40" spans="1:16" ht="15.6">
      <c r="A40" s="1325" t="s">
        <v>49</v>
      </c>
      <c r="B40" s="1329">
        <f>41444+27037+39698+37856+42480+38521+41958+41846+36877+41203+36023+42811</f>
        <v>467754</v>
      </c>
      <c r="C40" s="1330">
        <v>68481</v>
      </c>
      <c r="D40" s="961">
        <v>72994</v>
      </c>
      <c r="E40" s="620">
        <f t="shared" si="9"/>
        <v>31859</v>
      </c>
      <c r="F40" s="102">
        <v>1036</v>
      </c>
      <c r="G40" s="102">
        <v>1463</v>
      </c>
      <c r="H40" s="102">
        <v>14886</v>
      </c>
      <c r="I40" s="102">
        <v>14474</v>
      </c>
      <c r="J40" s="104"/>
      <c r="K40" s="1118"/>
      <c r="L40" s="1118"/>
      <c r="M40" s="1118"/>
      <c r="N40" s="1020"/>
      <c r="O40" s="903">
        <f t="shared" si="6"/>
        <v>1.0659014909244899</v>
      </c>
      <c r="P40" s="707"/>
    </row>
    <row r="41" spans="1:16" ht="15.6">
      <c r="A41" s="1325" t="s">
        <v>50</v>
      </c>
      <c r="B41" s="1334"/>
      <c r="C41" s="1330"/>
      <c r="D41" s="104"/>
      <c r="E41" s="620"/>
      <c r="F41" s="104"/>
      <c r="G41" s="104"/>
      <c r="H41" s="104"/>
      <c r="I41" s="104"/>
      <c r="J41" s="104"/>
      <c r="K41" s="1118"/>
      <c r="L41" s="1118"/>
      <c r="M41" s="1118"/>
      <c r="N41" s="1020"/>
      <c r="O41" s="903"/>
      <c r="P41" s="736"/>
    </row>
    <row r="42" spans="1:16" ht="15.6">
      <c r="A42" s="1325" t="s">
        <v>51</v>
      </c>
      <c r="B42" s="1335">
        <f>1591+185+300+228+282+250+254+222+245+289+277+286</f>
        <v>4409</v>
      </c>
      <c r="C42" s="1336">
        <v>1776</v>
      </c>
      <c r="D42" s="1337">
        <v>571</v>
      </c>
      <c r="E42" s="620">
        <f>SUM(F42:J42)</f>
        <v>218</v>
      </c>
      <c r="F42" s="104">
        <v>90</v>
      </c>
      <c r="G42" s="104">
        <v>128</v>
      </c>
      <c r="H42" s="104"/>
      <c r="I42" s="104"/>
      <c r="J42" s="104"/>
      <c r="K42" s="1118">
        <v>218</v>
      </c>
      <c r="L42" s="1118">
        <f>90</f>
        <v>90</v>
      </c>
      <c r="M42" s="1118"/>
      <c r="N42" s="1020">
        <v>26</v>
      </c>
      <c r="O42" s="903">
        <f t="shared" si="6"/>
        <v>0.32150900900900903</v>
      </c>
      <c r="P42" s="707"/>
    </row>
    <row r="43" spans="1:16" ht="15.6">
      <c r="A43" s="1338" t="s">
        <v>52</v>
      </c>
      <c r="B43" s="1339">
        <f>5554+2707+1759+1797+950+1036+1570+888+1105</f>
        <v>17366</v>
      </c>
      <c r="C43" s="1340">
        <v>2557</v>
      </c>
      <c r="D43" s="1341">
        <v>2295</v>
      </c>
      <c r="E43" s="925">
        <f>SUM(F43:F43:J43)</f>
        <v>1169</v>
      </c>
      <c r="F43" s="104">
        <v>293</v>
      </c>
      <c r="G43" s="104">
        <v>876</v>
      </c>
      <c r="H43" s="104"/>
      <c r="I43" s="104"/>
      <c r="J43" s="1121"/>
      <c r="K43" s="1120">
        <f>55+248</f>
        <v>303</v>
      </c>
      <c r="L43" s="1118">
        <v>8</v>
      </c>
      <c r="M43" s="1118"/>
      <c r="N43" s="1020">
        <v>1169</v>
      </c>
      <c r="O43" s="903">
        <f t="shared" si="6"/>
        <v>0.8975361752053187</v>
      </c>
      <c r="P43" s="707"/>
    </row>
    <row r="44" spans="1:16" ht="15.6">
      <c r="A44" s="112" t="s">
        <v>53</v>
      </c>
      <c r="B44" s="305">
        <f>43919+38655+49389+49920+41452+46211+54147+61115+45816+53985+53251+54204</f>
        <v>592064</v>
      </c>
      <c r="C44" s="1342">
        <v>82574</v>
      </c>
      <c r="D44" s="1343">
        <v>71643</v>
      </c>
      <c r="E44" s="1085">
        <f>SUM(F44:J44)</f>
        <v>25145</v>
      </c>
      <c r="F44" s="1344">
        <v>9757</v>
      </c>
      <c r="G44" s="1344">
        <v>10890</v>
      </c>
      <c r="H44" s="1344">
        <v>1651</v>
      </c>
      <c r="I44" s="1385">
        <v>1780</v>
      </c>
      <c r="J44" s="1344">
        <v>1067</v>
      </c>
      <c r="K44" s="1386">
        <v>6715</v>
      </c>
      <c r="L44" s="1387">
        <f>3279+772+277+234+445</f>
        <v>5007</v>
      </c>
      <c r="M44" s="1386"/>
      <c r="N44" s="1387">
        <v>1656</v>
      </c>
      <c r="O44" s="904">
        <f t="shared" si="6"/>
        <v>0.86762176956426962</v>
      </c>
      <c r="P44" s="707"/>
    </row>
    <row r="45" spans="1:16" ht="15.6">
      <c r="A45" s="13" t="s">
        <v>54</v>
      </c>
      <c r="B45" s="94">
        <f>SUM(B46:B53)</f>
        <v>6475171</v>
      </c>
      <c r="C45" s="924">
        <v>1011910</v>
      </c>
      <c r="D45" s="1065">
        <f t="shared" ref="D45:N45" si="10">SUM(D46:D53)</f>
        <v>1108783</v>
      </c>
      <c r="E45" s="1083">
        <f t="shared" si="10"/>
        <v>461130</v>
      </c>
      <c r="F45" s="1065">
        <f t="shared" si="10"/>
        <v>190736</v>
      </c>
      <c r="G45" s="1065">
        <f t="shared" si="10"/>
        <v>203705</v>
      </c>
      <c r="H45" s="1065">
        <f t="shared" si="10"/>
        <v>4336</v>
      </c>
      <c r="I45" s="1065">
        <f t="shared" si="10"/>
        <v>2572</v>
      </c>
      <c r="J45" s="1065">
        <f t="shared" si="10"/>
        <v>59781</v>
      </c>
      <c r="K45" s="1101">
        <f t="shared" si="10"/>
        <v>36166</v>
      </c>
      <c r="L45" s="1101">
        <f t="shared" si="10"/>
        <v>115554</v>
      </c>
      <c r="M45" s="1101">
        <f t="shared" si="10"/>
        <v>1396</v>
      </c>
      <c r="N45" s="1116">
        <f t="shared" si="10"/>
        <v>35587</v>
      </c>
      <c r="O45" s="849">
        <f t="shared" si="6"/>
        <v>1.0957328220889209</v>
      </c>
      <c r="P45" s="707"/>
    </row>
    <row r="46" spans="1:16" ht="15.6">
      <c r="A46" s="1325" t="s">
        <v>55</v>
      </c>
      <c r="B46" s="1323"/>
      <c r="C46" s="1324"/>
      <c r="D46" s="1300"/>
      <c r="E46" s="620"/>
      <c r="F46" s="104"/>
      <c r="G46" s="104"/>
      <c r="H46" s="104"/>
      <c r="I46" s="104"/>
      <c r="J46" s="104"/>
      <c r="K46" s="119"/>
      <c r="L46" s="119"/>
      <c r="M46" s="119"/>
      <c r="N46" s="118"/>
      <c r="O46" s="903"/>
      <c r="P46" s="707"/>
    </row>
    <row r="47" spans="1:16" ht="15">
      <c r="A47" s="1345" t="s">
        <v>56</v>
      </c>
      <c r="B47" s="1334">
        <f>152617+131920+130997+153389+149066+196349+174625+189556+159615+174414+174638+173536</f>
        <v>1960722</v>
      </c>
      <c r="C47" s="1346">
        <v>284537</v>
      </c>
      <c r="D47" s="104">
        <f>209453+123222</f>
        <v>332675</v>
      </c>
      <c r="E47" s="957">
        <f>SUM(F47:J48)</f>
        <v>123222</v>
      </c>
      <c r="F47" s="104">
        <v>53422</v>
      </c>
      <c r="G47" s="104">
        <v>56734</v>
      </c>
      <c r="H47" s="104">
        <v>4336</v>
      </c>
      <c r="I47" s="104">
        <v>2572</v>
      </c>
      <c r="J47" s="104">
        <v>6158</v>
      </c>
      <c r="K47" s="1056">
        <f>12302</f>
        <v>12302</v>
      </c>
      <c r="L47" s="1056">
        <f>40695+46+415+1145+2653</f>
        <v>44954</v>
      </c>
      <c r="M47" s="1056"/>
      <c r="N47" s="1022"/>
      <c r="O47" s="906">
        <f t="shared" si="6"/>
        <v>1.1691801066293663</v>
      </c>
      <c r="P47" s="745"/>
    </row>
    <row r="48" spans="1:16" ht="15">
      <c r="A48" s="1347"/>
      <c r="B48" s="1334"/>
      <c r="C48" s="1348"/>
      <c r="D48" s="104"/>
      <c r="E48" s="959"/>
      <c r="F48" s="104"/>
      <c r="G48" s="104"/>
      <c r="H48" s="104"/>
      <c r="I48" s="104"/>
      <c r="J48" s="104"/>
      <c r="K48" s="1056"/>
      <c r="L48" s="1056"/>
      <c r="M48" s="1056"/>
      <c r="N48" s="1022"/>
      <c r="O48" s="907"/>
      <c r="P48" s="746"/>
    </row>
    <row r="49" spans="1:17" ht="15.6">
      <c r="A49" s="1325" t="s">
        <v>57</v>
      </c>
      <c r="B49" s="1349">
        <f>97537+55586+99611+80866+84077+87464+89817+110297+103108+86858+89238+102094</f>
        <v>1086553</v>
      </c>
      <c r="C49" s="1350">
        <v>153123</v>
      </c>
      <c r="D49" s="1351">
        <f>104773+79448</f>
        <v>184221</v>
      </c>
      <c r="E49" s="620">
        <f t="shared" ref="E49:E51" si="11">SUM(F49:J49)</f>
        <v>79448</v>
      </c>
      <c r="F49" s="961">
        <v>37727</v>
      </c>
      <c r="G49" s="22">
        <v>36182</v>
      </c>
      <c r="H49" s="962"/>
      <c r="I49" s="664"/>
      <c r="J49" s="22">
        <v>5539</v>
      </c>
      <c r="K49" s="92">
        <v>4944</v>
      </c>
      <c r="L49" s="92">
        <f>26015+2240+1968</f>
        <v>30223</v>
      </c>
      <c r="M49" s="119"/>
      <c r="N49" s="118"/>
      <c r="O49" s="903">
        <f t="shared" si="6"/>
        <v>1.2030916322172371</v>
      </c>
      <c r="P49" s="747"/>
    </row>
    <row r="50" spans="1:17" ht="15.6">
      <c r="A50" s="1352" t="s">
        <v>58</v>
      </c>
      <c r="B50" s="1335">
        <f>59734+65037+69566+76869+85180+98871+84349+95878+74900+91720+96454+90939</f>
        <v>989497</v>
      </c>
      <c r="C50" s="1336">
        <v>124771</v>
      </c>
      <c r="D50" s="1337">
        <f>90832+90726</f>
        <v>181558</v>
      </c>
      <c r="E50" s="620">
        <f t="shared" si="11"/>
        <v>90726</v>
      </c>
      <c r="F50" s="104">
        <v>34106</v>
      </c>
      <c r="G50" s="104">
        <v>36023</v>
      </c>
      <c r="H50" s="104"/>
      <c r="I50" s="1037"/>
      <c r="J50" s="104">
        <v>20597</v>
      </c>
      <c r="K50" s="1056">
        <v>11866</v>
      </c>
      <c r="L50" s="1056">
        <f>26092+599+4302</f>
        <v>30993</v>
      </c>
      <c r="M50" s="119"/>
      <c r="N50" s="118"/>
      <c r="O50" s="903">
        <f t="shared" si="6"/>
        <v>1.4551297977895505</v>
      </c>
      <c r="P50" s="707"/>
    </row>
    <row r="51" spans="1:17" ht="15.6">
      <c r="A51" s="1352" t="s">
        <v>59</v>
      </c>
      <c r="B51" s="1335">
        <f>47624+41548+39771+61527+61540+40461+59109+75205+60419+66567+64451+64941</f>
        <v>683163</v>
      </c>
      <c r="C51" s="1336">
        <v>89172</v>
      </c>
      <c r="D51" s="1337">
        <f>85962+38994</f>
        <v>124956</v>
      </c>
      <c r="E51" s="620">
        <f t="shared" si="11"/>
        <v>38994</v>
      </c>
      <c r="F51" s="104">
        <v>19757</v>
      </c>
      <c r="G51" s="104">
        <v>16231</v>
      </c>
      <c r="H51" s="104"/>
      <c r="I51" s="104"/>
      <c r="J51" s="104">
        <v>3006</v>
      </c>
      <c r="K51" s="1118">
        <v>7054</v>
      </c>
      <c r="L51" s="1118">
        <f>22+9362</f>
        <v>9384</v>
      </c>
      <c r="M51" s="1118">
        <v>1396</v>
      </c>
      <c r="N51" s="1020">
        <v>35587</v>
      </c>
      <c r="O51" s="903">
        <f t="shared" si="6"/>
        <v>1.4012918853451757</v>
      </c>
      <c r="P51" s="707"/>
    </row>
    <row r="52" spans="1:17" ht="15.6">
      <c r="A52" s="1353" t="s">
        <v>113</v>
      </c>
      <c r="B52" s="1354"/>
      <c r="C52" s="1354"/>
      <c r="D52" s="259"/>
      <c r="E52" s="259"/>
      <c r="F52" s="259"/>
      <c r="G52" s="259"/>
      <c r="H52" s="259"/>
      <c r="I52" s="259"/>
      <c r="J52" s="259"/>
      <c r="K52" s="259"/>
      <c r="L52" s="259"/>
      <c r="M52" s="259"/>
      <c r="N52" s="259"/>
      <c r="O52" s="259"/>
      <c r="P52" s="1272"/>
    </row>
    <row r="53" spans="1:17" ht="15.6">
      <c r="A53" s="831" t="s">
        <v>61</v>
      </c>
      <c r="B53" s="1355">
        <v>1755236</v>
      </c>
      <c r="C53" s="1356">
        <v>238036</v>
      </c>
      <c r="D53" s="1357">
        <f>156633+128740</f>
        <v>285373</v>
      </c>
      <c r="E53" s="1358">
        <v>128740</v>
      </c>
      <c r="F53" s="835">
        <v>45724</v>
      </c>
      <c r="G53" s="835">
        <v>58535</v>
      </c>
      <c r="H53" s="968"/>
      <c r="I53" s="968"/>
      <c r="J53" s="952">
        <v>24481</v>
      </c>
      <c r="K53" s="1130"/>
      <c r="L53" s="1130"/>
      <c r="M53" s="1130"/>
      <c r="N53" s="1131"/>
      <c r="O53" s="1132">
        <f>+D53/C53</f>
        <v>1.1988648775815423</v>
      </c>
      <c r="P53" s="742"/>
      <c r="Q53" s="755"/>
    </row>
    <row r="54" spans="1:17" ht="15.6">
      <c r="A54" s="68"/>
      <c r="B54" s="260"/>
      <c r="C54" s="1359"/>
      <c r="D54" s="1360"/>
      <c r="E54" s="945"/>
      <c r="F54" s="654"/>
      <c r="G54" s="654"/>
      <c r="H54" s="260"/>
      <c r="I54" s="1388"/>
      <c r="J54" s="1043"/>
      <c r="K54" s="119"/>
      <c r="L54" s="119"/>
      <c r="M54" s="119"/>
      <c r="N54" s="118"/>
      <c r="O54" s="903"/>
      <c r="P54" s="742"/>
      <c r="Q54" s="755"/>
    </row>
    <row r="55" spans="1:17" ht="15.6">
      <c r="A55" s="140" t="s">
        <v>62</v>
      </c>
      <c r="B55" s="142">
        <f>SUM(B56:B63)</f>
        <v>55955</v>
      </c>
      <c r="C55" s="1044">
        <v>7241</v>
      </c>
      <c r="D55" s="1097">
        <f>SUM(D56:D63)</f>
        <v>6194</v>
      </c>
      <c r="E55" s="1096">
        <f t="shared" ref="E55" si="12">SUM(E56:E63)</f>
        <v>3244</v>
      </c>
      <c r="F55" s="1097"/>
      <c r="G55" s="1097"/>
      <c r="H55" s="1096">
        <f t="shared" ref="H55:N55" si="13">SUM(H56:H63)</f>
        <v>1746</v>
      </c>
      <c r="I55" s="1096">
        <f t="shared" si="13"/>
        <v>1498</v>
      </c>
      <c r="J55" s="1097"/>
      <c r="K55" s="1133">
        <f t="shared" si="13"/>
        <v>1201</v>
      </c>
      <c r="L55" s="1133">
        <f t="shared" si="13"/>
        <v>1117</v>
      </c>
      <c r="M55" s="1133">
        <f t="shared" si="13"/>
        <v>0</v>
      </c>
      <c r="N55" s="1133">
        <f t="shared" si="13"/>
        <v>2410</v>
      </c>
      <c r="O55" s="849">
        <f t="shared" si="6"/>
        <v>0.85540671178014083</v>
      </c>
      <c r="P55" s="707"/>
    </row>
    <row r="56" spans="1:17" ht="15.6">
      <c r="A56" s="1352" t="s">
        <v>63</v>
      </c>
      <c r="B56" s="1335">
        <f>335+74+675+1816+624+522+232+273+655+1600+1480+1538</f>
        <v>9824</v>
      </c>
      <c r="C56" s="1336">
        <v>409</v>
      </c>
      <c r="D56" s="1361">
        <v>1496</v>
      </c>
      <c r="E56" s="620">
        <f>SUM(F56:J56)</f>
        <v>754</v>
      </c>
      <c r="F56" s="971"/>
      <c r="G56" s="104"/>
      <c r="H56" s="972">
        <v>498</v>
      </c>
      <c r="I56" s="104">
        <v>256</v>
      </c>
      <c r="J56" s="104"/>
      <c r="K56" s="119">
        <f>160+2</f>
        <v>162</v>
      </c>
      <c r="L56" s="119">
        <f>2</f>
        <v>2</v>
      </c>
      <c r="M56" s="119"/>
      <c r="N56" s="118"/>
      <c r="O56" s="903">
        <f t="shared" si="6"/>
        <v>3.6577017114914425</v>
      </c>
      <c r="P56" s="707"/>
    </row>
    <row r="57" spans="1:17" ht="15.6">
      <c r="A57" s="1352" t="s">
        <v>64</v>
      </c>
      <c r="B57" s="1323"/>
      <c r="C57" s="1324"/>
      <c r="D57" s="1362"/>
      <c r="E57" s="620">
        <f t="shared" ref="E57:E63" si="14">SUM(F57:J57)</f>
        <v>0</v>
      </c>
      <c r="F57" s="974"/>
      <c r="G57" s="620"/>
      <c r="H57" s="104"/>
      <c r="I57" s="104"/>
      <c r="J57" s="104"/>
      <c r="K57" s="119"/>
      <c r="L57" s="119"/>
      <c r="M57" s="119"/>
      <c r="N57" s="118"/>
      <c r="O57" s="903"/>
      <c r="P57" s="707"/>
    </row>
    <row r="58" spans="1:17" ht="15.6">
      <c r="A58" s="1352" t="s">
        <v>65</v>
      </c>
      <c r="B58" s="1335">
        <f>1670+1062+1129+1350+1391+1439+1192+1252+1332+1078+1196+1258</f>
        <v>15349</v>
      </c>
      <c r="C58" s="1336">
        <v>2732</v>
      </c>
      <c r="D58" s="1361">
        <v>1143</v>
      </c>
      <c r="E58" s="620">
        <f t="shared" si="14"/>
        <v>751</v>
      </c>
      <c r="F58" s="972"/>
      <c r="G58" s="620"/>
      <c r="H58" s="104">
        <v>387</v>
      </c>
      <c r="I58" s="104">
        <v>364</v>
      </c>
      <c r="J58" s="104"/>
      <c r="K58" s="119">
        <f>107+208</f>
        <v>315</v>
      </c>
      <c r="L58" s="119">
        <f>226+126</f>
        <v>352</v>
      </c>
      <c r="M58" s="119"/>
      <c r="N58" s="118">
        <v>751</v>
      </c>
      <c r="O58" s="903">
        <f t="shared" si="6"/>
        <v>0.41837481698389456</v>
      </c>
      <c r="P58" s="707"/>
    </row>
    <row r="59" spans="1:17" ht="15.6">
      <c r="A59" s="1352" t="s">
        <v>66</v>
      </c>
      <c r="B59" s="1323">
        <f>1089+517+1381+2546+1336+1503+1713+1785+1646+1436+909+1418</f>
        <v>17279</v>
      </c>
      <c r="C59" s="1324">
        <v>1606</v>
      </c>
      <c r="D59" s="1362">
        <v>1838</v>
      </c>
      <c r="E59" s="620">
        <f t="shared" si="14"/>
        <v>946</v>
      </c>
      <c r="F59" s="974"/>
      <c r="G59" s="620"/>
      <c r="H59" s="104">
        <v>530</v>
      </c>
      <c r="I59" s="104">
        <v>416</v>
      </c>
      <c r="J59" s="104"/>
      <c r="K59" s="1056">
        <f>4+376</f>
        <v>380</v>
      </c>
      <c r="L59" s="1056">
        <f>486</f>
        <v>486</v>
      </c>
      <c r="M59" s="119"/>
      <c r="N59" s="118">
        <v>866</v>
      </c>
      <c r="O59" s="903">
        <f t="shared" si="6"/>
        <v>1.1444582814445827</v>
      </c>
      <c r="P59" s="707"/>
    </row>
    <row r="60" spans="1:17" ht="15.6">
      <c r="A60" s="1363" t="s">
        <v>67</v>
      </c>
      <c r="B60" s="1334"/>
      <c r="C60" s="1324"/>
      <c r="D60" s="929"/>
      <c r="E60" s="620">
        <f t="shared" si="14"/>
        <v>0</v>
      </c>
      <c r="F60" s="1045"/>
      <c r="G60" s="620"/>
      <c r="H60" s="104"/>
      <c r="I60" s="104"/>
      <c r="J60" s="104"/>
      <c r="K60" s="119"/>
      <c r="L60" s="119"/>
      <c r="M60" s="119"/>
      <c r="N60" s="118"/>
      <c r="O60" s="903"/>
      <c r="P60" s="707"/>
    </row>
    <row r="61" spans="1:17" ht="15.6">
      <c r="A61" s="1352" t="s">
        <v>68</v>
      </c>
      <c r="B61" s="1323">
        <f>949+632+800+680+378+254+120+150+155+159+135+133</f>
        <v>4545</v>
      </c>
      <c r="C61" s="1324">
        <v>1581</v>
      </c>
      <c r="D61" s="974">
        <v>492</v>
      </c>
      <c r="E61" s="620">
        <f t="shared" si="14"/>
        <v>202</v>
      </c>
      <c r="F61" s="974"/>
      <c r="G61" s="620"/>
      <c r="H61" s="104">
        <v>72</v>
      </c>
      <c r="I61" s="104">
        <v>130</v>
      </c>
      <c r="J61" s="104"/>
      <c r="K61" s="1056">
        <v>202</v>
      </c>
      <c r="L61" s="1056">
        <f>72</f>
        <v>72</v>
      </c>
      <c r="M61" s="119"/>
      <c r="N61" s="118">
        <v>202</v>
      </c>
      <c r="O61" s="903">
        <f t="shared" si="6"/>
        <v>0.31119544592030363</v>
      </c>
      <c r="P61" s="707"/>
    </row>
    <row r="62" spans="1:17" ht="15.6">
      <c r="A62" s="1364" t="s">
        <v>69</v>
      </c>
      <c r="B62" s="1335"/>
      <c r="C62" s="1365"/>
      <c r="D62" s="1361"/>
      <c r="E62" s="620">
        <f t="shared" si="14"/>
        <v>0</v>
      </c>
      <c r="F62" s="972"/>
      <c r="G62" s="1047"/>
      <c r="H62" s="664"/>
      <c r="I62" s="664"/>
      <c r="J62" s="664"/>
      <c r="K62" s="259"/>
      <c r="L62" s="259"/>
      <c r="M62" s="259"/>
      <c r="N62" s="1009"/>
      <c r="O62" s="903"/>
      <c r="P62" s="707"/>
    </row>
    <row r="63" spans="1:17" ht="15.6">
      <c r="A63" s="1352" t="s">
        <v>70</v>
      </c>
      <c r="B63" s="1335">
        <f>703+210+509+267+526+508+670+637+1462+1836+801+829</f>
        <v>8958</v>
      </c>
      <c r="C63" s="1366">
        <v>913</v>
      </c>
      <c r="D63" s="1361">
        <v>1225</v>
      </c>
      <c r="E63" s="620">
        <f t="shared" si="14"/>
        <v>591</v>
      </c>
      <c r="F63" s="104"/>
      <c r="G63" s="104"/>
      <c r="H63" s="104">
        <v>259</v>
      </c>
      <c r="I63" s="104">
        <v>332</v>
      </c>
      <c r="J63" s="104"/>
      <c r="K63" s="1056">
        <f>139+3</f>
        <v>142</v>
      </c>
      <c r="L63" s="1056">
        <f>205</f>
        <v>205</v>
      </c>
      <c r="M63" s="1056"/>
      <c r="N63" s="1022">
        <v>591</v>
      </c>
      <c r="O63" s="903">
        <f t="shared" si="6"/>
        <v>1.3417305585980284</v>
      </c>
      <c r="P63" s="707"/>
      <c r="Q63" s="754"/>
    </row>
    <row r="64" spans="1:17" ht="15.6">
      <c r="A64" s="231"/>
      <c r="B64" s="763"/>
      <c r="C64" s="1367"/>
      <c r="D64" s="763"/>
      <c r="E64" s="1049"/>
      <c r="F64" s="1050"/>
      <c r="G64" s="1051"/>
      <c r="H64" s="1050"/>
      <c r="I64" s="1050"/>
      <c r="J64" s="1050"/>
      <c r="K64" s="1050"/>
      <c r="L64" s="1050"/>
      <c r="M64" s="1050"/>
      <c r="N64" s="1061"/>
      <c r="O64" s="1389"/>
      <c r="P64" s="707"/>
    </row>
    <row r="65" spans="1:17" ht="15">
      <c r="A65" s="235" t="s">
        <v>71</v>
      </c>
      <c r="B65" s="236">
        <f>B6+B28+B33+B45+B55</f>
        <v>21049806</v>
      </c>
      <c r="C65" s="236">
        <f>C6+C28+C33+C45+C55</f>
        <v>3236322</v>
      </c>
      <c r="D65" s="236">
        <f>D6+D28+D33+D45+D55</f>
        <v>3342000</v>
      </c>
      <c r="E65" s="236">
        <f>E6+E28+E33+E45+E55</f>
        <v>1447754</v>
      </c>
      <c r="F65" s="1135">
        <f>F6+F28+F33+F45+F55</f>
        <v>597458</v>
      </c>
      <c r="G65" s="1136">
        <f t="shared" ref="G65:N65" si="15">G6+G28+F33+G45+G55</f>
        <v>606479</v>
      </c>
      <c r="H65" s="1136">
        <f t="shared" si="15"/>
        <v>224396</v>
      </c>
      <c r="I65" s="1136">
        <f t="shared" si="15"/>
        <v>94500</v>
      </c>
      <c r="J65" s="1136">
        <f t="shared" si="15"/>
        <v>162822</v>
      </c>
      <c r="K65" s="1136">
        <f t="shared" si="15"/>
        <v>90257</v>
      </c>
      <c r="L65" s="1136">
        <f t="shared" si="15"/>
        <v>288820</v>
      </c>
      <c r="M65" s="1136">
        <f t="shared" si="15"/>
        <v>83696</v>
      </c>
      <c r="N65" s="1136">
        <f t="shared" si="15"/>
        <v>38724</v>
      </c>
      <c r="O65" s="1143">
        <f t="shared" si="6"/>
        <v>1.032653734702542</v>
      </c>
      <c r="P65" s="783"/>
    </row>
    <row r="66" spans="1:17">
      <c r="A66" s="1390" t="s">
        <v>72</v>
      </c>
      <c r="B66" s="1391">
        <f>B65+B26+B43+B53</f>
        <v>25231579</v>
      </c>
      <c r="C66" s="1391">
        <f>C65+C26+C43+C53</f>
        <v>3796142</v>
      </c>
      <c r="D66" s="1391">
        <f>D65+D26+D43+D53</f>
        <v>3989501</v>
      </c>
      <c r="E66" s="1391">
        <f>E65+E26+E43+E53</f>
        <v>1736473</v>
      </c>
      <c r="F66" s="1054"/>
      <c r="G66" s="1054"/>
      <c r="H66" s="151"/>
      <c r="I66" s="151"/>
      <c r="J66" s="151"/>
      <c r="K66" s="151"/>
      <c r="L66" s="1054"/>
      <c r="N66" s="1054"/>
      <c r="O66" s="911"/>
    </row>
    <row r="67" spans="1:17">
      <c r="A67" s="2"/>
      <c r="B67" s="241"/>
      <c r="C67" s="241"/>
      <c r="D67" s="241"/>
      <c r="E67" s="241"/>
      <c r="F67" s="152"/>
      <c r="G67" s="152"/>
      <c r="H67" s="2"/>
      <c r="I67" s="2"/>
      <c r="J67" s="2"/>
      <c r="K67" s="2"/>
      <c r="L67" s="152"/>
      <c r="M67" s="152" t="s">
        <v>114</v>
      </c>
      <c r="N67" s="152"/>
      <c r="O67" s="2"/>
    </row>
    <row r="68" spans="1:17">
      <c r="B68" s="2"/>
      <c r="C68" s="2"/>
      <c r="D68" s="152"/>
      <c r="E68" s="2"/>
      <c r="F68" s="152"/>
      <c r="G68" s="2"/>
      <c r="H68" s="2"/>
      <c r="I68" s="2"/>
      <c r="J68" s="2"/>
      <c r="K68" s="2"/>
      <c r="L68" s="152"/>
      <c r="M68" s="152"/>
      <c r="N68" s="152"/>
      <c r="O68" s="2"/>
    </row>
    <row r="69" spans="1:17">
      <c r="B69" s="2"/>
      <c r="C69" s="2"/>
      <c r="D69" s="786" t="s">
        <v>74</v>
      </c>
      <c r="E69" s="786" t="s">
        <v>75</v>
      </c>
      <c r="F69" s="786" t="s">
        <v>76</v>
      </c>
      <c r="G69" s="786" t="s">
        <v>77</v>
      </c>
      <c r="H69" s="786" t="s">
        <v>78</v>
      </c>
      <c r="I69" s="786" t="s">
        <v>79</v>
      </c>
      <c r="J69" s="786" t="s">
        <v>80</v>
      </c>
      <c r="K69" s="786" t="s">
        <v>81</v>
      </c>
      <c r="L69" s="786" t="s">
        <v>82</v>
      </c>
      <c r="M69" s="786" t="s">
        <v>83</v>
      </c>
      <c r="N69" s="786" t="s">
        <v>84</v>
      </c>
      <c r="O69" s="786" t="s">
        <v>85</v>
      </c>
      <c r="P69" s="786" t="s">
        <v>86</v>
      </c>
    </row>
    <row r="70" spans="1:17">
      <c r="B70" s="246" t="s">
        <v>87</v>
      </c>
      <c r="C70" s="246"/>
      <c r="D70" s="1056">
        <v>1737613</v>
      </c>
      <c r="E70" s="1056">
        <v>1447754</v>
      </c>
      <c r="F70" s="1057"/>
      <c r="G70" s="1056"/>
      <c r="H70" s="1056"/>
      <c r="I70" s="3"/>
      <c r="J70" s="1056"/>
      <c r="K70" s="789"/>
      <c r="L70" s="1056"/>
      <c r="M70" s="789"/>
      <c r="N70" s="268"/>
      <c r="O70" s="789"/>
      <c r="P70" s="790">
        <f>SUM(D70:O70)</f>
        <v>3185367</v>
      </c>
    </row>
    <row r="71" spans="1:17">
      <c r="A71" s="2"/>
      <c r="B71" s="249" t="s">
        <v>88</v>
      </c>
      <c r="C71" s="249"/>
      <c r="D71" s="1139"/>
      <c r="E71" s="271">
        <f t="shared" ref="E71:O71" si="16">IF(D70&gt;0,E70/D70,0)*100</f>
        <v>83.318552520037542</v>
      </c>
      <c r="F71" s="271">
        <f t="shared" si="16"/>
        <v>0</v>
      </c>
      <c r="G71" s="271">
        <f t="shared" si="16"/>
        <v>0</v>
      </c>
      <c r="H71" s="271">
        <f t="shared" si="16"/>
        <v>0</v>
      </c>
      <c r="I71" s="271">
        <f t="shared" si="16"/>
        <v>0</v>
      </c>
      <c r="J71" s="271">
        <f t="shared" si="16"/>
        <v>0</v>
      </c>
      <c r="K71" s="271">
        <f t="shared" si="16"/>
        <v>0</v>
      </c>
      <c r="L71" s="271">
        <f t="shared" si="16"/>
        <v>0</v>
      </c>
      <c r="M71" s="271">
        <f t="shared" si="16"/>
        <v>0</v>
      </c>
      <c r="N71" s="271">
        <f t="shared" si="16"/>
        <v>0</v>
      </c>
      <c r="O71" s="271">
        <f t="shared" si="16"/>
        <v>0</v>
      </c>
      <c r="P71" s="791">
        <f>P70/C65</f>
        <v>0.98425527496954879</v>
      </c>
    </row>
    <row r="72" spans="1:17">
      <c r="A72" s="2"/>
      <c r="B72" s="251"/>
      <c r="C72" s="251"/>
      <c r="D72" s="251"/>
      <c r="E72" s="268"/>
      <c r="F72" s="251"/>
      <c r="G72" s="2" t="s">
        <v>115</v>
      </c>
      <c r="H72" s="2"/>
      <c r="I72" s="2"/>
      <c r="J72" s="2"/>
      <c r="K72" s="2"/>
      <c r="L72" s="2"/>
      <c r="M72" s="152"/>
      <c r="N72" s="152"/>
      <c r="O72" s="152"/>
      <c r="P72" s="2"/>
    </row>
    <row r="73" spans="1:17">
      <c r="A73" s="1442" t="s">
        <v>89</v>
      </c>
      <c r="B73" s="152"/>
      <c r="C73" s="152"/>
      <c r="D73" s="152"/>
      <c r="E73" s="152"/>
      <c r="F73" s="2"/>
      <c r="G73" s="2"/>
      <c r="H73" s="2"/>
      <c r="I73" s="2"/>
      <c r="J73" s="2"/>
      <c r="K73" s="2"/>
      <c r="L73" s="2"/>
      <c r="M73" s="152"/>
      <c r="N73" s="152"/>
      <c r="O73" s="152"/>
      <c r="P73" s="2"/>
      <c r="Q73" s="3"/>
    </row>
    <row r="74" spans="1:17">
      <c r="A74" s="2" t="s">
        <v>90</v>
      </c>
      <c r="B74" s="152"/>
      <c r="C74" s="152"/>
      <c r="D74" s="152"/>
      <c r="E74" s="152"/>
      <c r="F74" s="2"/>
      <c r="G74" s="2"/>
      <c r="H74" s="2"/>
      <c r="I74" s="2"/>
      <c r="J74" s="2"/>
      <c r="K74" s="2"/>
      <c r="L74" s="2"/>
      <c r="M74" s="152"/>
      <c r="N74" s="152"/>
      <c r="O74" s="152"/>
      <c r="P74" s="2"/>
      <c r="Q74" s="3"/>
    </row>
    <row r="75" spans="1:17">
      <c r="A75" s="1442" t="s">
        <v>91</v>
      </c>
      <c r="B75" s="152"/>
      <c r="C75" s="152"/>
      <c r="D75" s="152"/>
      <c r="E75" s="152"/>
      <c r="F75" s="2"/>
      <c r="G75" s="2"/>
      <c r="H75" s="2"/>
      <c r="I75" s="2"/>
      <c r="J75" s="2"/>
      <c r="K75" s="2"/>
      <c r="L75" s="2"/>
      <c r="M75" s="152"/>
      <c r="N75" s="152"/>
      <c r="O75" s="152"/>
      <c r="P75" s="2"/>
      <c r="Q75" s="3"/>
    </row>
    <row r="76" spans="1:17">
      <c r="A76" s="1443" t="s">
        <v>92</v>
      </c>
      <c r="B76" s="152"/>
      <c r="C76" s="152"/>
      <c r="D76" s="152"/>
      <c r="E76" s="152"/>
      <c r="F76" s="2"/>
      <c r="G76" s="2"/>
      <c r="H76" s="2"/>
      <c r="I76" s="2"/>
      <c r="J76" s="2"/>
      <c r="K76" s="2"/>
      <c r="L76" s="2"/>
      <c r="M76" s="152"/>
      <c r="N76" s="152"/>
      <c r="O76" s="152"/>
      <c r="P76" s="2"/>
      <c r="Q76" s="281"/>
    </row>
    <row r="77" spans="1:17">
      <c r="A77" s="2" t="s">
        <v>93</v>
      </c>
      <c r="B77" s="2"/>
      <c r="C77" s="2"/>
      <c r="D77" s="2"/>
      <c r="E77" s="2"/>
      <c r="F77" s="2"/>
      <c r="G77" s="2"/>
      <c r="H77" s="2"/>
      <c r="I77" s="2"/>
      <c r="K77" s="2"/>
      <c r="M77" s="152"/>
      <c r="N77" s="152"/>
      <c r="O77" s="152"/>
      <c r="P77" s="2"/>
    </row>
    <row r="78" spans="1:17">
      <c r="A78" s="2" t="s">
        <v>94</v>
      </c>
      <c r="B78" s="2"/>
      <c r="C78" s="2"/>
      <c r="D78" s="2"/>
      <c r="E78" s="2"/>
      <c r="F78" s="2"/>
      <c r="G78" s="2"/>
      <c r="H78" s="2"/>
      <c r="I78" s="2"/>
      <c r="K78" s="2"/>
      <c r="M78" s="152"/>
      <c r="N78" s="152"/>
      <c r="O78" s="273"/>
      <c r="P78" s="2"/>
    </row>
    <row r="79" spans="1:17">
      <c r="A79" s="2" t="s">
        <v>95</v>
      </c>
      <c r="B79" s="2"/>
      <c r="C79" s="2"/>
      <c r="D79" s="2"/>
      <c r="E79" s="2"/>
      <c r="F79" s="2"/>
      <c r="G79" s="2"/>
      <c r="H79" s="2"/>
      <c r="I79" s="2"/>
      <c r="K79" s="2"/>
      <c r="L79" s="2"/>
      <c r="M79" s="152"/>
      <c r="N79" s="152"/>
      <c r="O79" s="152"/>
      <c r="P79" s="2"/>
    </row>
    <row r="81" spans="1:15" ht="15.6">
      <c r="B81" s="875" t="s">
        <v>96</v>
      </c>
      <c r="C81" s="875"/>
      <c r="D81" s="875"/>
      <c r="E81" s="875"/>
      <c r="F81" s="875"/>
      <c r="G81" s="875"/>
      <c r="H81" s="875"/>
      <c r="I81" s="875"/>
      <c r="J81" s="875"/>
      <c r="K81" s="875"/>
      <c r="L81" s="875"/>
      <c r="M81" s="875"/>
      <c r="N81" s="875"/>
      <c r="O81" s="875"/>
    </row>
    <row r="82" spans="1:15">
      <c r="A82" s="775" t="s">
        <v>97</v>
      </c>
      <c r="B82" s="776" t="s">
        <v>74</v>
      </c>
      <c r="C82" s="776" t="s">
        <v>75</v>
      </c>
      <c r="D82" s="776" t="s">
        <v>76</v>
      </c>
      <c r="E82" s="776" t="s">
        <v>77</v>
      </c>
      <c r="F82" s="776" t="s">
        <v>78</v>
      </c>
      <c r="G82" s="776" t="s">
        <v>79</v>
      </c>
      <c r="H82" s="776" t="s">
        <v>80</v>
      </c>
      <c r="I82" s="776" t="s">
        <v>81</v>
      </c>
      <c r="J82" s="776" t="s">
        <v>82</v>
      </c>
      <c r="K82" s="776" t="s">
        <v>83</v>
      </c>
      <c r="L82" s="776" t="s">
        <v>84</v>
      </c>
      <c r="M82" s="776" t="s">
        <v>85</v>
      </c>
      <c r="N82" s="776" t="s">
        <v>86</v>
      </c>
      <c r="O82" s="775" t="s">
        <v>98</v>
      </c>
    </row>
    <row r="83" spans="1:15">
      <c r="A83" s="876" t="s">
        <v>99</v>
      </c>
      <c r="B83" s="877">
        <v>5672894</v>
      </c>
      <c r="C83" s="879">
        <v>4899761</v>
      </c>
      <c r="D83" s="889"/>
      <c r="E83" s="889"/>
      <c r="F83" s="889"/>
      <c r="G83" s="889"/>
      <c r="H83" s="889"/>
      <c r="I83" s="889"/>
      <c r="J83" s="889"/>
      <c r="K83" s="889"/>
      <c r="L83" s="889"/>
      <c r="M83" s="889"/>
      <c r="N83" s="1058">
        <f>SUM(B83:M83)</f>
        <v>10572655</v>
      </c>
      <c r="O83" s="886">
        <f>N83/$N$83%</f>
        <v>100</v>
      </c>
    </row>
    <row r="84" spans="1:15">
      <c r="A84" s="259" t="s">
        <v>100</v>
      </c>
      <c r="B84" s="260">
        <v>1809898</v>
      </c>
      <c r="C84" s="259">
        <v>1730564</v>
      </c>
      <c r="D84" s="259"/>
      <c r="E84" s="259"/>
      <c r="F84" s="259"/>
      <c r="G84" s="259"/>
      <c r="H84" s="259"/>
      <c r="I84" s="259"/>
      <c r="J84" s="259"/>
      <c r="K84" s="259"/>
      <c r="L84" s="259"/>
      <c r="M84" s="259"/>
      <c r="N84" s="1280">
        <f t="shared" ref="N84:N99" si="17">SUM(B84:M84)</f>
        <v>3540462</v>
      </c>
      <c r="O84" s="1282">
        <f t="shared" ref="O84:O90" si="18">N84/$N$83%</f>
        <v>33.486971815499508</v>
      </c>
    </row>
    <row r="85" spans="1:15">
      <c r="A85" s="259" t="s">
        <v>101</v>
      </c>
      <c r="B85" s="260">
        <v>216643</v>
      </c>
      <c r="C85" s="259">
        <v>165584</v>
      </c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1280">
        <f t="shared" si="17"/>
        <v>382227</v>
      </c>
      <c r="O85" s="1282">
        <f t="shared" si="18"/>
        <v>3.6152413939544985</v>
      </c>
    </row>
    <row r="86" spans="1:15">
      <c r="A86" s="259" t="s">
        <v>102</v>
      </c>
      <c r="B86" s="260">
        <v>1371301</v>
      </c>
      <c r="C86" s="259">
        <v>870579</v>
      </c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1280">
        <f t="shared" si="17"/>
        <v>2241880</v>
      </c>
      <c r="O86" s="1282">
        <f t="shared" si="18"/>
        <v>21.2045129629218</v>
      </c>
    </row>
    <row r="87" spans="1:15">
      <c r="A87" s="259" t="s">
        <v>103</v>
      </c>
      <c r="B87" s="260">
        <v>758783</v>
      </c>
      <c r="C87" s="259">
        <v>620788</v>
      </c>
      <c r="D87" s="259"/>
      <c r="E87" s="259"/>
      <c r="F87" s="259"/>
      <c r="G87" s="259"/>
      <c r="H87" s="259"/>
      <c r="I87" s="259"/>
      <c r="J87" s="259"/>
      <c r="K87" s="259"/>
      <c r="L87" s="259"/>
      <c r="M87" s="259"/>
      <c r="N87" s="1280">
        <f t="shared" si="17"/>
        <v>1379571</v>
      </c>
      <c r="O87" s="1282">
        <f t="shared" si="18"/>
        <v>13.048482145686206</v>
      </c>
    </row>
    <row r="88" spans="1:15">
      <c r="A88" s="259" t="s">
        <v>104</v>
      </c>
      <c r="B88" s="260">
        <v>663451</v>
      </c>
      <c r="C88" s="259">
        <v>687147</v>
      </c>
      <c r="D88" s="259"/>
      <c r="E88" s="259"/>
      <c r="F88" s="259"/>
      <c r="G88" s="259"/>
      <c r="H88" s="259"/>
      <c r="I88" s="259"/>
      <c r="J88" s="259"/>
      <c r="K88" s="259"/>
      <c r="L88" s="259"/>
      <c r="M88" s="259"/>
      <c r="N88" s="1280">
        <f t="shared" si="17"/>
        <v>1350598</v>
      </c>
      <c r="O88" s="1282">
        <f t="shared" si="18"/>
        <v>12.774445018777213</v>
      </c>
    </row>
    <row r="89" spans="1:15">
      <c r="A89" s="259" t="s">
        <v>105</v>
      </c>
      <c r="B89" s="260">
        <v>94829</v>
      </c>
      <c r="C89" s="259">
        <v>74713</v>
      </c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1280">
        <f t="shared" si="17"/>
        <v>169542</v>
      </c>
      <c r="O89" s="1282">
        <f t="shared" si="18"/>
        <v>1.6035896376075829</v>
      </c>
    </row>
    <row r="90" spans="1:15">
      <c r="A90" s="259" t="s">
        <v>58</v>
      </c>
      <c r="B90" s="260">
        <v>644996</v>
      </c>
      <c r="C90" s="259">
        <v>549797</v>
      </c>
      <c r="D90" s="259"/>
      <c r="E90" s="259"/>
      <c r="F90" s="259"/>
      <c r="G90" s="259"/>
      <c r="H90" s="259"/>
      <c r="I90" s="259"/>
      <c r="J90" s="259"/>
      <c r="K90" s="259"/>
      <c r="L90" s="259"/>
      <c r="M90" s="259"/>
      <c r="N90" s="1280">
        <f t="shared" si="17"/>
        <v>1194793</v>
      </c>
      <c r="O90" s="1282">
        <f t="shared" si="18"/>
        <v>11.300784902183983</v>
      </c>
    </row>
    <row r="91" spans="1:15">
      <c r="A91" s="879" t="s">
        <v>106</v>
      </c>
      <c r="B91" s="878">
        <v>6857452</v>
      </c>
      <c r="C91" s="879">
        <v>5513308</v>
      </c>
      <c r="D91" s="259"/>
      <c r="E91" s="259"/>
      <c r="F91" s="259"/>
      <c r="G91" s="259"/>
      <c r="H91" s="259"/>
      <c r="I91" s="259"/>
      <c r="J91" s="259"/>
      <c r="K91" s="259"/>
      <c r="L91" s="259"/>
      <c r="M91" s="259"/>
      <c r="N91" s="1058">
        <f t="shared" si="17"/>
        <v>12370760</v>
      </c>
      <c r="O91" s="886">
        <f>N91/$N$91%</f>
        <v>100</v>
      </c>
    </row>
    <row r="92" spans="1:15">
      <c r="A92" s="259" t="s">
        <v>100</v>
      </c>
      <c r="B92" s="260">
        <v>2135077</v>
      </c>
      <c r="C92" s="259">
        <v>1954967</v>
      </c>
      <c r="D92" s="259"/>
      <c r="E92" s="259"/>
      <c r="F92" s="259"/>
      <c r="G92" s="259"/>
      <c r="H92" s="259"/>
      <c r="I92" s="259"/>
      <c r="J92" s="259"/>
      <c r="K92" s="259"/>
      <c r="L92" s="259"/>
      <c r="M92" s="259"/>
      <c r="N92" s="1280">
        <f t="shared" si="17"/>
        <v>4090044</v>
      </c>
      <c r="O92" s="1282">
        <f t="shared" ref="O92:O98" si="19">N92/$N$91%</f>
        <v>33.062188580168069</v>
      </c>
    </row>
    <row r="93" spans="1:15">
      <c r="A93" s="259" t="s">
        <v>101</v>
      </c>
      <c r="B93" s="260">
        <v>263002</v>
      </c>
      <c r="C93" s="259">
        <v>221352</v>
      </c>
      <c r="D93" s="259"/>
      <c r="E93" s="259"/>
      <c r="F93" s="259"/>
      <c r="G93" s="259"/>
      <c r="H93" s="259"/>
      <c r="I93" s="259"/>
      <c r="J93" s="259"/>
      <c r="K93" s="259"/>
      <c r="L93" s="259"/>
      <c r="M93" s="259"/>
      <c r="N93" s="1280">
        <f t="shared" si="17"/>
        <v>484354</v>
      </c>
      <c r="O93" s="1282">
        <f t="shared" si="19"/>
        <v>3.9153132063026037</v>
      </c>
    </row>
    <row r="94" spans="1:15">
      <c r="A94" s="259" t="s">
        <v>102</v>
      </c>
      <c r="B94" s="260">
        <v>1600519</v>
      </c>
      <c r="C94" s="259">
        <v>975825</v>
      </c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1280">
        <f t="shared" si="17"/>
        <v>2576344</v>
      </c>
      <c r="O94" s="1282">
        <f t="shared" si="19"/>
        <v>20.826076975060545</v>
      </c>
    </row>
    <row r="95" spans="1:15">
      <c r="A95" s="259" t="s">
        <v>103</v>
      </c>
      <c r="B95" s="260">
        <v>906127</v>
      </c>
      <c r="C95" s="259">
        <v>684506</v>
      </c>
      <c r="D95" s="259"/>
      <c r="E95" s="259"/>
      <c r="F95" s="259"/>
      <c r="G95" s="259"/>
      <c r="H95" s="259"/>
      <c r="I95" s="259"/>
      <c r="J95" s="259"/>
      <c r="K95" s="259"/>
      <c r="L95" s="259"/>
      <c r="M95" s="259"/>
      <c r="N95" s="1280">
        <f t="shared" si="17"/>
        <v>1590633</v>
      </c>
      <c r="O95" s="1282">
        <f t="shared" si="19"/>
        <v>12.858005490365992</v>
      </c>
    </row>
    <row r="96" spans="1:15">
      <c r="A96" s="259" t="s">
        <v>104</v>
      </c>
      <c r="B96" s="260">
        <v>910303</v>
      </c>
      <c r="C96" s="259">
        <v>843503</v>
      </c>
      <c r="D96" s="259"/>
      <c r="E96" s="259"/>
      <c r="F96" s="259"/>
      <c r="G96" s="259"/>
      <c r="H96" s="259"/>
      <c r="I96" s="259"/>
      <c r="J96" s="259"/>
      <c r="K96" s="259"/>
      <c r="L96" s="259"/>
      <c r="M96" s="259"/>
      <c r="N96" s="1280">
        <f t="shared" si="17"/>
        <v>1753806</v>
      </c>
      <c r="O96" s="1282">
        <f t="shared" si="19"/>
        <v>14.177027118786558</v>
      </c>
    </row>
    <row r="97" spans="1:15">
      <c r="A97" s="259" t="s">
        <v>105</v>
      </c>
      <c r="B97" s="260">
        <v>73110</v>
      </c>
      <c r="C97" s="259">
        <v>87700</v>
      </c>
      <c r="D97" s="259"/>
      <c r="E97" s="259"/>
      <c r="F97" s="259"/>
      <c r="G97" s="259"/>
      <c r="H97" s="259"/>
      <c r="I97" s="259"/>
      <c r="J97" s="259"/>
      <c r="K97" s="259"/>
      <c r="L97" s="259"/>
      <c r="M97" s="259"/>
      <c r="N97" s="1280">
        <f t="shared" si="17"/>
        <v>160810</v>
      </c>
      <c r="O97" s="1282">
        <f t="shared" si="19"/>
        <v>1.2999201342520588</v>
      </c>
    </row>
    <row r="98" spans="1:15">
      <c r="A98" s="259" t="s">
        <v>58</v>
      </c>
      <c r="B98" s="260">
        <v>917981</v>
      </c>
      <c r="C98" s="259">
        <v>744638</v>
      </c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1280">
        <f t="shared" si="17"/>
        <v>1662619</v>
      </c>
      <c r="O98" s="1282">
        <f t="shared" si="19"/>
        <v>13.439909916609812</v>
      </c>
    </row>
    <row r="99" spans="1:15">
      <c r="A99" s="880" t="s">
        <v>107</v>
      </c>
      <c r="B99" s="881">
        <f>B83+B91</f>
        <v>12530346</v>
      </c>
      <c r="C99" s="881">
        <f>C83+C91</f>
        <v>10413069</v>
      </c>
      <c r="D99" s="881">
        <f t="shared" ref="D99:M99" si="20">D83+D91</f>
        <v>0</v>
      </c>
      <c r="E99" s="881">
        <f t="shared" si="20"/>
        <v>0</v>
      </c>
      <c r="F99" s="881">
        <f t="shared" si="20"/>
        <v>0</v>
      </c>
      <c r="G99" s="881">
        <f t="shared" si="20"/>
        <v>0</v>
      </c>
      <c r="H99" s="881">
        <f t="shared" si="20"/>
        <v>0</v>
      </c>
      <c r="I99" s="881">
        <f t="shared" si="20"/>
        <v>0</v>
      </c>
      <c r="J99" s="881">
        <f t="shared" si="20"/>
        <v>0</v>
      </c>
      <c r="K99" s="881">
        <f t="shared" si="20"/>
        <v>0</v>
      </c>
      <c r="L99" s="881">
        <f t="shared" si="20"/>
        <v>0</v>
      </c>
      <c r="M99" s="881">
        <f t="shared" si="20"/>
        <v>0</v>
      </c>
      <c r="N99" s="881">
        <f t="shared" si="17"/>
        <v>22943415</v>
      </c>
      <c r="O99" s="259"/>
    </row>
    <row r="101" spans="1:15">
      <c r="E101" s="105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2"/>
  <sheetViews>
    <sheetView workbookViewId="0">
      <selection activeCell="D12" sqref="D12"/>
    </sheetView>
  </sheetViews>
  <sheetFormatPr defaultColWidth="9" defaultRowHeight="14.4"/>
  <sheetData>
    <row r="1" spans="1:17" ht="15.6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51"/>
      <c r="Q1" s="221"/>
    </row>
    <row r="2" spans="1:1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52"/>
      <c r="N2" s="152"/>
      <c r="O2" s="152"/>
      <c r="P2" s="2"/>
    </row>
    <row r="3" spans="1:17" ht="41.4">
      <c r="A3" s="797" t="s">
        <v>1</v>
      </c>
      <c r="B3" s="588" t="s">
        <v>2</v>
      </c>
      <c r="C3" s="1190" t="s">
        <v>117</v>
      </c>
      <c r="D3" s="1191" t="s">
        <v>118</v>
      </c>
      <c r="E3" s="1192" t="s">
        <v>119</v>
      </c>
      <c r="F3" s="915"/>
      <c r="G3" s="915"/>
      <c r="H3" s="915"/>
      <c r="I3" s="915"/>
      <c r="J3" s="915"/>
      <c r="K3" s="915"/>
      <c r="L3" s="915"/>
      <c r="M3" s="915"/>
      <c r="N3" s="1253"/>
      <c r="O3" s="153" t="s">
        <v>120</v>
      </c>
      <c r="P3" s="707"/>
    </row>
    <row r="4" spans="1:17" ht="27.6">
      <c r="A4" s="802"/>
      <c r="B4" s="594"/>
      <c r="C4" s="1193"/>
      <c r="D4" s="1194"/>
      <c r="E4" s="1195" t="s">
        <v>7</v>
      </c>
      <c r="F4" s="919" t="s">
        <v>8</v>
      </c>
      <c r="G4" s="919" t="s">
        <v>9</v>
      </c>
      <c r="H4" s="919" t="s">
        <v>10</v>
      </c>
      <c r="I4" s="919" t="s">
        <v>11</v>
      </c>
      <c r="J4" s="976" t="s">
        <v>12</v>
      </c>
      <c r="K4" s="977" t="s">
        <v>13</v>
      </c>
      <c r="L4" s="977" t="s">
        <v>14</v>
      </c>
      <c r="M4" s="978" t="s">
        <v>15</v>
      </c>
      <c r="N4" s="1254" t="s">
        <v>16</v>
      </c>
      <c r="O4" s="159"/>
      <c r="P4" s="707"/>
    </row>
    <row r="5" spans="1:17" ht="15.6">
      <c r="A5" s="599"/>
      <c r="B5" s="600"/>
      <c r="C5" s="922"/>
      <c r="D5" s="1196"/>
      <c r="E5" s="1197"/>
      <c r="F5" s="922"/>
      <c r="G5" s="922"/>
      <c r="H5" s="922"/>
      <c r="I5" s="922"/>
      <c r="J5" s="980"/>
      <c r="K5" s="922"/>
      <c r="L5" s="1098"/>
      <c r="M5" s="1099"/>
      <c r="N5" s="1255"/>
      <c r="O5" s="715"/>
      <c r="P5" s="707"/>
    </row>
    <row r="6" spans="1:17" ht="15">
      <c r="A6" s="13" t="s">
        <v>17</v>
      </c>
      <c r="B6" s="14">
        <f>SUM(B8:B17)</f>
        <v>4976683</v>
      </c>
      <c r="C6" s="94">
        <v>1213842</v>
      </c>
      <c r="D6" s="1198">
        <f>SUM(D9:D17)</f>
        <v>1149641</v>
      </c>
      <c r="E6" s="1199">
        <f t="shared" ref="E6:N6" si="0">SUM(E8:E17)</f>
        <v>415089</v>
      </c>
      <c r="F6" s="104">
        <f t="shared" si="0"/>
        <v>185812</v>
      </c>
      <c r="G6" s="1065">
        <f t="shared" si="0"/>
        <v>173929</v>
      </c>
      <c r="H6" s="1065">
        <f t="shared" si="0"/>
        <v>16641</v>
      </c>
      <c r="I6" s="1065">
        <f t="shared" si="0"/>
        <v>17457</v>
      </c>
      <c r="J6" s="1065">
        <f t="shared" si="0"/>
        <v>0</v>
      </c>
      <c r="K6" s="1065">
        <f t="shared" si="0"/>
        <v>55828</v>
      </c>
      <c r="L6" s="1065">
        <f t="shared" si="0"/>
        <v>50807</v>
      </c>
      <c r="M6" s="1065">
        <f t="shared" si="0"/>
        <v>0</v>
      </c>
      <c r="N6" s="1081">
        <f t="shared" si="0"/>
        <v>1235</v>
      </c>
      <c r="O6" s="849">
        <f>+D6/C6</f>
        <v>0.94710926133714268</v>
      </c>
      <c r="P6" s="717"/>
    </row>
    <row r="7" spans="1:17" ht="15">
      <c r="A7" s="609" t="s">
        <v>18</v>
      </c>
      <c r="B7" s="618"/>
      <c r="C7" s="1200"/>
      <c r="D7" s="1201"/>
      <c r="E7" s="1202">
        <f>SUM(F7:J7)</f>
        <v>0</v>
      </c>
      <c r="F7" s="664"/>
      <c r="G7" s="664"/>
      <c r="H7" s="664"/>
      <c r="I7" s="664"/>
      <c r="J7" s="664"/>
      <c r="K7" s="259"/>
      <c r="L7" s="259"/>
      <c r="M7" s="259"/>
      <c r="N7" s="1256"/>
      <c r="O7" s="849"/>
      <c r="P7" s="717"/>
    </row>
    <row r="8" spans="1:17" ht="15.6">
      <c r="A8" s="609" t="s">
        <v>19</v>
      </c>
      <c r="B8" s="618"/>
      <c r="C8" s="1200"/>
      <c r="D8" s="1201"/>
      <c r="E8" s="1202">
        <f>SUM(F8:J8)</f>
        <v>0</v>
      </c>
      <c r="F8" s="104"/>
      <c r="G8" s="104"/>
      <c r="H8" s="104"/>
      <c r="I8" s="104"/>
      <c r="J8" s="104"/>
      <c r="K8" s="1056"/>
      <c r="L8" s="1056"/>
      <c r="M8" s="1056"/>
      <c r="N8" s="1257"/>
      <c r="O8" s="849"/>
      <c r="P8" s="707"/>
    </row>
    <row r="9" spans="1:17" ht="15">
      <c r="A9" s="609" t="s">
        <v>20</v>
      </c>
      <c r="B9" s="618">
        <f>108077+85467+113186+113042+116756+109995+110509+101300+92745+107226+101895+113016</f>
        <v>1273214</v>
      </c>
      <c r="C9" s="1200">
        <v>306730</v>
      </c>
      <c r="D9" s="1201">
        <f>195272+119565</f>
        <v>314837</v>
      </c>
      <c r="E9" s="1202">
        <f t="shared" ref="E9:E14" si="1">SUM(F9:J9)</f>
        <v>119565</v>
      </c>
      <c r="F9" s="104">
        <v>48331</v>
      </c>
      <c r="G9" s="104">
        <v>40070</v>
      </c>
      <c r="H9" s="104">
        <v>15324</v>
      </c>
      <c r="I9" s="104">
        <v>15840</v>
      </c>
      <c r="J9" s="664"/>
      <c r="K9" s="259"/>
      <c r="L9" s="259"/>
      <c r="M9" s="1056"/>
      <c r="N9" s="1257"/>
      <c r="O9" s="903">
        <f t="shared" ref="O9:O68" si="2">+D9/C9</f>
        <v>1.026430411110749</v>
      </c>
      <c r="P9" s="745"/>
      <c r="Q9" s="222"/>
    </row>
    <row r="10" spans="1:17" ht="15">
      <c r="A10" s="609" t="s">
        <v>21</v>
      </c>
      <c r="B10" s="618">
        <f>148719+103732+138638+114388+149772+144287+154524+162231+134683+114242+101779+138292</f>
        <v>1605287</v>
      </c>
      <c r="C10" s="1200">
        <v>391089</v>
      </c>
      <c r="D10" s="1203">
        <f>209265+105874</f>
        <v>315139</v>
      </c>
      <c r="E10" s="1202">
        <f t="shared" si="1"/>
        <v>105874</v>
      </c>
      <c r="F10" s="33">
        <v>49424</v>
      </c>
      <c r="G10" s="33">
        <v>56450</v>
      </c>
      <c r="H10" s="621"/>
      <c r="I10" s="621"/>
      <c r="J10" s="227"/>
      <c r="K10" s="1103">
        <v>15742</v>
      </c>
      <c r="L10" s="1103">
        <f>25028+3419</f>
        <v>28447</v>
      </c>
      <c r="M10" s="248"/>
      <c r="N10" s="1257"/>
      <c r="O10" s="903">
        <f t="shared" si="2"/>
        <v>0.805798680095835</v>
      </c>
      <c r="P10" s="733"/>
      <c r="Q10" s="222"/>
    </row>
    <row r="11" spans="1:17" ht="15">
      <c r="A11" s="609" t="s">
        <v>22</v>
      </c>
      <c r="B11" s="618"/>
      <c r="C11" s="1200"/>
      <c r="D11" s="1203"/>
      <c r="E11" s="1202"/>
      <c r="F11" s="104"/>
      <c r="G11" s="104"/>
      <c r="H11" s="104"/>
      <c r="I11" s="104"/>
      <c r="J11" s="104"/>
      <c r="K11" s="1056"/>
      <c r="L11" s="1056"/>
      <c r="M11" s="1056"/>
      <c r="N11" s="1257"/>
      <c r="O11" s="903"/>
      <c r="P11" s="1179"/>
      <c r="Q11" s="222"/>
    </row>
    <row r="12" spans="1:17" ht="15">
      <c r="A12" s="609" t="s">
        <v>23</v>
      </c>
      <c r="B12" s="618">
        <f>39231+38035+45839+55212+55252+51874+53719+51193+43893+46338+47055+45738</f>
        <v>573379</v>
      </c>
      <c r="C12" s="1200">
        <v>123105</v>
      </c>
      <c r="D12" s="1203">
        <f>74332+41587</f>
        <v>115919</v>
      </c>
      <c r="E12" s="1202">
        <f t="shared" si="1"/>
        <v>41587</v>
      </c>
      <c r="F12" s="104">
        <v>20880</v>
      </c>
      <c r="G12" s="104">
        <v>17773</v>
      </c>
      <c r="H12" s="104">
        <v>1317</v>
      </c>
      <c r="I12" s="104">
        <v>1617</v>
      </c>
      <c r="J12" s="104"/>
      <c r="K12" s="1056">
        <f>5869+2540+268+646</f>
        <v>9323</v>
      </c>
      <c r="L12" s="1056">
        <f>27+2767+279+9</f>
        <v>3082</v>
      </c>
      <c r="M12" s="1056"/>
      <c r="N12" s="1257"/>
      <c r="O12" s="903">
        <f t="shared" si="2"/>
        <v>0.94162706632549453</v>
      </c>
      <c r="P12" s="733"/>
      <c r="Q12" s="222"/>
    </row>
    <row r="13" spans="1:17" ht="15">
      <c r="A13" s="623" t="s">
        <v>24</v>
      </c>
      <c r="B13" s="618">
        <v>0</v>
      </c>
      <c r="C13" s="1200">
        <v>0</v>
      </c>
      <c r="D13" s="1203"/>
      <c r="E13" s="1202"/>
      <c r="F13" s="104"/>
      <c r="G13" s="104"/>
      <c r="H13" s="104"/>
      <c r="I13" s="104"/>
      <c r="J13" s="104"/>
      <c r="K13" s="1056"/>
      <c r="L13" s="1056"/>
      <c r="M13" s="1056"/>
      <c r="N13" s="1257"/>
      <c r="O13" s="903"/>
      <c r="P13" s="1179"/>
      <c r="Q13" s="222"/>
    </row>
    <row r="14" spans="1:17" ht="15">
      <c r="A14" s="68" t="s">
        <v>25</v>
      </c>
      <c r="B14" s="618">
        <f>107401+71667+97692+112321+100543+91682+100061+119410+112186+136804+148168+145637</f>
        <v>1343572</v>
      </c>
      <c r="C14" s="1200">
        <v>276760</v>
      </c>
      <c r="D14" s="1201">
        <f>230133+126813</f>
        <v>356946</v>
      </c>
      <c r="E14" s="1202">
        <f t="shared" si="1"/>
        <v>126813</v>
      </c>
      <c r="F14" s="36">
        <v>67177</v>
      </c>
      <c r="G14" s="36">
        <v>59636</v>
      </c>
      <c r="H14" s="36"/>
      <c r="I14" s="36"/>
      <c r="J14" s="36"/>
      <c r="K14" s="1104">
        <v>30763</v>
      </c>
      <c r="L14" s="1104">
        <f>5362+13916</f>
        <v>19278</v>
      </c>
      <c r="M14" s="1104"/>
      <c r="N14" s="1258">
        <v>1235</v>
      </c>
      <c r="O14" s="903">
        <f t="shared" si="2"/>
        <v>1.2897311750252927</v>
      </c>
      <c r="P14" s="733"/>
      <c r="Q14" s="222"/>
    </row>
    <row r="15" spans="1:17" ht="15">
      <c r="A15" s="623" t="s">
        <v>26</v>
      </c>
      <c r="B15" s="618">
        <f>5818+3471+4879+3146+1868+3203+3535+2520+3649+3073+2995+3507</f>
        <v>41664</v>
      </c>
      <c r="C15" s="1200">
        <v>14168</v>
      </c>
      <c r="D15" s="1201">
        <f>5643+5214</f>
        <v>10857</v>
      </c>
      <c r="E15" s="1202">
        <v>5214</v>
      </c>
      <c r="F15" s="104"/>
      <c r="G15" s="104"/>
      <c r="H15" s="104"/>
      <c r="I15" s="104"/>
      <c r="J15" s="104"/>
      <c r="K15" s="1106"/>
      <c r="L15" s="1056"/>
      <c r="M15" s="1056"/>
      <c r="N15" s="1257"/>
      <c r="O15" s="903">
        <f t="shared" si="2"/>
        <v>0.76630434782608692</v>
      </c>
      <c r="P15" s="733"/>
      <c r="Q15" s="222"/>
    </row>
    <row r="16" spans="1:17" ht="15">
      <c r="A16" s="609" t="s">
        <v>27</v>
      </c>
      <c r="B16" s="618">
        <f>528</f>
        <v>528</v>
      </c>
      <c r="C16" s="1200">
        <v>0</v>
      </c>
      <c r="D16" s="1201">
        <v>0</v>
      </c>
      <c r="E16" s="1202">
        <v>0</v>
      </c>
      <c r="F16" s="104"/>
      <c r="G16" s="104"/>
      <c r="H16" s="104"/>
      <c r="I16" s="104"/>
      <c r="J16" s="104"/>
      <c r="K16" s="259"/>
      <c r="L16" s="119"/>
      <c r="M16" s="1056"/>
      <c r="N16" s="1257"/>
      <c r="O16" s="903">
        <v>0</v>
      </c>
      <c r="P16" s="1179"/>
      <c r="Q16" s="222"/>
    </row>
    <row r="17" spans="1:17" ht="15">
      <c r="A17" s="1204" t="s">
        <v>28</v>
      </c>
      <c r="B17" s="627">
        <f>127397+11642</f>
        <v>139039</v>
      </c>
      <c r="C17" s="626">
        <v>34572</v>
      </c>
      <c r="D17" s="1205">
        <f>19907+16036</f>
        <v>35943</v>
      </c>
      <c r="E17" s="1206">
        <v>16036</v>
      </c>
      <c r="F17" s="259"/>
      <c r="G17" s="259"/>
      <c r="H17" s="259"/>
      <c r="I17" s="259"/>
      <c r="J17" s="259"/>
      <c r="K17" s="259"/>
      <c r="L17" s="259"/>
      <c r="M17" s="259"/>
      <c r="N17" s="259"/>
      <c r="O17" s="1259">
        <f t="shared" ref="O17:O23" si="3">+D17/C17</f>
        <v>1.0396563693162097</v>
      </c>
      <c r="P17" s="733"/>
      <c r="Q17" s="223"/>
    </row>
    <row r="18" spans="1:17" ht="15.6">
      <c r="A18" s="1066" t="s">
        <v>29</v>
      </c>
      <c r="B18" s="1067">
        <f>534688+54911+55025</f>
        <v>644624</v>
      </c>
      <c r="C18" s="1207">
        <v>161928</v>
      </c>
      <c r="D18" s="1208">
        <f>45442+42731+49690</f>
        <v>137863</v>
      </c>
      <c r="E18" s="1209">
        <v>49690</v>
      </c>
      <c r="F18" s="928"/>
      <c r="G18" s="928"/>
      <c r="H18" s="928"/>
      <c r="I18" s="928"/>
      <c r="J18" s="928"/>
      <c r="K18" s="1107"/>
      <c r="L18" s="1107"/>
      <c r="M18" s="1107"/>
      <c r="N18" s="1260"/>
      <c r="O18" s="1109">
        <f t="shared" si="3"/>
        <v>0.85138456597994172</v>
      </c>
      <c r="P18" s="727"/>
      <c r="Q18" s="727"/>
    </row>
    <row r="19" spans="1:17" ht="15.6">
      <c r="A19" s="1070" t="s">
        <v>30</v>
      </c>
      <c r="B19" s="1071">
        <f>228437+18717+26622</f>
        <v>273776</v>
      </c>
      <c r="C19" s="1210">
        <v>65139</v>
      </c>
      <c r="D19" s="1211">
        <f>65069</f>
        <v>65069</v>
      </c>
      <c r="E19" s="1212">
        <v>27069</v>
      </c>
      <c r="F19" s="929"/>
      <c r="G19" s="929"/>
      <c r="H19" s="929"/>
      <c r="I19" s="929"/>
      <c r="J19" s="929"/>
      <c r="K19" s="1056"/>
      <c r="L19" s="1056"/>
      <c r="M19" s="1056"/>
      <c r="N19" s="1257"/>
      <c r="O19" s="903">
        <f t="shared" si="3"/>
        <v>0.99892537496737743</v>
      </c>
      <c r="P19" s="729"/>
      <c r="Q19" s="754"/>
    </row>
    <row r="20" spans="1:17" ht="15.6">
      <c r="A20" s="1070" t="s">
        <v>31</v>
      </c>
      <c r="B20" s="1071">
        <f>76626+5290+8224</f>
        <v>90140</v>
      </c>
      <c r="C20" s="1210">
        <v>15392</v>
      </c>
      <c r="D20" s="1211">
        <f>5832+4910+7563</f>
        <v>18305</v>
      </c>
      <c r="E20" s="1212">
        <v>7563</v>
      </c>
      <c r="F20" s="929"/>
      <c r="G20" s="929"/>
      <c r="H20" s="929"/>
      <c r="I20" s="929"/>
      <c r="J20" s="929"/>
      <c r="K20" s="1056"/>
      <c r="L20" s="1056"/>
      <c r="M20" s="1056"/>
      <c r="N20" s="1257"/>
      <c r="O20" s="903">
        <f t="shared" si="3"/>
        <v>1.189254158004158</v>
      </c>
      <c r="P20" s="730"/>
    </row>
    <row r="21" spans="1:17" ht="15.6">
      <c r="A21" s="1070" t="s">
        <v>32</v>
      </c>
      <c r="B21" s="1071">
        <v>483790</v>
      </c>
      <c r="C21" s="1210">
        <v>105619</v>
      </c>
      <c r="D21" s="1211">
        <f>116391</f>
        <v>116391</v>
      </c>
      <c r="E21" s="1212">
        <v>38651</v>
      </c>
      <c r="F21" s="929"/>
      <c r="G21" s="929"/>
      <c r="H21" s="929"/>
      <c r="I21" s="929"/>
      <c r="J21" s="929"/>
      <c r="K21" s="1056"/>
      <c r="L21" s="1056"/>
      <c r="M21" s="1056"/>
      <c r="N21" s="1257"/>
      <c r="O21" s="903">
        <f t="shared" si="3"/>
        <v>1.101989225423456</v>
      </c>
      <c r="P21" s="730"/>
    </row>
    <row r="22" spans="1:17" ht="15.6">
      <c r="A22" s="1070" t="s">
        <v>33</v>
      </c>
      <c r="B22" s="1071">
        <f>159887+13631+13177</f>
        <v>186695</v>
      </c>
      <c r="C22" s="1210">
        <v>49437</v>
      </c>
      <c r="D22" s="1211">
        <f>48397</f>
        <v>48397</v>
      </c>
      <c r="E22" s="1212">
        <v>13865</v>
      </c>
      <c r="F22" s="929"/>
      <c r="G22" s="929"/>
      <c r="H22" s="929"/>
      <c r="I22" s="929"/>
      <c r="J22" s="929"/>
      <c r="K22" s="1056"/>
      <c r="L22" s="1056"/>
      <c r="M22" s="1056"/>
      <c r="N22" s="1257"/>
      <c r="O22" s="903">
        <f t="shared" si="3"/>
        <v>0.97896312478507996</v>
      </c>
      <c r="P22" s="730"/>
    </row>
    <row r="23" spans="1:17" ht="15.6">
      <c r="A23" s="1070" t="s">
        <v>34</v>
      </c>
      <c r="B23" s="1071">
        <f>199276+27729+38601</f>
        <v>265606</v>
      </c>
      <c r="C23" s="1210">
        <v>44825</v>
      </c>
      <c r="D23" s="1211">
        <f>78139</f>
        <v>78139</v>
      </c>
      <c r="E23" s="1212">
        <v>25842</v>
      </c>
      <c r="F23" s="929"/>
      <c r="G23" s="929"/>
      <c r="H23" s="930"/>
      <c r="I23" s="929"/>
      <c r="J23" s="929"/>
      <c r="K23" s="1056"/>
      <c r="L23" s="1056"/>
      <c r="M23" s="1056"/>
      <c r="N23" s="1257"/>
      <c r="O23" s="903">
        <f t="shared" si="3"/>
        <v>1.7432013385387619</v>
      </c>
      <c r="P23" s="730"/>
    </row>
    <row r="24" spans="1:17" ht="15.6">
      <c r="A24" s="1074" t="s">
        <v>35</v>
      </c>
      <c r="B24" s="1075">
        <v>169502</v>
      </c>
      <c r="C24" s="1213">
        <v>0</v>
      </c>
      <c r="D24" s="1214">
        <f>48397</f>
        <v>48397</v>
      </c>
      <c r="E24" s="1215">
        <v>16446</v>
      </c>
      <c r="F24" s="932"/>
      <c r="G24" s="932"/>
      <c r="H24" s="932"/>
      <c r="I24" s="932"/>
      <c r="J24" s="932"/>
      <c r="K24" s="259"/>
      <c r="L24" s="259"/>
      <c r="M24" s="259"/>
      <c r="N24" s="1256"/>
      <c r="O24" s="903"/>
      <c r="P24" s="730"/>
    </row>
    <row r="25" spans="1:17" ht="15.6">
      <c r="A25" s="1074" t="s">
        <v>121</v>
      </c>
      <c r="B25" s="1158">
        <v>0</v>
      </c>
      <c r="C25" s="1213">
        <v>0</v>
      </c>
      <c r="D25" s="1216">
        <f>27000+57000</f>
        <v>84000</v>
      </c>
      <c r="E25" s="1217">
        <v>84000</v>
      </c>
      <c r="F25" s="932"/>
      <c r="G25" s="932"/>
      <c r="H25" s="932"/>
      <c r="I25" s="932"/>
      <c r="J25" s="932"/>
      <c r="K25" s="259"/>
      <c r="L25" s="259"/>
      <c r="M25" s="259"/>
      <c r="N25" s="1256"/>
      <c r="O25" s="903"/>
      <c r="P25" s="730"/>
    </row>
    <row r="26" spans="1:17" ht="15.6">
      <c r="A26" s="47" t="s">
        <v>36</v>
      </c>
      <c r="B26" s="57">
        <f>29509+14652+23209+24242+23009+26529+25218+28150+30612+24870+21148+23890</f>
        <v>295038</v>
      </c>
      <c r="C26" s="1218">
        <v>67370</v>
      </c>
      <c r="D26" s="1219">
        <f>38233+24856</f>
        <v>63089</v>
      </c>
      <c r="E26" s="59">
        <f>SUM(F26:J26)</f>
        <v>24856</v>
      </c>
      <c r="F26" s="1078"/>
      <c r="G26" s="1078"/>
      <c r="H26" s="1078">
        <v>11886</v>
      </c>
      <c r="I26" s="1078">
        <v>12970</v>
      </c>
      <c r="J26" s="1078"/>
      <c r="K26" s="1110">
        <v>6936</v>
      </c>
      <c r="L26" s="1110">
        <f>660+1262</f>
        <v>1922</v>
      </c>
      <c r="M26" s="1110"/>
      <c r="N26" s="1261"/>
      <c r="O26" s="1112">
        <f>+D26/C26</f>
        <v>0.93645539557666613</v>
      </c>
      <c r="P26" s="730"/>
    </row>
    <row r="27" spans="1:17" ht="15.6">
      <c r="A27" s="259"/>
      <c r="B27" s="1160">
        <f>SUM(B18:B26)</f>
        <v>2409171</v>
      </c>
      <c r="C27" s="1160">
        <f t="shared" ref="C27:E27" si="4">SUM(C18:C26)</f>
        <v>509710</v>
      </c>
      <c r="D27" s="1160">
        <f t="shared" si="4"/>
        <v>659650</v>
      </c>
      <c r="E27" s="1160">
        <f t="shared" si="4"/>
        <v>287982</v>
      </c>
      <c r="F27" s="259"/>
      <c r="G27" s="259"/>
      <c r="H27" s="259"/>
      <c r="I27" s="259"/>
      <c r="J27" s="259"/>
      <c r="K27" s="259"/>
      <c r="L27" s="259"/>
      <c r="M27" s="259"/>
      <c r="N27" s="259"/>
      <c r="O27" s="259"/>
      <c r="P27" s="730"/>
    </row>
    <row r="28" spans="1:17" ht="15.6">
      <c r="A28" s="649"/>
      <c r="B28" s="1022"/>
      <c r="C28" s="259"/>
      <c r="D28" s="1220"/>
      <c r="E28" s="654"/>
      <c r="F28" s="941"/>
      <c r="G28" s="941"/>
      <c r="H28" s="941"/>
      <c r="I28" s="941"/>
      <c r="J28" s="941"/>
      <c r="K28" s="259"/>
      <c r="L28" s="259"/>
      <c r="M28" s="259"/>
      <c r="N28" s="1256"/>
      <c r="O28" s="849"/>
      <c r="P28" s="730"/>
    </row>
    <row r="29" spans="1:17" ht="15.6">
      <c r="A29" s="13" t="s">
        <v>37</v>
      </c>
      <c r="B29" s="14">
        <f>SUM(B30:B33)</f>
        <v>975868</v>
      </c>
      <c r="C29" s="94">
        <v>237956</v>
      </c>
      <c r="D29" s="1064">
        <f>SUM(D30:D33)</f>
        <v>253710</v>
      </c>
      <c r="E29" s="1199">
        <f t="shared" ref="E29:N29" si="5">SUM(E30:E33)</f>
        <v>86745</v>
      </c>
      <c r="F29" s="1081">
        <f t="shared" si="5"/>
        <v>32595</v>
      </c>
      <c r="G29" s="1081">
        <f t="shared" si="5"/>
        <v>34264</v>
      </c>
      <c r="H29" s="1081">
        <f t="shared" si="5"/>
        <v>10735</v>
      </c>
      <c r="I29" s="1081">
        <f t="shared" si="5"/>
        <v>9151</v>
      </c>
      <c r="J29" s="1081">
        <f t="shared" si="5"/>
        <v>0</v>
      </c>
      <c r="K29" s="1113">
        <f t="shared" si="5"/>
        <v>19645</v>
      </c>
      <c r="L29" s="1113">
        <f t="shared" si="5"/>
        <v>12613</v>
      </c>
      <c r="M29" s="1113">
        <f t="shared" si="5"/>
        <v>0</v>
      </c>
      <c r="N29" s="1113">
        <f t="shared" si="5"/>
        <v>0</v>
      </c>
      <c r="O29" s="849">
        <f t="shared" si="2"/>
        <v>1.0662055169863336</v>
      </c>
      <c r="P29" s="729"/>
    </row>
    <row r="30" spans="1:17" ht="15">
      <c r="A30" s="609" t="s">
        <v>38</v>
      </c>
      <c r="B30" s="656">
        <f>31848+3560+3666</f>
        <v>39074</v>
      </c>
      <c r="C30" s="270">
        <v>9330</v>
      </c>
      <c r="D30" s="1221">
        <f>8241+5068</f>
        <v>13309</v>
      </c>
      <c r="E30" s="1202">
        <f t="shared" ref="E30:E32" si="6">SUM(F30:J30)</f>
        <v>5068</v>
      </c>
      <c r="F30" s="104"/>
      <c r="G30" s="104"/>
      <c r="H30" s="104">
        <v>2534</v>
      </c>
      <c r="I30" s="104">
        <v>2534</v>
      </c>
      <c r="J30" s="664"/>
      <c r="K30" s="1056">
        <v>2664</v>
      </c>
      <c r="L30" s="1056">
        <f>1113</f>
        <v>1113</v>
      </c>
      <c r="M30" s="1056"/>
      <c r="N30" s="1257"/>
      <c r="O30" s="903">
        <f t="shared" si="2"/>
        <v>1.4264737406216506</v>
      </c>
      <c r="P30" s="733"/>
    </row>
    <row r="31" spans="1:17" ht="15.6">
      <c r="A31" s="87" t="s">
        <v>39</v>
      </c>
      <c r="B31" s="656">
        <f>64505+48073+62185+62452+59765+64280+67096+71165+61780+66528+63320+71042</f>
        <v>762191</v>
      </c>
      <c r="C31" s="270">
        <v>174763</v>
      </c>
      <c r="D31" s="1222">
        <f>122864+65834</f>
        <v>188698</v>
      </c>
      <c r="E31" s="1202">
        <f t="shared" si="6"/>
        <v>65834</v>
      </c>
      <c r="F31" s="22">
        <v>27276</v>
      </c>
      <c r="G31" s="22">
        <v>25574</v>
      </c>
      <c r="H31" s="22">
        <v>6510</v>
      </c>
      <c r="I31" s="22">
        <v>6474</v>
      </c>
      <c r="J31" s="612"/>
      <c r="K31" s="92">
        <v>14850</v>
      </c>
      <c r="L31" s="92">
        <f>4805+1110+1491+3607</f>
        <v>11013</v>
      </c>
      <c r="M31" s="1106"/>
      <c r="N31" s="1262"/>
      <c r="O31" s="903">
        <f t="shared" si="2"/>
        <v>1.0797365575093125</v>
      </c>
      <c r="P31" s="707"/>
    </row>
    <row r="32" spans="1:17" ht="15.6">
      <c r="A32" s="87" t="s">
        <v>40</v>
      </c>
      <c r="B32" s="659">
        <f>22490+11900+19473+16591+12914+13370+11563+9278+10032+11317+15030+20645</f>
        <v>174603</v>
      </c>
      <c r="C32" s="51">
        <v>53863</v>
      </c>
      <c r="D32" s="1223">
        <f>35860+15843</f>
        <v>51703</v>
      </c>
      <c r="E32" s="1202">
        <f t="shared" si="6"/>
        <v>15843</v>
      </c>
      <c r="F32" s="22">
        <v>5319</v>
      </c>
      <c r="G32" s="22">
        <v>8690</v>
      </c>
      <c r="H32" s="22">
        <v>1691</v>
      </c>
      <c r="I32" s="22">
        <v>143</v>
      </c>
      <c r="J32" s="664"/>
      <c r="K32" s="92">
        <f>302+637+1154+38</f>
        <v>2131</v>
      </c>
      <c r="L32" s="92">
        <f>381+3+20+83</f>
        <v>487</v>
      </c>
      <c r="M32" s="1056"/>
      <c r="N32" s="1257"/>
      <c r="O32" s="903">
        <f t="shared" si="2"/>
        <v>0.9598982604013887</v>
      </c>
      <c r="P32" s="707"/>
    </row>
    <row r="33" spans="1:16" ht="15.6">
      <c r="A33" s="87" t="s">
        <v>41</v>
      </c>
      <c r="B33" s="618"/>
      <c r="C33" s="941"/>
      <c r="D33" s="1224"/>
      <c r="E33" s="1202"/>
      <c r="F33" s="104"/>
      <c r="G33" s="104"/>
      <c r="H33" s="104"/>
      <c r="I33" s="104"/>
      <c r="J33" s="104"/>
      <c r="K33" s="1056"/>
      <c r="L33" s="1056"/>
      <c r="M33" s="1056"/>
      <c r="N33" s="1257"/>
      <c r="O33" s="903"/>
      <c r="P33" s="707"/>
    </row>
    <row r="34" spans="1:16" ht="15.6">
      <c r="A34" s="87"/>
      <c r="B34" s="88"/>
      <c r="C34" s="259"/>
      <c r="D34" s="1225"/>
      <c r="E34" s="1226"/>
      <c r="F34" s="119"/>
      <c r="G34" s="119"/>
      <c r="H34" s="119"/>
      <c r="I34" s="119"/>
      <c r="J34" s="119"/>
      <c r="K34" s="1115"/>
      <c r="L34" s="1115"/>
      <c r="M34" s="1115"/>
      <c r="N34" s="1263"/>
      <c r="O34" s="849"/>
      <c r="P34" s="707"/>
    </row>
    <row r="35" spans="1:16" ht="15.6">
      <c r="A35" s="13" t="s">
        <v>42</v>
      </c>
      <c r="B35" s="14">
        <f t="shared" ref="B35:N35" si="7">SUM(B36:B45)</f>
        <v>8566129</v>
      </c>
      <c r="C35" s="14">
        <f t="shared" si="7"/>
        <v>1982083</v>
      </c>
      <c r="D35" s="14">
        <f t="shared" si="7"/>
        <v>2127952</v>
      </c>
      <c r="E35" s="14">
        <f t="shared" si="7"/>
        <v>802446</v>
      </c>
      <c r="F35" s="1064">
        <f t="shared" si="7"/>
        <v>318416</v>
      </c>
      <c r="G35" s="1064">
        <f t="shared" si="7"/>
        <v>253500</v>
      </c>
      <c r="H35" s="1064">
        <f t="shared" si="7"/>
        <v>78732</v>
      </c>
      <c r="I35" s="1064">
        <f t="shared" si="7"/>
        <v>151798</v>
      </c>
      <c r="J35" s="1064">
        <f t="shared" si="7"/>
        <v>0</v>
      </c>
      <c r="K35" s="1101">
        <f t="shared" si="7"/>
        <v>181646</v>
      </c>
      <c r="L35" s="1101">
        <f t="shared" si="7"/>
        <v>48384</v>
      </c>
      <c r="M35" s="1101">
        <f t="shared" si="7"/>
        <v>406</v>
      </c>
      <c r="N35" s="1264">
        <f t="shared" si="7"/>
        <v>65678</v>
      </c>
      <c r="O35" s="849">
        <f t="shared" si="2"/>
        <v>1.0735937899674231</v>
      </c>
      <c r="P35" s="707"/>
    </row>
    <row r="36" spans="1:16" ht="15.6">
      <c r="A36" s="609" t="s">
        <v>43</v>
      </c>
      <c r="B36" s="618">
        <f>176793+71526+59980+65204+71423+79211+71917+76068+84439+81079</f>
        <v>837640</v>
      </c>
      <c r="C36" s="1200">
        <v>176793</v>
      </c>
      <c r="D36" s="1224">
        <f>141659+76024</f>
        <v>217683</v>
      </c>
      <c r="E36" s="1202">
        <f t="shared" ref="E36:E38" si="8">SUM(F36:J36)</f>
        <v>76024</v>
      </c>
      <c r="F36" s="104"/>
      <c r="G36" s="104"/>
      <c r="H36" s="104">
        <v>23415</v>
      </c>
      <c r="I36" s="104">
        <v>52609</v>
      </c>
      <c r="J36" s="104"/>
      <c r="K36" s="1117">
        <v>2034</v>
      </c>
      <c r="L36" s="1117">
        <f>19293+10</f>
        <v>19303</v>
      </c>
      <c r="M36" s="1117"/>
      <c r="N36" s="1265"/>
      <c r="O36" s="903">
        <f t="shared" si="2"/>
        <v>1.2312874378510461</v>
      </c>
      <c r="P36" s="707"/>
    </row>
    <row r="37" spans="1:16" ht="15.6">
      <c r="A37" s="609" t="s">
        <v>44</v>
      </c>
      <c r="B37" s="618">
        <f>315296+56739+61665+55007+62647+65661+65065</f>
        <v>682080</v>
      </c>
      <c r="C37" s="1200">
        <v>158019</v>
      </c>
      <c r="D37" s="1224">
        <f>104618+64282</f>
        <v>168900</v>
      </c>
      <c r="E37" s="1202">
        <f t="shared" si="8"/>
        <v>64282</v>
      </c>
      <c r="F37" s="664"/>
      <c r="G37" s="664"/>
      <c r="H37" s="104">
        <v>9953</v>
      </c>
      <c r="I37" s="104">
        <v>54329</v>
      </c>
      <c r="J37" s="104"/>
      <c r="K37" s="1118">
        <v>1796</v>
      </c>
      <c r="L37" s="1118">
        <f>9681</f>
        <v>9681</v>
      </c>
      <c r="M37" s="1118"/>
      <c r="N37" s="1266">
        <v>64282</v>
      </c>
      <c r="O37" s="903">
        <f t="shared" si="2"/>
        <v>1.068858808118011</v>
      </c>
      <c r="P37" s="707"/>
    </row>
    <row r="38" spans="1:16" ht="15.6">
      <c r="A38" s="87" t="s">
        <v>45</v>
      </c>
      <c r="B38" s="665">
        <f>20214+11681+23581+25619+22301+21824+20127+19528+19926+20275+23052+20682</f>
        <v>248810</v>
      </c>
      <c r="C38" s="1227">
        <v>55476</v>
      </c>
      <c r="D38" s="1228">
        <f>35539+25020</f>
        <v>60559</v>
      </c>
      <c r="E38" s="1202">
        <f t="shared" si="8"/>
        <v>25020</v>
      </c>
      <c r="F38" s="104"/>
      <c r="G38" s="104"/>
      <c r="H38" s="104">
        <v>12258</v>
      </c>
      <c r="I38" s="104">
        <v>12762</v>
      </c>
      <c r="J38" s="102"/>
      <c r="K38" s="1120">
        <f>3315+3801</f>
        <v>7116</v>
      </c>
      <c r="L38" s="1118">
        <f>1047+679</f>
        <v>1726</v>
      </c>
      <c r="M38" s="1118">
        <v>224</v>
      </c>
      <c r="N38" s="1266"/>
      <c r="O38" s="903">
        <f t="shared" si="2"/>
        <v>1.0916252072968491</v>
      </c>
      <c r="P38" s="707"/>
    </row>
    <row r="39" spans="1:16" ht="15.6">
      <c r="A39" s="87" t="s">
        <v>46</v>
      </c>
      <c r="B39" s="666">
        <f>36191+20920+29070+23929+27875+30427+28473+27605+28149+32945+33352+27283</f>
        <v>346219</v>
      </c>
      <c r="C39" s="1229">
        <v>86181</v>
      </c>
      <c r="D39" s="1230">
        <f>42541+28883</f>
        <v>71424</v>
      </c>
      <c r="E39" s="1202">
        <f>SUM(H39:J39)</f>
        <v>28883</v>
      </c>
      <c r="F39" s="938"/>
      <c r="G39" s="932"/>
      <c r="H39" s="104">
        <v>14861</v>
      </c>
      <c r="I39" s="104">
        <v>14022</v>
      </c>
      <c r="J39" s="664"/>
      <c r="K39" s="1056">
        <v>10403</v>
      </c>
      <c r="L39" s="1056">
        <f>1347+467</f>
        <v>1814</v>
      </c>
      <c r="M39" s="1056">
        <v>182</v>
      </c>
      <c r="N39" s="1257">
        <v>50</v>
      </c>
      <c r="O39" s="903">
        <f t="shared" si="2"/>
        <v>0.82876736171545928</v>
      </c>
      <c r="P39" s="707"/>
    </row>
    <row r="40" spans="1:16" ht="15.6">
      <c r="A40" s="87" t="s">
        <v>47</v>
      </c>
      <c r="B40" s="666">
        <f>12008+9467+14763+14113+14691+14606+10209+8082+10081+11470+13518+17152</f>
        <v>150160</v>
      </c>
      <c r="C40" s="1229">
        <v>36238</v>
      </c>
      <c r="D40" s="1230">
        <f>35287+23392</f>
        <v>58679</v>
      </c>
      <c r="E40" s="1202">
        <f>SUM(F40:J40)</f>
        <v>23392</v>
      </c>
      <c r="F40" s="104">
        <v>9502</v>
      </c>
      <c r="G40" s="104">
        <v>13890</v>
      </c>
      <c r="H40" s="104"/>
      <c r="I40" s="104"/>
      <c r="J40" s="104"/>
      <c r="K40" s="1056">
        <f>2949+4414</f>
        <v>7363</v>
      </c>
      <c r="L40" s="1056">
        <f>407+550</f>
        <v>957</v>
      </c>
      <c r="M40" s="1118"/>
      <c r="N40" s="1266"/>
      <c r="O40" s="903">
        <f t="shared" si="2"/>
        <v>1.6192670677189691</v>
      </c>
      <c r="P40" s="707"/>
    </row>
    <row r="41" spans="1:16" ht="15.6">
      <c r="A41" s="87" t="s">
        <v>48</v>
      </c>
      <c r="B41" s="666">
        <f>492323+373517+489518+501319+498148+483300+509517+496996+483525+491240+487179+505109</f>
        <v>5811691</v>
      </c>
      <c r="C41" s="1229">
        <v>1355358</v>
      </c>
      <c r="D41" s="1230">
        <f>890002+542749</f>
        <v>1432751</v>
      </c>
      <c r="E41" s="1202">
        <f>SUM(F41:J41)</f>
        <v>542749</v>
      </c>
      <c r="F41" s="104">
        <v>306827</v>
      </c>
      <c r="G41" s="104">
        <v>235922</v>
      </c>
      <c r="H41" s="104"/>
      <c r="I41" s="664"/>
      <c r="J41" s="104"/>
      <c r="K41" s="92">
        <f>80181+72221</f>
        <v>152402</v>
      </c>
      <c r="L41" s="92">
        <f>7248+7313</f>
        <v>14561</v>
      </c>
      <c r="M41" s="1118"/>
      <c r="N41" s="1266"/>
      <c r="O41" s="903">
        <f t="shared" si="2"/>
        <v>1.0571015185655745</v>
      </c>
      <c r="P41" s="707"/>
    </row>
    <row r="42" spans="1:16" ht="15.6">
      <c r="A42" s="87" t="s">
        <v>49</v>
      </c>
      <c r="B42" s="666">
        <f>41444+27037+39698+37856+42480+38521+41958+41846+36877+41203+36023+42811</f>
        <v>467754</v>
      </c>
      <c r="C42" s="1229">
        <v>108179</v>
      </c>
      <c r="D42" s="1230">
        <f>72994+40474</f>
        <v>113468</v>
      </c>
      <c r="E42" s="1202">
        <f>SUM(F42:J42)</f>
        <v>40474</v>
      </c>
      <c r="F42" s="102">
        <v>1393</v>
      </c>
      <c r="G42" s="102">
        <v>2760</v>
      </c>
      <c r="H42" s="102">
        <v>18245</v>
      </c>
      <c r="I42" s="102">
        <v>18076</v>
      </c>
      <c r="J42" s="104"/>
      <c r="K42" s="1118"/>
      <c r="L42" s="1118"/>
      <c r="M42" s="1118"/>
      <c r="N42" s="1266"/>
      <c r="O42" s="903">
        <f t="shared" si="2"/>
        <v>1.0488911896024182</v>
      </c>
      <c r="P42" s="707"/>
    </row>
    <row r="43" spans="1:16" ht="15.6">
      <c r="A43" s="87" t="s">
        <v>50</v>
      </c>
      <c r="B43" s="656"/>
      <c r="C43" s="270"/>
      <c r="D43" s="1222"/>
      <c r="E43" s="1202"/>
      <c r="F43" s="104"/>
      <c r="G43" s="104"/>
      <c r="H43" s="104"/>
      <c r="I43" s="104"/>
      <c r="J43" s="104"/>
      <c r="K43" s="1118"/>
      <c r="L43" s="1118"/>
      <c r="M43" s="1118"/>
      <c r="N43" s="1266"/>
      <c r="O43" s="903"/>
      <c r="P43" s="707"/>
    </row>
    <row r="44" spans="1:16" ht="15.6">
      <c r="A44" s="87" t="s">
        <v>51</v>
      </c>
      <c r="B44" s="669">
        <f>1591+185+300+228+282+250+254+222+245+289+277+286</f>
        <v>4409</v>
      </c>
      <c r="C44" s="1034">
        <v>2076</v>
      </c>
      <c r="D44" s="1231">
        <f>571+277</f>
        <v>848</v>
      </c>
      <c r="E44" s="1202">
        <f>SUM(F44:J44)</f>
        <v>277</v>
      </c>
      <c r="F44" s="104">
        <v>124</v>
      </c>
      <c r="G44" s="104">
        <v>153</v>
      </c>
      <c r="H44" s="104"/>
      <c r="I44" s="104"/>
      <c r="J44" s="104"/>
      <c r="K44" s="1118">
        <v>277</v>
      </c>
      <c r="L44" s="1118">
        <f>124</f>
        <v>124</v>
      </c>
      <c r="M44" s="1118"/>
      <c r="N44" s="1266">
        <v>1</v>
      </c>
      <c r="O44" s="903">
        <f>+D44/C44</f>
        <v>0.40847784200385356</v>
      </c>
      <c r="P44" s="736"/>
    </row>
    <row r="45" spans="1:16" ht="15.6">
      <c r="A45" s="87" t="s">
        <v>52</v>
      </c>
      <c r="B45" s="669">
        <f>5554+2707+1759+1797+950+1036+1570+888+1105</f>
        <v>17366</v>
      </c>
      <c r="C45" s="1034">
        <v>3763</v>
      </c>
      <c r="D45" s="1231">
        <f>2295+1345</f>
        <v>3640</v>
      </c>
      <c r="E45" s="1202">
        <f>SUM(F45:F45:J45)</f>
        <v>1345</v>
      </c>
      <c r="F45" s="104">
        <v>570</v>
      </c>
      <c r="G45" s="104">
        <v>775</v>
      </c>
      <c r="H45" s="104"/>
      <c r="I45" s="104"/>
      <c r="J45" s="1121"/>
      <c r="K45" s="1120">
        <f>32+223</f>
        <v>255</v>
      </c>
      <c r="L45" s="1118">
        <f>218+0</f>
        <v>218</v>
      </c>
      <c r="M45" s="1118"/>
      <c r="N45" s="1266">
        <v>1345</v>
      </c>
      <c r="O45" s="903">
        <f>+D45/C45</f>
        <v>0.96731331384533614</v>
      </c>
      <c r="P45" s="707"/>
    </row>
    <row r="46" spans="1:16" ht="15.6">
      <c r="A46" s="1167" t="s">
        <v>53</v>
      </c>
      <c r="B46" s="1168">
        <f>43919+38655+49389+49920+41452+46211+54147+61115+45816+53985+53251+54204</f>
        <v>592064</v>
      </c>
      <c r="C46" s="1232">
        <v>131963</v>
      </c>
      <c r="D46" s="1233">
        <f>46498+25145+53554</f>
        <v>125197</v>
      </c>
      <c r="E46" s="1234">
        <f>SUM(F46:J46)</f>
        <v>53554</v>
      </c>
      <c r="F46" s="1235">
        <v>23561</v>
      </c>
      <c r="G46" s="1235">
        <v>22403</v>
      </c>
      <c r="H46" s="1235">
        <v>3193</v>
      </c>
      <c r="I46" s="1267">
        <v>2620</v>
      </c>
      <c r="J46" s="1235">
        <v>1777</v>
      </c>
      <c r="K46" s="1268">
        <f>3660+6790+753+597+45</f>
        <v>11845</v>
      </c>
      <c r="L46" s="1269">
        <f>1803+283+196+61+132</f>
        <v>2475</v>
      </c>
      <c r="M46" s="1268"/>
      <c r="N46" s="1270">
        <v>1765</v>
      </c>
      <c r="O46" s="904">
        <f>+D46/C46</f>
        <v>0.94872805256018733</v>
      </c>
      <c r="P46" s="707"/>
    </row>
    <row r="47" spans="1:16" ht="15.6">
      <c r="A47" s="259"/>
      <c r="B47" s="259"/>
      <c r="C47" s="259"/>
      <c r="D47" s="259"/>
      <c r="E47" s="259"/>
      <c r="F47" s="259"/>
      <c r="G47" s="259"/>
      <c r="H47" s="259"/>
      <c r="I47" s="259"/>
      <c r="J47" s="259"/>
      <c r="K47" s="259"/>
      <c r="L47" s="259"/>
      <c r="M47" s="259"/>
      <c r="N47" s="259"/>
      <c r="P47" s="707"/>
    </row>
    <row r="48" spans="1:16" ht="15.6">
      <c r="A48" s="13" t="s">
        <v>54</v>
      </c>
      <c r="B48" s="14">
        <f t="shared" ref="B48:N48" si="9">SUM(B49:B56)</f>
        <v>6475171</v>
      </c>
      <c r="C48" s="14">
        <f t="shared" si="9"/>
        <v>1346939</v>
      </c>
      <c r="D48" s="1064">
        <f t="shared" si="9"/>
        <v>1707078</v>
      </c>
      <c r="E48" s="1236">
        <f t="shared" si="9"/>
        <v>598395</v>
      </c>
      <c r="F48" s="1065">
        <f t="shared" si="9"/>
        <v>229652</v>
      </c>
      <c r="G48" s="1065">
        <f t="shared" si="9"/>
        <v>296198</v>
      </c>
      <c r="H48" s="1065">
        <f t="shared" si="9"/>
        <v>6116</v>
      </c>
      <c r="I48" s="1065">
        <f t="shared" si="9"/>
        <v>3180</v>
      </c>
      <c r="J48" s="1065">
        <f t="shared" si="9"/>
        <v>63249</v>
      </c>
      <c r="K48" s="1101">
        <f t="shared" si="9"/>
        <v>41803</v>
      </c>
      <c r="L48" s="1101">
        <f t="shared" si="9"/>
        <v>45814</v>
      </c>
      <c r="M48" s="1101">
        <f t="shared" si="9"/>
        <v>2575</v>
      </c>
      <c r="N48" s="1264">
        <f t="shared" si="9"/>
        <v>53856</v>
      </c>
      <c r="O48" s="849">
        <f t="shared" si="2"/>
        <v>1.2673758796797776</v>
      </c>
      <c r="P48" s="707"/>
    </row>
    <row r="49" spans="1:17" ht="15.6">
      <c r="A49" s="87" t="s">
        <v>55</v>
      </c>
      <c r="B49" s="618"/>
      <c r="C49" s="1237"/>
      <c r="D49" s="1224"/>
      <c r="E49" s="1202"/>
      <c r="F49" s="104"/>
      <c r="G49" s="104"/>
      <c r="H49" s="104"/>
      <c r="I49" s="104"/>
      <c r="J49" s="104"/>
      <c r="K49" s="119"/>
      <c r="L49" s="119"/>
      <c r="M49" s="119"/>
      <c r="N49" s="1271"/>
      <c r="O49" s="849"/>
      <c r="P49" s="707"/>
    </row>
    <row r="50" spans="1:17" ht="15">
      <c r="A50" s="680" t="s">
        <v>56</v>
      </c>
      <c r="B50" s="656">
        <f>152617+131920+130997+153389+149066+196349+174625+189556+159615+174414+174638+173536</f>
        <v>1960722</v>
      </c>
      <c r="C50" s="270">
        <v>415474</v>
      </c>
      <c r="D50" s="1222">
        <f>209453+123222+177525</f>
        <v>510200</v>
      </c>
      <c r="E50" s="1238">
        <f>SUM(F50:J51)</f>
        <v>177525</v>
      </c>
      <c r="F50" s="104">
        <v>72606</v>
      </c>
      <c r="G50" s="104">
        <v>88802</v>
      </c>
      <c r="H50" s="104">
        <v>6116</v>
      </c>
      <c r="I50" s="104">
        <v>3180</v>
      </c>
      <c r="J50" s="104">
        <v>6821</v>
      </c>
      <c r="K50" s="1056">
        <f>2939+7590+1026+310</f>
        <v>11865</v>
      </c>
      <c r="L50" s="1056">
        <f>8395+8+16+333</f>
        <v>8752</v>
      </c>
      <c r="M50" s="1056"/>
      <c r="N50" s="1257"/>
      <c r="O50" s="903">
        <f t="shared" si="2"/>
        <v>1.2279950129249966</v>
      </c>
      <c r="P50" s="745"/>
    </row>
    <row r="51" spans="1:17" ht="15">
      <c r="A51" s="682"/>
      <c r="B51" s="656"/>
      <c r="C51" s="270"/>
      <c r="D51" s="1222"/>
      <c r="E51" s="1239"/>
      <c r="F51" s="104"/>
      <c r="G51" s="104"/>
      <c r="H51" s="104"/>
      <c r="I51" s="104"/>
      <c r="J51" s="104"/>
      <c r="K51" s="1056"/>
      <c r="L51" s="1056"/>
      <c r="M51" s="1056"/>
      <c r="N51" s="1257"/>
      <c r="O51" s="903"/>
      <c r="P51" s="746"/>
    </row>
    <row r="52" spans="1:17" ht="15.6">
      <c r="A52" s="87" t="s">
        <v>57</v>
      </c>
      <c r="B52" s="684">
        <f>97537+55586+99611+80866+84077+87464+89817+110297+103108+86858+89238+102094</f>
        <v>1086553</v>
      </c>
      <c r="C52" s="1034">
        <v>252734</v>
      </c>
      <c r="D52" s="1240">
        <f>104773+79448+108729</f>
        <v>292950</v>
      </c>
      <c r="E52" s="1202">
        <f t="shared" ref="E52:E54" si="10">SUM(F52:J52)</f>
        <v>108829</v>
      </c>
      <c r="F52" s="961">
        <v>50564</v>
      </c>
      <c r="G52" s="22">
        <v>52635</v>
      </c>
      <c r="H52" s="962"/>
      <c r="I52" s="664"/>
      <c r="J52" s="22">
        <v>5630</v>
      </c>
      <c r="K52" s="92">
        <f>1357+4218+949</f>
        <v>6524</v>
      </c>
      <c r="L52" s="92">
        <f>2627+3+271</f>
        <v>2901</v>
      </c>
      <c r="M52" s="119"/>
      <c r="N52" s="1271"/>
      <c r="O52" s="903">
        <f t="shared" si="2"/>
        <v>1.159123821883878</v>
      </c>
      <c r="P52" s="747"/>
    </row>
    <row r="53" spans="1:17" ht="15.6">
      <c r="A53" s="68" t="s">
        <v>58</v>
      </c>
      <c r="B53" s="669">
        <f>59734+65037+69566+76869+85180+98871+84349+95878+74900+91720+96454+90939</f>
        <v>989497</v>
      </c>
      <c r="C53" s="1241">
        <v>194337</v>
      </c>
      <c r="D53" s="1231">
        <f>90832+90726+97425</f>
        <v>278983</v>
      </c>
      <c r="E53" s="1202">
        <f t="shared" si="10"/>
        <v>97425</v>
      </c>
      <c r="F53" s="104">
        <v>31085</v>
      </c>
      <c r="G53" s="104">
        <v>52206</v>
      </c>
      <c r="H53" s="104"/>
      <c r="I53" s="1037"/>
      <c r="J53" s="104">
        <v>14134</v>
      </c>
      <c r="K53" s="1056">
        <v>13021</v>
      </c>
      <c r="L53" s="1056">
        <f>22684+289+1683</f>
        <v>24656</v>
      </c>
      <c r="M53" s="119"/>
      <c r="N53" s="1271"/>
      <c r="O53" s="903">
        <f t="shared" si="2"/>
        <v>1.4355629653642898</v>
      </c>
      <c r="P53" s="707"/>
    </row>
    <row r="54" spans="1:17" ht="15.6">
      <c r="A54" s="68" t="s">
        <v>59</v>
      </c>
      <c r="B54" s="669">
        <f>47624+41548+39771+61527+61540+40461+59109+75205+60419+66567+64451+64941</f>
        <v>683163</v>
      </c>
      <c r="C54" s="51">
        <v>128943</v>
      </c>
      <c r="D54" s="1231">
        <f>85962+38994+58375</f>
        <v>183331</v>
      </c>
      <c r="E54" s="1202">
        <f t="shared" si="10"/>
        <v>58375</v>
      </c>
      <c r="F54" s="104">
        <v>8276</v>
      </c>
      <c r="G54" s="104">
        <v>31165</v>
      </c>
      <c r="H54" s="104"/>
      <c r="I54" s="104"/>
      <c r="J54" s="104">
        <v>18934</v>
      </c>
      <c r="K54" s="1118">
        <v>10393</v>
      </c>
      <c r="L54" s="1118">
        <f>3010+7+6488</f>
        <v>9505</v>
      </c>
      <c r="M54" s="1118">
        <v>2575</v>
      </c>
      <c r="N54" s="1266">
        <v>53856</v>
      </c>
      <c r="O54" s="903">
        <f t="shared" si="2"/>
        <v>1.4217987793055846</v>
      </c>
      <c r="P54" s="707"/>
    </row>
    <row r="55" spans="1:17" ht="15.6">
      <c r="A55" s="1106" t="s">
        <v>113</v>
      </c>
      <c r="B55" s="259"/>
      <c r="C55" s="259"/>
      <c r="D55" s="259"/>
      <c r="E55" s="259"/>
      <c r="F55" s="259"/>
      <c r="G55" s="259"/>
      <c r="H55" s="259"/>
      <c r="I55" s="259"/>
      <c r="J55" s="259"/>
      <c r="K55" s="259"/>
      <c r="L55" s="259"/>
      <c r="M55" s="259"/>
      <c r="N55" s="259"/>
      <c r="O55" s="259"/>
      <c r="P55" s="1272"/>
      <c r="Q55" s="755"/>
    </row>
    <row r="56" spans="1:17" ht="15.6">
      <c r="A56" s="1242" t="s">
        <v>61</v>
      </c>
      <c r="B56" s="1004">
        <v>1755236</v>
      </c>
      <c r="C56" s="1243">
        <v>355451</v>
      </c>
      <c r="D56" s="1078">
        <v>441614</v>
      </c>
      <c r="E56" s="1244">
        <v>156241</v>
      </c>
      <c r="F56" s="1245">
        <v>67121</v>
      </c>
      <c r="G56" s="1245">
        <v>71390</v>
      </c>
      <c r="H56" s="1246"/>
      <c r="I56" s="1246"/>
      <c r="J56" s="1078">
        <v>17730</v>
      </c>
      <c r="K56" s="1110"/>
      <c r="L56" s="1110"/>
      <c r="M56" s="1110"/>
      <c r="N56" s="1110"/>
      <c r="O56" s="1273">
        <f>+D56/C56</f>
        <v>1.2424047196378685</v>
      </c>
      <c r="P56" s="742"/>
      <c r="Q56" s="265"/>
    </row>
    <row r="57" spans="1:17" ht="15.6">
      <c r="A57" s="68"/>
      <c r="B57" s="693"/>
      <c r="C57" s="941"/>
      <c r="D57" s="1247"/>
      <c r="E57" s="1226"/>
      <c r="F57" s="696"/>
      <c r="G57" s="696"/>
      <c r="H57" s="260"/>
      <c r="I57" s="1042"/>
      <c r="J57" s="1043"/>
      <c r="K57" s="119"/>
      <c r="L57" s="119"/>
      <c r="M57" s="119"/>
      <c r="N57" s="1271"/>
      <c r="O57" s="903"/>
      <c r="P57" s="742"/>
      <c r="Q57" s="265"/>
    </row>
    <row r="58" spans="1:17" ht="15.6">
      <c r="A58" s="140" t="s">
        <v>62</v>
      </c>
      <c r="B58" s="141">
        <f>SUM(B59:B66)</f>
        <v>55955</v>
      </c>
      <c r="C58" s="142">
        <v>11735</v>
      </c>
      <c r="D58" s="1248">
        <f>SUM(D59:D66)</f>
        <v>10794</v>
      </c>
      <c r="E58" s="1249">
        <f t="shared" ref="E58" si="11">SUM(E59:E66)</f>
        <v>4600</v>
      </c>
      <c r="F58" s="1097"/>
      <c r="G58" s="1097"/>
      <c r="H58" s="1096">
        <f t="shared" ref="H58:N58" si="12">SUM(H59:H66)</f>
        <v>2215</v>
      </c>
      <c r="I58" s="1096">
        <f t="shared" si="12"/>
        <v>2385</v>
      </c>
      <c r="J58" s="1097"/>
      <c r="K58" s="1133">
        <f t="shared" si="12"/>
        <v>1394</v>
      </c>
      <c r="L58" s="1133">
        <f t="shared" si="12"/>
        <v>852</v>
      </c>
      <c r="M58" s="1133">
        <f t="shared" si="12"/>
        <v>0</v>
      </c>
      <c r="N58" s="1274">
        <f t="shared" si="12"/>
        <v>2134</v>
      </c>
      <c r="O58" s="849">
        <f t="shared" si="2"/>
        <v>0.91981252662974011</v>
      </c>
      <c r="P58" s="707"/>
      <c r="Q58" s="265"/>
    </row>
    <row r="59" spans="1:17" ht="15.6">
      <c r="A59" s="68" t="s">
        <v>122</v>
      </c>
      <c r="B59" s="669">
        <f>335+74+675+1816+624+522+232+273+655+1600+1480+1538</f>
        <v>9824</v>
      </c>
      <c r="C59" s="1034">
        <v>1084</v>
      </c>
      <c r="D59" s="1250">
        <f>1496+768</f>
        <v>2264</v>
      </c>
      <c r="E59" s="1202">
        <f t="shared" ref="E59:E66" si="13">SUM(F59:J59)</f>
        <v>768</v>
      </c>
      <c r="F59" s="971"/>
      <c r="G59" s="104"/>
      <c r="H59" s="972">
        <v>442</v>
      </c>
      <c r="I59" s="104">
        <v>326</v>
      </c>
      <c r="J59" s="104"/>
      <c r="K59" s="119">
        <f>25+13</f>
        <v>38</v>
      </c>
      <c r="L59" s="119">
        <f>13+9</f>
        <v>22</v>
      </c>
      <c r="M59" s="119"/>
      <c r="N59" s="1271"/>
      <c r="O59" s="903">
        <f t="shared" si="2"/>
        <v>2.0885608856088562</v>
      </c>
      <c r="P59" s="707"/>
    </row>
    <row r="60" spans="1:17" ht="15.6">
      <c r="A60" s="68" t="s">
        <v>64</v>
      </c>
      <c r="B60" s="618"/>
      <c r="C60" s="1200"/>
      <c r="D60" s="1251"/>
      <c r="E60" s="1202"/>
      <c r="F60" s="974"/>
      <c r="G60" s="620"/>
      <c r="H60" s="104"/>
      <c r="I60" s="104"/>
      <c r="J60" s="104"/>
      <c r="K60" s="119"/>
      <c r="L60" s="119"/>
      <c r="M60" s="119"/>
      <c r="N60" s="1271"/>
      <c r="O60" s="903"/>
      <c r="P60" s="707"/>
    </row>
    <row r="61" spans="1:17" ht="15.6">
      <c r="A61" s="68" t="s">
        <v>65</v>
      </c>
      <c r="B61" s="669">
        <f>1670+1062+1129+1350+1391+1439+1192+1252+1332+1078+1196+1258</f>
        <v>15349</v>
      </c>
      <c r="C61" s="1034">
        <v>3861</v>
      </c>
      <c r="D61" s="1250">
        <f>1143+584</f>
        <v>1727</v>
      </c>
      <c r="E61" s="1202">
        <f t="shared" si="13"/>
        <v>584</v>
      </c>
      <c r="F61" s="972"/>
      <c r="G61" s="620"/>
      <c r="H61" s="104">
        <v>301</v>
      </c>
      <c r="I61" s="104">
        <v>283</v>
      </c>
      <c r="J61" s="104"/>
      <c r="K61" s="119">
        <f>67+210</f>
        <v>277</v>
      </c>
      <c r="L61" s="119">
        <f>212+37</f>
        <v>249</v>
      </c>
      <c r="M61" s="119"/>
      <c r="N61" s="1271">
        <v>584</v>
      </c>
      <c r="O61" s="903">
        <f t="shared" si="2"/>
        <v>0.44729344729344728</v>
      </c>
      <c r="P61" s="707"/>
    </row>
    <row r="62" spans="1:17" ht="15.6">
      <c r="A62" s="68" t="s">
        <v>66</v>
      </c>
      <c r="B62" s="618">
        <f>1089+517+1381+2546+1336+1503+1713+1785+1646+1436+909+1418</f>
        <v>17279</v>
      </c>
      <c r="C62" s="1200">
        <v>2987</v>
      </c>
      <c r="D62" s="1251">
        <f>1838+1698</f>
        <v>3536</v>
      </c>
      <c r="E62" s="1202">
        <f t="shared" si="13"/>
        <v>1698</v>
      </c>
      <c r="F62" s="974"/>
      <c r="G62" s="620"/>
      <c r="H62" s="104">
        <v>792</v>
      </c>
      <c r="I62" s="104">
        <v>906</v>
      </c>
      <c r="J62" s="104"/>
      <c r="K62" s="1056"/>
      <c r="L62" s="1056"/>
      <c r="M62" s="119"/>
      <c r="N62" s="1271"/>
      <c r="O62" s="903">
        <f t="shared" si="2"/>
        <v>1.1837964512889187</v>
      </c>
      <c r="P62" s="707"/>
    </row>
    <row r="63" spans="1:17" ht="15.6">
      <c r="A63" s="758" t="s">
        <v>67</v>
      </c>
      <c r="B63" s="656"/>
      <c r="C63" s="1200"/>
      <c r="D63" s="1221"/>
      <c r="E63" s="1202"/>
      <c r="F63" s="1045"/>
      <c r="G63" s="620"/>
      <c r="H63" s="104"/>
      <c r="I63" s="104"/>
      <c r="J63" s="104"/>
      <c r="K63" s="119"/>
      <c r="L63" s="119"/>
      <c r="M63" s="119"/>
      <c r="N63" s="1271"/>
      <c r="O63" s="903"/>
      <c r="P63" s="707"/>
    </row>
    <row r="64" spans="1:17" ht="15.6">
      <c r="A64" s="68" t="s">
        <v>68</v>
      </c>
      <c r="B64" s="618">
        <f>949+632+800+680+378+254+120+150+155+159+135+133</f>
        <v>4545</v>
      </c>
      <c r="C64" s="1200">
        <v>2381</v>
      </c>
      <c r="D64" s="1252">
        <f>492+846</f>
        <v>1338</v>
      </c>
      <c r="E64" s="1202">
        <f t="shared" si="13"/>
        <v>846</v>
      </c>
      <c r="F64" s="974"/>
      <c r="G64" s="620"/>
      <c r="H64" s="104">
        <v>350</v>
      </c>
      <c r="I64" s="104">
        <v>496</v>
      </c>
      <c r="J64" s="104"/>
      <c r="K64" s="1056">
        <v>846</v>
      </c>
      <c r="L64" s="1056">
        <f>350</f>
        <v>350</v>
      </c>
      <c r="M64" s="119"/>
      <c r="N64" s="1271">
        <v>846</v>
      </c>
      <c r="O64" s="903">
        <f t="shared" si="2"/>
        <v>0.56194876102477953</v>
      </c>
      <c r="P64" s="707"/>
    </row>
    <row r="65" spans="1:17" ht="15.6">
      <c r="A65" s="614" t="s">
        <v>69</v>
      </c>
      <c r="B65" s="669"/>
      <c r="C65" s="1034"/>
      <c r="D65" s="1250"/>
      <c r="E65" s="1202"/>
      <c r="F65" s="972"/>
      <c r="G65" s="1047"/>
      <c r="H65" s="664"/>
      <c r="I65" s="664"/>
      <c r="J65" s="664"/>
      <c r="K65" s="259"/>
      <c r="L65" s="259"/>
      <c r="M65" s="259"/>
      <c r="N65" s="1256"/>
      <c r="O65" s="903"/>
      <c r="P65" s="707"/>
    </row>
    <row r="66" spans="1:17" ht="15.6">
      <c r="A66" s="68" t="s">
        <v>70</v>
      </c>
      <c r="B66" s="669">
        <f>703+210+509+267+526+508+670+637+1462+1836+801+829</f>
        <v>8958</v>
      </c>
      <c r="C66" s="51">
        <v>1422</v>
      </c>
      <c r="D66" s="1250">
        <f>1225+704</f>
        <v>1929</v>
      </c>
      <c r="E66" s="1202">
        <f t="shared" si="13"/>
        <v>704</v>
      </c>
      <c r="F66" s="104"/>
      <c r="G66" s="104"/>
      <c r="H66" s="104">
        <v>330</v>
      </c>
      <c r="I66" s="104">
        <v>374</v>
      </c>
      <c r="J66" s="104"/>
      <c r="K66" s="1056">
        <f>222+11</f>
        <v>233</v>
      </c>
      <c r="L66" s="1056">
        <f>231</f>
        <v>231</v>
      </c>
      <c r="M66" s="1056"/>
      <c r="N66" s="1257">
        <v>704</v>
      </c>
      <c r="O66" s="903">
        <f t="shared" si="2"/>
        <v>1.3565400843881856</v>
      </c>
      <c r="P66" s="707"/>
      <c r="Q66" s="754"/>
    </row>
    <row r="67" spans="1:17" ht="15.6">
      <c r="A67" s="231"/>
      <c r="B67" s="763"/>
      <c r="C67" s="1275"/>
      <c r="D67" s="1276"/>
      <c r="E67" s="1277"/>
      <c r="F67" s="686"/>
      <c r="G67" s="1278"/>
      <c r="H67" s="686"/>
      <c r="I67" s="686"/>
      <c r="J67" s="686"/>
      <c r="K67" s="686"/>
      <c r="L67" s="686"/>
      <c r="M67" s="686"/>
      <c r="N67" s="1279"/>
      <c r="O67" s="903"/>
      <c r="P67" s="707"/>
    </row>
    <row r="68" spans="1:17" ht="15">
      <c r="A68" s="235" t="s">
        <v>71</v>
      </c>
      <c r="B68" s="236">
        <f>B6+B29+B35+B48+B58</f>
        <v>21049806</v>
      </c>
      <c r="C68" s="236">
        <f t="shared" ref="C68:H68" si="14">C6+C29+C35+C48+C58</f>
        <v>4792555</v>
      </c>
      <c r="D68" s="236">
        <f t="shared" si="14"/>
        <v>5249175</v>
      </c>
      <c r="E68" s="236">
        <f t="shared" si="14"/>
        <v>1907275</v>
      </c>
      <c r="F68" s="236">
        <f t="shared" si="14"/>
        <v>766475</v>
      </c>
      <c r="G68" s="236">
        <f t="shared" si="14"/>
        <v>757891</v>
      </c>
      <c r="H68" s="236">
        <f t="shared" si="14"/>
        <v>114439</v>
      </c>
      <c r="I68" s="1136">
        <f>I6+I29+H35+I48+I58</f>
        <v>110905</v>
      </c>
      <c r="J68" s="1136">
        <f t="shared" ref="J68:N68" si="15">J6+J29+I35+J48+J58</f>
        <v>215047</v>
      </c>
      <c r="K68" s="1141">
        <f t="shared" si="15"/>
        <v>118670</v>
      </c>
      <c r="L68" s="1141">
        <f t="shared" si="15"/>
        <v>291732</v>
      </c>
      <c r="M68" s="1141">
        <f t="shared" si="15"/>
        <v>50959</v>
      </c>
      <c r="N68" s="1142">
        <f t="shared" si="15"/>
        <v>57631</v>
      </c>
      <c r="O68" s="849">
        <f t="shared" si="2"/>
        <v>1.0952769451785112</v>
      </c>
      <c r="P68" s="783"/>
    </row>
    <row r="69" spans="1:17">
      <c r="A69" s="1185" t="s">
        <v>72</v>
      </c>
      <c r="B69" s="1186">
        <f>+B68+B27+B46+B56</f>
        <v>25806277</v>
      </c>
      <c r="C69" s="1186">
        <f>+C68+C27+C46+C56</f>
        <v>5789679</v>
      </c>
      <c r="D69" s="1186">
        <f>+D68+D27+D46+D56</f>
        <v>6475636</v>
      </c>
      <c r="E69" s="1186">
        <f>+E68+E27+E46+E56</f>
        <v>2405052</v>
      </c>
      <c r="F69" s="1054"/>
      <c r="G69" s="1054"/>
      <c r="H69" s="151"/>
      <c r="I69" s="151"/>
      <c r="J69" s="151"/>
      <c r="K69" s="151"/>
      <c r="L69" s="1054"/>
      <c r="N69" s="1054"/>
      <c r="O69" s="911"/>
    </row>
    <row r="70" spans="1:17">
      <c r="A70" s="2"/>
      <c r="B70" s="241"/>
      <c r="C70" s="241"/>
      <c r="D70" s="241"/>
      <c r="E70" s="241"/>
      <c r="F70" s="152"/>
      <c r="G70" s="152"/>
      <c r="H70" s="2"/>
      <c r="I70" s="2"/>
      <c r="J70" s="2"/>
      <c r="K70" s="2"/>
      <c r="L70" s="152"/>
      <c r="M70" s="152" t="s">
        <v>114</v>
      </c>
      <c r="N70" s="152"/>
      <c r="O70" s="2"/>
    </row>
    <row r="71" spans="1:17">
      <c r="B71" s="2"/>
      <c r="C71" s="2"/>
      <c r="D71" s="152"/>
      <c r="E71" s="2"/>
      <c r="F71" s="152"/>
      <c r="G71" s="2"/>
      <c r="H71" s="2"/>
      <c r="I71" s="2"/>
      <c r="J71" s="2"/>
      <c r="K71" s="2"/>
      <c r="L71" s="152"/>
      <c r="M71" s="152"/>
      <c r="N71" s="152"/>
      <c r="O71" s="2"/>
    </row>
    <row r="72" spans="1:17">
      <c r="B72" s="2"/>
      <c r="C72" s="2"/>
      <c r="D72" s="786" t="s">
        <v>74</v>
      </c>
      <c r="E72" s="786" t="s">
        <v>75</v>
      </c>
      <c r="F72" s="786" t="s">
        <v>76</v>
      </c>
      <c r="G72" s="786" t="s">
        <v>77</v>
      </c>
      <c r="H72" s="786" t="s">
        <v>78</v>
      </c>
      <c r="I72" s="786" t="s">
        <v>79</v>
      </c>
      <c r="J72" s="786" t="s">
        <v>80</v>
      </c>
      <c r="K72" s="786" t="s">
        <v>81</v>
      </c>
      <c r="L72" s="786" t="s">
        <v>82</v>
      </c>
      <c r="M72" s="786" t="s">
        <v>83</v>
      </c>
      <c r="N72" s="786" t="s">
        <v>84</v>
      </c>
      <c r="O72" s="786" t="s">
        <v>85</v>
      </c>
      <c r="P72" s="1187" t="s">
        <v>86</v>
      </c>
    </row>
    <row r="73" spans="1:17">
      <c r="B73" s="246" t="s">
        <v>87</v>
      </c>
      <c r="C73" s="246"/>
      <c r="D73" s="1056">
        <v>1737613</v>
      </c>
      <c r="E73" s="1056">
        <v>1447754</v>
      </c>
      <c r="F73" s="1057">
        <f>E68</f>
        <v>1907275</v>
      </c>
      <c r="G73" s="1056"/>
      <c r="H73" s="1056"/>
      <c r="I73" s="3"/>
      <c r="J73" s="1056"/>
      <c r="K73" s="789"/>
      <c r="L73" s="1056"/>
      <c r="M73" s="789"/>
      <c r="N73" s="268"/>
      <c r="O73" s="789"/>
      <c r="P73" s="1188">
        <f>SUM(D73:O73)</f>
        <v>5092642</v>
      </c>
    </row>
    <row r="74" spans="1:17">
      <c r="A74" s="2"/>
      <c r="B74" s="249" t="s">
        <v>88</v>
      </c>
      <c r="C74" s="249"/>
      <c r="D74" s="1139"/>
      <c r="E74" s="271">
        <f t="shared" ref="E74:O74" si="16">IF(D73&gt;0,E73/D73,0)*100</f>
        <v>83.318552520037542</v>
      </c>
      <c r="F74" s="271">
        <f t="shared" si="16"/>
        <v>131.74026802896071</v>
      </c>
      <c r="G74" s="271">
        <f t="shared" si="16"/>
        <v>0</v>
      </c>
      <c r="H74" s="271">
        <f t="shared" si="16"/>
        <v>0</v>
      </c>
      <c r="I74" s="271">
        <f t="shared" si="16"/>
        <v>0</v>
      </c>
      <c r="J74" s="271">
        <f t="shared" si="16"/>
        <v>0</v>
      </c>
      <c r="K74" s="271">
        <f t="shared" si="16"/>
        <v>0</v>
      </c>
      <c r="L74" s="271">
        <f t="shared" si="16"/>
        <v>0</v>
      </c>
      <c r="M74" s="271">
        <f t="shared" si="16"/>
        <v>0</v>
      </c>
      <c r="N74" s="271">
        <f t="shared" si="16"/>
        <v>0</v>
      </c>
      <c r="O74" s="271">
        <f t="shared" si="16"/>
        <v>0</v>
      </c>
      <c r="P74" s="1189">
        <f>P73/B68</f>
        <v>0.24193296603303613</v>
      </c>
    </row>
    <row r="75" spans="1:17">
      <c r="A75" s="2"/>
      <c r="B75" s="251"/>
      <c r="C75" s="251"/>
      <c r="D75" s="251"/>
      <c r="E75" s="268"/>
      <c r="F75" s="251"/>
      <c r="G75" s="2" t="s">
        <v>115</v>
      </c>
      <c r="H75" s="2"/>
      <c r="I75" s="2"/>
      <c r="J75" s="2"/>
      <c r="K75" s="2"/>
      <c r="L75" s="2"/>
      <c r="M75" s="152"/>
      <c r="N75" s="152"/>
      <c r="O75" s="152"/>
      <c r="P75" s="2"/>
    </row>
    <row r="76" spans="1:17">
      <c r="A76" s="1442" t="s">
        <v>89</v>
      </c>
      <c r="B76" s="152"/>
      <c r="C76" s="152"/>
      <c r="D76" s="152"/>
      <c r="E76" s="152"/>
      <c r="F76" s="2"/>
      <c r="G76" s="2"/>
      <c r="H76" s="2"/>
      <c r="I76" s="2"/>
      <c r="J76" s="2"/>
      <c r="K76" s="2"/>
      <c r="L76" s="2"/>
      <c r="M76" s="152"/>
      <c r="N76" s="152"/>
      <c r="O76" s="152"/>
      <c r="P76" s="2"/>
      <c r="Q76" s="3"/>
    </row>
    <row r="77" spans="1:17">
      <c r="A77" s="2" t="s">
        <v>90</v>
      </c>
      <c r="B77" s="152"/>
      <c r="C77" s="152"/>
      <c r="D77" s="152"/>
      <c r="E77" s="152"/>
      <c r="F77" s="2"/>
      <c r="G77" s="2"/>
      <c r="H77" s="2"/>
      <c r="I77" s="2"/>
      <c r="J77" s="2"/>
      <c r="K77" s="2"/>
      <c r="L77" s="2"/>
      <c r="M77" s="152"/>
      <c r="N77" s="152"/>
      <c r="O77" s="152"/>
      <c r="P77" s="2"/>
      <c r="Q77" s="3"/>
    </row>
    <row r="78" spans="1:17">
      <c r="A78" s="1442" t="s">
        <v>91</v>
      </c>
      <c r="B78" s="152"/>
      <c r="C78" s="152"/>
      <c r="D78" s="152"/>
      <c r="E78" s="152"/>
      <c r="F78" s="2"/>
      <c r="G78" s="2"/>
      <c r="H78" s="2"/>
      <c r="I78" s="2"/>
      <c r="J78" s="2"/>
      <c r="K78" s="2"/>
      <c r="L78" s="2"/>
      <c r="M78" s="152"/>
      <c r="N78" s="152"/>
      <c r="O78" s="152"/>
      <c r="P78" s="2"/>
      <c r="Q78" s="3"/>
    </row>
    <row r="79" spans="1:17">
      <c r="A79" s="1443" t="s">
        <v>92</v>
      </c>
      <c r="B79" s="152"/>
      <c r="C79" s="152"/>
      <c r="D79" s="152"/>
      <c r="E79" s="152"/>
      <c r="F79" s="2"/>
      <c r="G79" s="2"/>
      <c r="H79" s="2"/>
      <c r="I79" s="2"/>
      <c r="J79" s="2"/>
      <c r="K79" s="2"/>
      <c r="L79" s="2"/>
      <c r="M79" s="152"/>
      <c r="N79" s="152"/>
      <c r="O79" s="152"/>
      <c r="P79" s="2"/>
      <c r="Q79" s="281"/>
    </row>
    <row r="80" spans="1:17">
      <c r="A80" s="2" t="s">
        <v>93</v>
      </c>
      <c r="B80" s="2"/>
      <c r="C80" s="2"/>
      <c r="D80" s="2"/>
      <c r="E80" s="2"/>
      <c r="F80" s="2"/>
      <c r="G80" s="2"/>
      <c r="H80" s="2"/>
      <c r="I80" s="2"/>
      <c r="K80" s="2"/>
      <c r="M80" s="152"/>
      <c r="N80" s="152"/>
      <c r="O80" s="152"/>
      <c r="P80" s="2"/>
    </row>
    <row r="81" spans="1:16">
      <c r="A81" s="2" t="s">
        <v>94</v>
      </c>
      <c r="B81" s="2"/>
      <c r="C81" s="2"/>
      <c r="D81" s="2"/>
      <c r="E81" s="2"/>
      <c r="F81" s="2"/>
      <c r="G81" s="2"/>
      <c r="H81" s="2"/>
      <c r="I81" s="2"/>
      <c r="K81" s="2"/>
      <c r="M81" s="152"/>
      <c r="N81" s="152"/>
      <c r="O81" s="273"/>
      <c r="P81" s="2"/>
    </row>
    <row r="82" spans="1:16">
      <c r="A82" s="2" t="s">
        <v>95</v>
      </c>
      <c r="B82" s="2"/>
      <c r="C82" s="2"/>
      <c r="D82" s="2"/>
      <c r="E82" s="2"/>
      <c r="F82" s="2"/>
      <c r="G82" s="2"/>
      <c r="H82" s="2"/>
      <c r="I82" s="2"/>
      <c r="K82" s="2"/>
      <c r="L82" s="2"/>
      <c r="M82" s="152"/>
      <c r="N82" s="152"/>
      <c r="O82" s="152"/>
      <c r="P82" s="2"/>
    </row>
    <row r="84" spans="1:16" ht="15.6">
      <c r="B84" s="875" t="s">
        <v>96</v>
      </c>
      <c r="C84" s="875"/>
      <c r="D84" s="875"/>
      <c r="E84" s="875"/>
      <c r="F84" s="875"/>
      <c r="G84" s="875"/>
      <c r="H84" s="875"/>
      <c r="I84" s="875"/>
      <c r="J84" s="875"/>
      <c r="K84" s="875"/>
      <c r="L84" s="875"/>
      <c r="M84" s="875"/>
      <c r="N84" s="875"/>
      <c r="O84" s="875"/>
    </row>
    <row r="85" spans="1:16">
      <c r="A85" s="775" t="s">
        <v>97</v>
      </c>
      <c r="B85" s="776" t="s">
        <v>74</v>
      </c>
      <c r="C85" s="776" t="s">
        <v>75</v>
      </c>
      <c r="D85" s="776" t="s">
        <v>76</v>
      </c>
      <c r="E85" s="776" t="s">
        <v>77</v>
      </c>
      <c r="F85" s="776" t="s">
        <v>78</v>
      </c>
      <c r="G85" s="776" t="s">
        <v>79</v>
      </c>
      <c r="H85" s="776" t="s">
        <v>80</v>
      </c>
      <c r="I85" s="776" t="s">
        <v>81</v>
      </c>
      <c r="J85" s="776" t="s">
        <v>82</v>
      </c>
      <c r="K85" s="776" t="s">
        <v>83</v>
      </c>
      <c r="L85" s="776" t="s">
        <v>84</v>
      </c>
      <c r="M85" s="776" t="s">
        <v>85</v>
      </c>
      <c r="N85" s="776" t="s">
        <v>86</v>
      </c>
      <c r="O85" s="775" t="s">
        <v>98</v>
      </c>
    </row>
    <row r="86" spans="1:16">
      <c r="A86" s="876" t="s">
        <v>99</v>
      </c>
      <c r="B86" s="877">
        <v>5672894</v>
      </c>
      <c r="C86" s="878">
        <v>4899761</v>
      </c>
      <c r="D86" s="878">
        <v>6728359</v>
      </c>
      <c r="E86" s="889"/>
      <c r="F86" s="889"/>
      <c r="G86" s="889"/>
      <c r="H86" s="889"/>
      <c r="I86" s="889"/>
      <c r="J86" s="889"/>
      <c r="K86" s="889"/>
      <c r="L86" s="889"/>
      <c r="M86" s="889"/>
      <c r="N86" s="1058">
        <f>SUM(B86:M86)</f>
        <v>17301014</v>
      </c>
      <c r="O86" s="886">
        <f>N86/$N$86%</f>
        <v>99.999999999999986</v>
      </c>
    </row>
    <row r="87" spans="1:16">
      <c r="A87" s="259" t="s">
        <v>100</v>
      </c>
      <c r="B87" s="260">
        <v>1809898</v>
      </c>
      <c r="C87" s="260">
        <v>1730564</v>
      </c>
      <c r="D87" s="260">
        <v>2112389</v>
      </c>
      <c r="E87" s="259"/>
      <c r="F87" s="259"/>
      <c r="G87" s="259"/>
      <c r="H87" s="259"/>
      <c r="I87" s="259"/>
      <c r="J87" s="259"/>
      <c r="K87" s="259"/>
      <c r="L87" s="259"/>
      <c r="M87" s="259"/>
      <c r="N87" s="1280">
        <f t="shared" ref="N87:N102" si="17">SUM(B87:M87)</f>
        <v>5652851</v>
      </c>
      <c r="O87" s="1281">
        <f t="shared" ref="O87:O93" si="18">N87/$N$86%</f>
        <v>32.673524222337484</v>
      </c>
    </row>
    <row r="88" spans="1:16">
      <c r="A88" s="259" t="s">
        <v>101</v>
      </c>
      <c r="B88" s="260">
        <v>216643</v>
      </c>
      <c r="C88" s="260">
        <v>165584</v>
      </c>
      <c r="D88" s="260">
        <v>464816</v>
      </c>
      <c r="E88" s="259"/>
      <c r="F88" s="259"/>
      <c r="G88" s="259"/>
      <c r="H88" s="259"/>
      <c r="I88" s="259"/>
      <c r="J88" s="259"/>
      <c r="K88" s="259"/>
      <c r="L88" s="259"/>
      <c r="M88" s="259"/>
      <c r="N88" s="1280">
        <f t="shared" si="17"/>
        <v>847043</v>
      </c>
      <c r="O88" s="1281">
        <f t="shared" si="18"/>
        <v>4.8959153492390675</v>
      </c>
    </row>
    <row r="89" spans="1:16">
      <c r="A89" s="259" t="s">
        <v>102</v>
      </c>
      <c r="B89" s="260">
        <v>1371301</v>
      </c>
      <c r="C89" s="260">
        <v>870579</v>
      </c>
      <c r="D89" s="260">
        <v>1114225</v>
      </c>
      <c r="E89" s="259"/>
      <c r="F89" s="259"/>
      <c r="G89" s="259"/>
      <c r="H89" s="259"/>
      <c r="I89" s="259"/>
      <c r="J89" s="259"/>
      <c r="K89" s="259"/>
      <c r="L89" s="259"/>
      <c r="M89" s="259"/>
      <c r="N89" s="1280">
        <f t="shared" si="17"/>
        <v>3356105</v>
      </c>
      <c r="O89" s="1281">
        <f t="shared" si="18"/>
        <v>19.398313879174943</v>
      </c>
    </row>
    <row r="90" spans="1:16">
      <c r="A90" s="259" t="s">
        <v>103</v>
      </c>
      <c r="B90" s="260">
        <v>758783</v>
      </c>
      <c r="C90" s="260">
        <v>620788</v>
      </c>
      <c r="D90" s="260">
        <v>832464</v>
      </c>
      <c r="E90" s="259"/>
      <c r="F90" s="259"/>
      <c r="G90" s="259"/>
      <c r="H90" s="259"/>
      <c r="I90" s="259"/>
      <c r="J90" s="259"/>
      <c r="K90" s="259"/>
      <c r="L90" s="259"/>
      <c r="M90" s="259"/>
      <c r="N90" s="1280">
        <f t="shared" si="17"/>
        <v>2212035</v>
      </c>
      <c r="O90" s="1281">
        <f t="shared" si="18"/>
        <v>12.785580082184778</v>
      </c>
    </row>
    <row r="91" spans="1:16">
      <c r="A91" s="259" t="s">
        <v>104</v>
      </c>
      <c r="B91" s="260">
        <v>663451</v>
      </c>
      <c r="C91" s="260">
        <v>687147</v>
      </c>
      <c r="D91" s="260">
        <v>1074747</v>
      </c>
      <c r="E91" s="259"/>
      <c r="F91" s="259"/>
      <c r="G91" s="259"/>
      <c r="H91" s="259"/>
      <c r="I91" s="259"/>
      <c r="J91" s="259"/>
      <c r="K91" s="259"/>
      <c r="L91" s="259"/>
      <c r="M91" s="259"/>
      <c r="N91" s="1280">
        <f t="shared" si="17"/>
        <v>2425345</v>
      </c>
      <c r="O91" s="1281">
        <f t="shared" si="18"/>
        <v>14.01851359694871</v>
      </c>
    </row>
    <row r="92" spans="1:16">
      <c r="A92" s="259" t="s">
        <v>105</v>
      </c>
      <c r="B92" s="260">
        <v>94829</v>
      </c>
      <c r="C92" s="260">
        <v>74713</v>
      </c>
      <c r="D92" s="260">
        <v>126500</v>
      </c>
      <c r="E92" s="259"/>
      <c r="F92" s="259"/>
      <c r="G92" s="259"/>
      <c r="H92" s="259"/>
      <c r="I92" s="259"/>
      <c r="J92" s="259"/>
      <c r="K92" s="259"/>
      <c r="L92" s="259"/>
      <c r="M92" s="259"/>
      <c r="N92" s="1280">
        <f t="shared" si="17"/>
        <v>296042</v>
      </c>
      <c r="O92" s="1281">
        <f t="shared" si="18"/>
        <v>1.7111251398328444</v>
      </c>
    </row>
    <row r="93" spans="1:16">
      <c r="A93" s="259" t="s">
        <v>58</v>
      </c>
      <c r="B93" s="260">
        <v>644996</v>
      </c>
      <c r="C93" s="260">
        <v>549797</v>
      </c>
      <c r="D93" s="260">
        <v>901148</v>
      </c>
      <c r="E93" s="259"/>
      <c r="F93" s="259"/>
      <c r="G93" s="259"/>
      <c r="H93" s="259"/>
      <c r="I93" s="259"/>
      <c r="J93" s="259"/>
      <c r="K93" s="259"/>
      <c r="L93" s="259"/>
      <c r="M93" s="259"/>
      <c r="N93" s="1280">
        <f t="shared" si="17"/>
        <v>2095941</v>
      </c>
      <c r="O93" s="1281">
        <f t="shared" si="18"/>
        <v>12.114555828924246</v>
      </c>
    </row>
    <row r="94" spans="1:16">
      <c r="A94" s="879" t="s">
        <v>106</v>
      </c>
      <c r="B94" s="878">
        <v>6857452</v>
      </c>
      <c r="C94" s="878">
        <v>5513308</v>
      </c>
      <c r="D94" s="878">
        <v>8179988</v>
      </c>
      <c r="E94" s="259"/>
      <c r="F94" s="259"/>
      <c r="G94" s="259"/>
      <c r="H94" s="259"/>
      <c r="I94" s="259"/>
      <c r="J94" s="259"/>
      <c r="K94" s="259"/>
      <c r="L94" s="259"/>
      <c r="M94" s="259"/>
      <c r="N94" s="1058">
        <f t="shared" si="17"/>
        <v>20550748</v>
      </c>
      <c r="O94" s="886">
        <f>N94/$N$94%</f>
        <v>100</v>
      </c>
    </row>
    <row r="95" spans="1:16">
      <c r="A95" s="259" t="s">
        <v>100</v>
      </c>
      <c r="B95" s="260">
        <v>2135077</v>
      </c>
      <c r="C95" s="260">
        <v>1954967</v>
      </c>
      <c r="D95" s="260">
        <v>2573893</v>
      </c>
      <c r="E95" s="259"/>
      <c r="F95" s="259"/>
      <c r="G95" s="259"/>
      <c r="H95" s="259"/>
      <c r="I95" s="259"/>
      <c r="J95" s="259"/>
      <c r="K95" s="259"/>
      <c r="L95" s="259"/>
      <c r="M95" s="259"/>
      <c r="N95" s="1280">
        <f t="shared" si="17"/>
        <v>6663937</v>
      </c>
      <c r="O95" s="1282">
        <f t="shared" ref="O95:O101" si="19">N95/$N$94%</f>
        <v>32.426736973272213</v>
      </c>
    </row>
    <row r="96" spans="1:16">
      <c r="A96" s="259" t="s">
        <v>101</v>
      </c>
      <c r="B96" s="260">
        <v>263002</v>
      </c>
      <c r="C96" s="260">
        <v>221352</v>
      </c>
      <c r="D96" s="260">
        <v>387773</v>
      </c>
      <c r="E96" s="259"/>
      <c r="F96" s="259"/>
      <c r="G96" s="259"/>
      <c r="H96" s="259"/>
      <c r="I96" s="259"/>
      <c r="J96" s="259"/>
      <c r="K96" s="259"/>
      <c r="L96" s="259"/>
      <c r="M96" s="259"/>
      <c r="N96" s="1280">
        <f t="shared" si="17"/>
        <v>872127</v>
      </c>
      <c r="O96" s="1282">
        <f t="shared" si="19"/>
        <v>4.2437725381090745</v>
      </c>
    </row>
    <row r="97" spans="1:15">
      <c r="A97" s="259" t="s">
        <v>102</v>
      </c>
      <c r="B97" s="260">
        <v>1600519</v>
      </c>
      <c r="C97" s="260">
        <v>975825</v>
      </c>
      <c r="D97" s="260">
        <v>1500811</v>
      </c>
      <c r="E97" s="259"/>
      <c r="F97" s="259"/>
      <c r="G97" s="259"/>
      <c r="H97" s="259"/>
      <c r="I97" s="259"/>
      <c r="J97" s="259"/>
      <c r="K97" s="259"/>
      <c r="L97" s="259"/>
      <c r="M97" s="259"/>
      <c r="N97" s="1280">
        <f t="shared" si="17"/>
        <v>4077155</v>
      </c>
      <c r="O97" s="1282">
        <f t="shared" si="19"/>
        <v>19.839448179696426</v>
      </c>
    </row>
    <row r="98" spans="1:15">
      <c r="A98" s="259" t="s">
        <v>103</v>
      </c>
      <c r="B98" s="260">
        <v>906127</v>
      </c>
      <c r="C98" s="260">
        <v>684506</v>
      </c>
      <c r="D98" s="260">
        <v>1019356</v>
      </c>
      <c r="E98" s="259"/>
      <c r="F98" s="259"/>
      <c r="G98" s="259"/>
      <c r="H98" s="259"/>
      <c r="I98" s="259"/>
      <c r="J98" s="259"/>
      <c r="K98" s="259"/>
      <c r="L98" s="259"/>
      <c r="M98" s="259"/>
      <c r="N98" s="1280">
        <f t="shared" si="17"/>
        <v>2609989</v>
      </c>
      <c r="O98" s="1282">
        <f t="shared" si="19"/>
        <v>12.70021412359297</v>
      </c>
    </row>
    <row r="99" spans="1:15">
      <c r="A99" s="259" t="s">
        <v>104</v>
      </c>
      <c r="B99" s="260">
        <v>910303</v>
      </c>
      <c r="C99" s="260">
        <v>843503</v>
      </c>
      <c r="D99" s="260">
        <v>1350561</v>
      </c>
      <c r="E99" s="259"/>
      <c r="F99" s="259"/>
      <c r="G99" s="259"/>
      <c r="H99" s="259"/>
      <c r="I99" s="259"/>
      <c r="J99" s="259"/>
      <c r="K99" s="259"/>
      <c r="L99" s="259"/>
      <c r="M99" s="259"/>
      <c r="N99" s="1280">
        <f t="shared" si="17"/>
        <v>3104367</v>
      </c>
      <c r="O99" s="1282">
        <f t="shared" si="19"/>
        <v>15.105858920560944</v>
      </c>
    </row>
    <row r="100" spans="1:15">
      <c r="A100" s="259" t="s">
        <v>105</v>
      </c>
      <c r="B100" s="260">
        <v>73110</v>
      </c>
      <c r="C100" s="260">
        <v>87700</v>
      </c>
      <c r="D100" s="260">
        <v>119850</v>
      </c>
      <c r="E100" s="259"/>
      <c r="F100" s="259"/>
      <c r="G100" s="259"/>
      <c r="H100" s="259"/>
      <c r="I100" s="259"/>
      <c r="J100" s="259"/>
      <c r="K100" s="259"/>
      <c r="L100" s="259"/>
      <c r="M100" s="259"/>
      <c r="N100" s="1280">
        <f t="shared" si="17"/>
        <v>280660</v>
      </c>
      <c r="O100" s="1282">
        <f t="shared" si="19"/>
        <v>1.3656923825838359</v>
      </c>
    </row>
    <row r="101" spans="1:15">
      <c r="A101" s="259" t="s">
        <v>58</v>
      </c>
      <c r="B101" s="260">
        <v>917981</v>
      </c>
      <c r="C101" s="260">
        <v>744638</v>
      </c>
      <c r="D101" s="260">
        <v>1226864</v>
      </c>
      <c r="E101" s="259"/>
      <c r="F101" s="259"/>
      <c r="G101" s="259"/>
      <c r="H101" s="259"/>
      <c r="I101" s="259"/>
      <c r="J101" s="259"/>
      <c r="K101" s="259"/>
      <c r="L101" s="259"/>
      <c r="M101" s="259"/>
      <c r="N101" s="1280">
        <f t="shared" si="17"/>
        <v>2889483</v>
      </c>
      <c r="O101" s="1282">
        <f t="shared" si="19"/>
        <v>14.060232746759388</v>
      </c>
    </row>
    <row r="102" spans="1:15">
      <c r="A102" s="880" t="s">
        <v>107</v>
      </c>
      <c r="B102" s="881">
        <f>B86+B94</f>
        <v>12530346</v>
      </c>
      <c r="C102" s="881">
        <f>C86+C94</f>
        <v>10413069</v>
      </c>
      <c r="D102" s="881">
        <f>D86+D94</f>
        <v>14908347</v>
      </c>
      <c r="E102" s="881">
        <f t="shared" ref="E102:M102" si="20">E86+E94</f>
        <v>0</v>
      </c>
      <c r="F102" s="881">
        <f t="shared" si="20"/>
        <v>0</v>
      </c>
      <c r="G102" s="881">
        <f t="shared" si="20"/>
        <v>0</v>
      </c>
      <c r="H102" s="881">
        <f t="shared" si="20"/>
        <v>0</v>
      </c>
      <c r="I102" s="881">
        <f t="shared" si="20"/>
        <v>0</v>
      </c>
      <c r="J102" s="881">
        <f t="shared" si="20"/>
        <v>0</v>
      </c>
      <c r="K102" s="881">
        <f t="shared" si="20"/>
        <v>0</v>
      </c>
      <c r="L102" s="881">
        <f t="shared" si="20"/>
        <v>0</v>
      </c>
      <c r="M102" s="881">
        <f t="shared" si="20"/>
        <v>0</v>
      </c>
      <c r="N102" s="881">
        <f t="shared" si="17"/>
        <v>37851762</v>
      </c>
      <c r="O102" s="25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2"/>
  <sheetViews>
    <sheetView workbookViewId="0">
      <selection activeCell="D12" sqref="D12"/>
    </sheetView>
  </sheetViews>
  <sheetFormatPr defaultColWidth="9" defaultRowHeight="14.4"/>
  <sheetData>
    <row r="1" spans="1:17" ht="15.6">
      <c r="A1" s="1" t="s">
        <v>123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51"/>
      <c r="Q1" s="221"/>
    </row>
    <row r="2" spans="1:1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52"/>
      <c r="N2" s="152"/>
      <c r="O2" s="152"/>
      <c r="P2" s="2"/>
    </row>
    <row r="3" spans="1:17" ht="41.4">
      <c r="A3" s="797" t="s">
        <v>1</v>
      </c>
      <c r="B3" s="588" t="s">
        <v>2</v>
      </c>
      <c r="C3" s="912" t="s">
        <v>124</v>
      </c>
      <c r="D3" s="913" t="s">
        <v>125</v>
      </c>
      <c r="E3" s="914" t="s">
        <v>126</v>
      </c>
      <c r="F3" s="915"/>
      <c r="G3" s="915"/>
      <c r="H3" s="915"/>
      <c r="I3" s="915"/>
      <c r="J3" s="915"/>
      <c r="K3" s="915"/>
      <c r="L3" s="915"/>
      <c r="M3" s="915"/>
      <c r="N3" s="975"/>
      <c r="O3" s="153" t="s">
        <v>127</v>
      </c>
      <c r="P3" s="707"/>
    </row>
    <row r="4" spans="1:17" ht="27.6">
      <c r="A4" s="802"/>
      <c r="B4" s="594"/>
      <c r="C4" s="916"/>
      <c r="D4" s="917"/>
      <c r="E4" s="918" t="s">
        <v>7</v>
      </c>
      <c r="F4" s="919" t="s">
        <v>8</v>
      </c>
      <c r="G4" s="919" t="s">
        <v>9</v>
      </c>
      <c r="H4" s="919" t="s">
        <v>10</v>
      </c>
      <c r="I4" s="919" t="s">
        <v>11</v>
      </c>
      <c r="J4" s="976" t="s">
        <v>12</v>
      </c>
      <c r="K4" s="977" t="s">
        <v>13</v>
      </c>
      <c r="L4" s="977" t="s">
        <v>14</v>
      </c>
      <c r="M4" s="978" t="s">
        <v>15</v>
      </c>
      <c r="N4" s="979" t="s">
        <v>16</v>
      </c>
      <c r="O4" s="159"/>
      <c r="P4" s="707"/>
    </row>
    <row r="5" spans="1:17" ht="15.6">
      <c r="A5" s="599"/>
      <c r="B5" s="600"/>
      <c r="C5" s="600"/>
      <c r="D5" s="920"/>
      <c r="E5" s="921"/>
      <c r="F5" s="922"/>
      <c r="G5" s="922"/>
      <c r="H5" s="922"/>
      <c r="I5" s="922"/>
      <c r="J5" s="980"/>
      <c r="K5" s="922"/>
      <c r="L5" s="1098"/>
      <c r="M5" s="1099"/>
      <c r="N5" s="1100"/>
      <c r="O5" s="715"/>
      <c r="P5" s="707"/>
    </row>
    <row r="6" spans="1:17" ht="15">
      <c r="A6" s="13" t="s">
        <v>17</v>
      </c>
      <c r="B6" s="14">
        <f>SUM(B8:B17)</f>
        <v>4976683</v>
      </c>
      <c r="C6" s="1144">
        <f>SUM(C8:C17)</f>
        <v>1559802</v>
      </c>
      <c r="D6" s="1063">
        <f>SUM(D9:D17)</f>
        <v>1566884</v>
      </c>
      <c r="E6" s="1064">
        <f t="shared" ref="E6:N6" si="0">SUM(E8:E17)</f>
        <v>414940</v>
      </c>
      <c r="F6" s="1064">
        <f t="shared" si="0"/>
        <v>183827</v>
      </c>
      <c r="G6" s="1064">
        <f t="shared" si="0"/>
        <v>177830</v>
      </c>
      <c r="H6" s="1064">
        <f t="shared" si="0"/>
        <v>15929</v>
      </c>
      <c r="I6" s="1064">
        <f t="shared" si="0"/>
        <v>16826</v>
      </c>
      <c r="J6" s="1064">
        <f t="shared" si="0"/>
        <v>0</v>
      </c>
      <c r="K6" s="1102">
        <f t="shared" si="0"/>
        <v>52162</v>
      </c>
      <c r="L6" s="1102">
        <f t="shared" si="0"/>
        <v>31398</v>
      </c>
      <c r="M6" s="1102">
        <f t="shared" si="0"/>
        <v>2049</v>
      </c>
      <c r="N6" s="1102">
        <f t="shared" si="0"/>
        <v>2162</v>
      </c>
      <c r="O6" s="849">
        <f>+D6/C6</f>
        <v>1.0045403198611105</v>
      </c>
      <c r="P6" s="717"/>
    </row>
    <row r="7" spans="1:17" ht="15">
      <c r="A7" s="609" t="s">
        <v>18</v>
      </c>
      <c r="B7" s="618"/>
      <c r="C7" s="1145"/>
      <c r="D7" s="662"/>
      <c r="E7" s="620">
        <f>SUM(F7:J7)</f>
        <v>0</v>
      </c>
      <c r="F7" s="664"/>
      <c r="G7" s="664"/>
      <c r="H7" s="664"/>
      <c r="I7" s="664"/>
      <c r="J7" s="664"/>
      <c r="K7" s="259"/>
      <c r="L7" s="259"/>
      <c r="M7" s="259"/>
      <c r="N7" s="1009"/>
      <c r="O7" s="849"/>
      <c r="P7" s="717"/>
    </row>
    <row r="8" spans="1:17" ht="15.6">
      <c r="A8" s="609" t="s">
        <v>19</v>
      </c>
      <c r="B8" s="618"/>
      <c r="C8" s="1145"/>
      <c r="D8" s="662"/>
      <c r="E8" s="620">
        <f>SUM(F8:J8)</f>
        <v>0</v>
      </c>
      <c r="F8" s="104"/>
      <c r="G8" s="104"/>
      <c r="H8" s="104"/>
      <c r="I8" s="104"/>
      <c r="J8" s="104"/>
      <c r="K8" s="1056"/>
      <c r="L8" s="1056"/>
      <c r="M8" s="1056"/>
      <c r="N8" s="1022"/>
      <c r="O8" s="849"/>
      <c r="P8" s="707"/>
    </row>
    <row r="9" spans="1:17" ht="15">
      <c r="A9" s="609" t="s">
        <v>20</v>
      </c>
      <c r="B9" s="618">
        <f>108077+85467+113186+113042+116756+109995+110509+101300+92745+107226+101895+113016</f>
        <v>1273214</v>
      </c>
      <c r="C9" s="1145">
        <f>108077+85467+113186+113042</f>
        <v>419772</v>
      </c>
      <c r="D9" s="662">
        <f>195272+119565+111251</f>
        <v>426088</v>
      </c>
      <c r="E9" s="620">
        <f t="shared" ref="E9:E14" si="1">SUM(F9:J9)</f>
        <v>111251</v>
      </c>
      <c r="F9" s="104">
        <v>42909</v>
      </c>
      <c r="G9" s="104">
        <v>36693</v>
      </c>
      <c r="H9" s="104">
        <v>15371</v>
      </c>
      <c r="I9" s="104">
        <v>16278</v>
      </c>
      <c r="J9" s="664"/>
      <c r="K9" s="259"/>
      <c r="L9" s="259"/>
      <c r="M9" s="1056"/>
      <c r="N9" s="1022"/>
      <c r="O9" s="903">
        <f t="shared" ref="O9:O68" si="2">+D9/C9</f>
        <v>1.0150462632095518</v>
      </c>
      <c r="P9" s="745"/>
      <c r="Q9" s="222"/>
    </row>
    <row r="10" spans="1:17" ht="15">
      <c r="A10" s="609" t="s">
        <v>21</v>
      </c>
      <c r="B10" s="618">
        <f>148719+103732+138638+114388+149772+144287+154524+162231+134683+114242+101779+138292</f>
        <v>1605287</v>
      </c>
      <c r="C10" s="1145">
        <f>148719+103732+138638+114388</f>
        <v>505477</v>
      </c>
      <c r="D10" s="619">
        <f>209265+105874+111968</f>
        <v>427107</v>
      </c>
      <c r="E10" s="620">
        <f t="shared" si="1"/>
        <v>111968</v>
      </c>
      <c r="F10" s="33">
        <v>50619</v>
      </c>
      <c r="G10" s="33">
        <v>61349</v>
      </c>
      <c r="H10" s="621"/>
      <c r="I10" s="621"/>
      <c r="J10" s="227"/>
      <c r="K10" s="1103">
        <f>4579+7030</f>
        <v>11609</v>
      </c>
      <c r="L10" s="1103">
        <f>4632+817</f>
        <v>5449</v>
      </c>
      <c r="M10" s="248"/>
      <c r="N10" s="1022"/>
      <c r="O10" s="903">
        <f t="shared" si="2"/>
        <v>0.84495832649161084</v>
      </c>
      <c r="P10" s="733"/>
      <c r="Q10" s="222"/>
    </row>
    <row r="11" spans="1:17" ht="15">
      <c r="A11" s="609" t="s">
        <v>22</v>
      </c>
      <c r="B11" s="618"/>
      <c r="C11" s="1145"/>
      <c r="D11" s="619"/>
      <c r="E11" s="620"/>
      <c r="F11" s="104"/>
      <c r="G11" s="104"/>
      <c r="H11" s="104"/>
      <c r="I11" s="104"/>
      <c r="J11" s="104"/>
      <c r="K11" s="1056"/>
      <c r="L11" s="1056"/>
      <c r="M11" s="1056"/>
      <c r="N11" s="1022"/>
      <c r="O11" s="903"/>
      <c r="P11" s="1179"/>
      <c r="Q11" s="222"/>
    </row>
    <row r="12" spans="1:17" ht="15">
      <c r="A12" s="609" t="s">
        <v>23</v>
      </c>
      <c r="B12" s="618">
        <f>39231+38035+45839+55212+55252+51874+53719+51193+43893+46338+47055+45738</f>
        <v>573379</v>
      </c>
      <c r="C12" s="1145">
        <f>39231+38035+45839+55212</f>
        <v>178317</v>
      </c>
      <c r="D12" s="619">
        <f>74332+41587+36538</f>
        <v>152457</v>
      </c>
      <c r="E12" s="620">
        <f t="shared" si="1"/>
        <v>36538</v>
      </c>
      <c r="F12" s="104">
        <v>19159</v>
      </c>
      <c r="G12" s="104">
        <v>16273</v>
      </c>
      <c r="H12" s="104">
        <v>558</v>
      </c>
      <c r="I12" s="104">
        <v>548</v>
      </c>
      <c r="J12" s="104"/>
      <c r="K12" s="1056">
        <f>5048+1830+448</f>
        <v>7326</v>
      </c>
      <c r="L12" s="1056">
        <f>77+3065+264</f>
        <v>3406</v>
      </c>
      <c r="M12" s="1056"/>
      <c r="N12" s="1022"/>
      <c r="O12" s="903">
        <f t="shared" si="2"/>
        <v>0.85497737175928268</v>
      </c>
      <c r="P12" s="733"/>
      <c r="Q12" s="222"/>
    </row>
    <row r="13" spans="1:17" ht="15">
      <c r="A13" s="623" t="s">
        <v>24</v>
      </c>
      <c r="B13" s="618">
        <v>0</v>
      </c>
      <c r="C13" s="1145">
        <v>0</v>
      </c>
      <c r="D13" s="619"/>
      <c r="E13" s="620"/>
      <c r="F13" s="104"/>
      <c r="G13" s="104"/>
      <c r="H13" s="104"/>
      <c r="I13" s="104"/>
      <c r="J13" s="104"/>
      <c r="K13" s="1056"/>
      <c r="L13" s="1056"/>
      <c r="M13" s="1056"/>
      <c r="N13" s="1022"/>
      <c r="O13" s="903"/>
      <c r="P13" s="1179"/>
      <c r="Q13" s="222"/>
    </row>
    <row r="14" spans="1:17" ht="15">
      <c r="A14" s="68" t="s">
        <v>25</v>
      </c>
      <c r="B14" s="618">
        <f>107401+71667+97692+112321+100543+91682+100061+119410+112186+136804+148168+145637</f>
        <v>1343572</v>
      </c>
      <c r="C14" s="1145">
        <f>107401+71667+97692+112321</f>
        <v>389081</v>
      </c>
      <c r="D14" s="662">
        <f>230133+126813+134655</f>
        <v>491601</v>
      </c>
      <c r="E14" s="620">
        <f t="shared" si="1"/>
        <v>134655</v>
      </c>
      <c r="F14" s="36">
        <v>71140</v>
      </c>
      <c r="G14" s="36">
        <v>63515</v>
      </c>
      <c r="H14" s="36"/>
      <c r="I14" s="36"/>
      <c r="J14" s="36"/>
      <c r="K14" s="1104">
        <v>33227</v>
      </c>
      <c r="L14" s="1104">
        <f>5545+16998</f>
        <v>22543</v>
      </c>
      <c r="M14" s="1104">
        <v>2049</v>
      </c>
      <c r="N14" s="1105">
        <v>2162</v>
      </c>
      <c r="O14" s="903">
        <f t="shared" si="2"/>
        <v>1.2634926917531311</v>
      </c>
      <c r="P14" s="733"/>
      <c r="Q14" s="222"/>
    </row>
    <row r="15" spans="1:17" ht="15">
      <c r="A15" s="623" t="s">
        <v>26</v>
      </c>
      <c r="B15" s="618">
        <f>5818+3471+4879+3146+1868+3203+3535+2520+3649+3073+2995+3507</f>
        <v>41664</v>
      </c>
      <c r="C15" s="1145">
        <f>5818+3471+4879+3146</f>
        <v>17314</v>
      </c>
      <c r="D15" s="662">
        <f>16588</f>
        <v>16588</v>
      </c>
      <c r="E15" s="620">
        <v>3428</v>
      </c>
      <c r="F15" s="104"/>
      <c r="G15" s="104"/>
      <c r="H15" s="104"/>
      <c r="I15" s="104"/>
      <c r="J15" s="104"/>
      <c r="K15" s="1106"/>
      <c r="L15" s="1056"/>
      <c r="M15" s="1056"/>
      <c r="N15" s="1022"/>
      <c r="O15" s="903">
        <f t="shared" si="2"/>
        <v>0.95806861499364671</v>
      </c>
      <c r="P15" s="733"/>
      <c r="Q15" s="222"/>
    </row>
    <row r="16" spans="1:17" ht="15">
      <c r="A16" s="609" t="s">
        <v>27</v>
      </c>
      <c r="B16" s="618">
        <f>528</f>
        <v>528</v>
      </c>
      <c r="C16" s="1145">
        <f>528</f>
        <v>528</v>
      </c>
      <c r="D16" s="662">
        <v>0</v>
      </c>
      <c r="E16" s="620">
        <v>0</v>
      </c>
      <c r="F16" s="1146"/>
      <c r="G16" s="104"/>
      <c r="H16" s="104"/>
      <c r="I16" s="104"/>
      <c r="J16" s="104"/>
      <c r="K16" s="259"/>
      <c r="L16" s="119"/>
      <c r="M16" s="1056"/>
      <c r="N16" s="1022"/>
      <c r="O16" s="903">
        <f t="shared" si="2"/>
        <v>0</v>
      </c>
      <c r="P16" s="1179"/>
      <c r="Q16" s="222"/>
    </row>
    <row r="17" spans="1:17" ht="15">
      <c r="A17" s="1147" t="s">
        <v>28</v>
      </c>
      <c r="B17" s="1148">
        <f>127397+11642</f>
        <v>139039</v>
      </c>
      <c r="C17" s="1149">
        <f>37942+11371</f>
        <v>49313</v>
      </c>
      <c r="D17" s="1150">
        <f>19907+16036+17100</f>
        <v>53043</v>
      </c>
      <c r="E17" s="1151">
        <v>17100</v>
      </c>
      <c r="F17" s="259"/>
      <c r="G17" s="1152"/>
      <c r="H17" s="259"/>
      <c r="I17" s="259"/>
      <c r="J17" s="259"/>
      <c r="K17" s="259"/>
      <c r="L17" s="259"/>
      <c r="M17" s="259"/>
      <c r="N17" s="259"/>
      <c r="O17" s="259"/>
      <c r="P17" s="733"/>
      <c r="Q17" s="223"/>
    </row>
    <row r="18" spans="1:17" ht="15.6">
      <c r="A18" s="1066" t="s">
        <v>29</v>
      </c>
      <c r="B18" s="1067">
        <f>534688+54911+55025</f>
        <v>644624</v>
      </c>
      <c r="C18" s="1153">
        <f>161928+54011+11231</f>
        <v>227170</v>
      </c>
      <c r="D18" s="1068">
        <f>45442+42731+49690+58623</f>
        <v>196486</v>
      </c>
      <c r="E18" s="1069">
        <v>58623</v>
      </c>
      <c r="F18" s="928"/>
      <c r="G18" s="928"/>
      <c r="H18" s="928"/>
      <c r="I18" s="928"/>
      <c r="J18" s="928"/>
      <c r="K18" s="1107"/>
      <c r="L18" s="1107"/>
      <c r="M18" s="1107"/>
      <c r="N18" s="1108"/>
      <c r="O18" s="903">
        <f>+E18/C18</f>
        <v>0.25805784214464939</v>
      </c>
      <c r="P18" s="727"/>
      <c r="Q18" s="727"/>
    </row>
    <row r="19" spans="1:17" ht="15.6">
      <c r="A19" s="1070" t="s">
        <v>30</v>
      </c>
      <c r="B19" s="1071">
        <f>228437+18717+26622</f>
        <v>273776</v>
      </c>
      <c r="C19" s="1154">
        <f>86240</f>
        <v>86240</v>
      </c>
      <c r="D19" s="1072">
        <f>65069+22682</f>
        <v>87751</v>
      </c>
      <c r="E19" s="811">
        <v>22682</v>
      </c>
      <c r="F19" s="929"/>
      <c r="G19" s="929"/>
      <c r="H19" s="929"/>
      <c r="I19" s="929"/>
      <c r="J19" s="929"/>
      <c r="K19" s="1056"/>
      <c r="L19" s="1056"/>
      <c r="M19" s="1056"/>
      <c r="N19" s="1022"/>
      <c r="O19" s="903">
        <f>+E19/C19</f>
        <v>0.26301020408163267</v>
      </c>
      <c r="P19" s="729"/>
      <c r="Q19" s="754"/>
    </row>
    <row r="20" spans="1:17" ht="15.6">
      <c r="A20" s="1070" t="s">
        <v>31</v>
      </c>
      <c r="B20" s="1071">
        <f>76626+5290+8224</f>
        <v>90140</v>
      </c>
      <c r="C20" s="1154">
        <f>15392+5518</f>
        <v>20910</v>
      </c>
      <c r="D20" s="1072">
        <f>5832+4910+7563+4248</f>
        <v>22553</v>
      </c>
      <c r="E20" s="812">
        <v>4248</v>
      </c>
      <c r="F20" s="929"/>
      <c r="G20" s="929"/>
      <c r="H20" s="929"/>
      <c r="I20" s="929"/>
      <c r="J20" s="929"/>
      <c r="K20" s="1056"/>
      <c r="L20" s="1056"/>
      <c r="M20" s="1056"/>
      <c r="N20" s="1022"/>
      <c r="O20" s="903">
        <f>+D20/C20</f>
        <v>1.0785748445719752</v>
      </c>
      <c r="P20" s="730"/>
    </row>
    <row r="21" spans="1:17" ht="15.6">
      <c r="A21" s="1070" t="s">
        <v>32</v>
      </c>
      <c r="B21" s="1071">
        <v>483790</v>
      </c>
      <c r="C21" s="1154">
        <f>36183+30507+38929+42926</f>
        <v>148545</v>
      </c>
      <c r="D21" s="1072">
        <f>116391+43437</f>
        <v>159828</v>
      </c>
      <c r="E21" s="812">
        <v>43437</v>
      </c>
      <c r="F21" s="929"/>
      <c r="G21" s="929"/>
      <c r="H21" s="929"/>
      <c r="I21" s="929"/>
      <c r="J21" s="929"/>
      <c r="K21" s="1056"/>
      <c r="L21" s="1056"/>
      <c r="M21" s="1056"/>
      <c r="N21" s="1022"/>
      <c r="O21" s="903">
        <f>+D21/C21</f>
        <v>1.0759567807735029</v>
      </c>
      <c r="P21" s="730"/>
    </row>
    <row r="22" spans="1:17" ht="15.6">
      <c r="A22" s="1070" t="s">
        <v>33</v>
      </c>
      <c r="B22" s="1071">
        <f>159887+13631+13177</f>
        <v>186695</v>
      </c>
      <c r="C22" s="1154">
        <v>60794</v>
      </c>
      <c r="D22" s="1072">
        <f>49042</f>
        <v>49042</v>
      </c>
      <c r="E22" s="812">
        <v>12480</v>
      </c>
      <c r="F22" s="929"/>
      <c r="G22" s="929"/>
      <c r="H22" s="929"/>
      <c r="I22" s="929"/>
      <c r="J22" s="929"/>
      <c r="K22" s="1056"/>
      <c r="L22" s="1056"/>
      <c r="M22" s="1056"/>
      <c r="N22" s="1022"/>
      <c r="O22" s="903">
        <f>+D22/C22</f>
        <v>0.80669144981412644</v>
      </c>
      <c r="P22" s="730"/>
    </row>
    <row r="23" spans="1:17" ht="15.6">
      <c r="A23" s="1070" t="s">
        <v>34</v>
      </c>
      <c r="B23" s="1071">
        <f>199276+27729+38601</f>
        <v>265606</v>
      </c>
      <c r="C23" s="1154">
        <f>22071+9654+13100+21751</f>
        <v>66576</v>
      </c>
      <c r="D23" s="1072">
        <f>78139+19970</f>
        <v>98109</v>
      </c>
      <c r="E23" s="812">
        <v>19970</v>
      </c>
      <c r="F23" s="929"/>
      <c r="G23" s="929"/>
      <c r="H23" s="930"/>
      <c r="I23" s="929"/>
      <c r="J23" s="929"/>
      <c r="K23" s="1056"/>
      <c r="L23" s="1056"/>
      <c r="M23" s="1056"/>
      <c r="N23" s="1022"/>
      <c r="O23" s="903">
        <f>+D23/C23</f>
        <v>1.4736391492429703</v>
      </c>
      <c r="P23" s="730"/>
    </row>
    <row r="24" spans="1:17" ht="15.6">
      <c r="A24" s="1074" t="s">
        <v>35</v>
      </c>
      <c r="B24" s="1075">
        <v>169502</v>
      </c>
      <c r="C24" s="1155">
        <f>3457+12735</f>
        <v>16192</v>
      </c>
      <c r="D24" s="1156">
        <f>66692</f>
        <v>66692</v>
      </c>
      <c r="E24" s="1157">
        <v>18295</v>
      </c>
      <c r="F24" s="932"/>
      <c r="G24" s="932"/>
      <c r="H24" s="932"/>
      <c r="I24" s="932"/>
      <c r="J24" s="932"/>
      <c r="K24" s="259"/>
      <c r="L24" s="259"/>
      <c r="M24" s="259"/>
      <c r="N24" s="1009"/>
      <c r="O24" s="903">
        <f>+D24/C24</f>
        <v>4.1188241106719365</v>
      </c>
      <c r="P24" s="730"/>
    </row>
    <row r="25" spans="1:17" ht="15.6">
      <c r="A25" s="1074" t="s">
        <v>121</v>
      </c>
      <c r="B25" s="1158">
        <v>0</v>
      </c>
      <c r="C25" s="372">
        <v>0</v>
      </c>
      <c r="D25" s="1156">
        <f>27000+57000+60000</f>
        <v>144000</v>
      </c>
      <c r="E25" s="1157">
        <v>60000</v>
      </c>
      <c r="F25" s="932"/>
      <c r="G25" s="932"/>
      <c r="H25" s="932"/>
      <c r="I25" s="932"/>
      <c r="J25" s="932"/>
      <c r="K25" s="259"/>
      <c r="L25" s="259"/>
      <c r="M25" s="259"/>
      <c r="N25" s="1009"/>
      <c r="O25" s="849"/>
      <c r="P25" s="730"/>
    </row>
    <row r="26" spans="1:17" ht="15.6">
      <c r="A26" s="47" t="s">
        <v>36</v>
      </c>
      <c r="B26" s="57">
        <f>29509+14652+23209+24242+23009+26529+25218+28150+30612+24870+21148+23890</f>
        <v>295038</v>
      </c>
      <c r="C26" s="1159">
        <f>29509+14652+23209+24242</f>
        <v>91612</v>
      </c>
      <c r="D26" s="645">
        <f>38233+24856+23222</f>
        <v>86311</v>
      </c>
      <c r="E26" s="933">
        <f>SUM(F26:J26)</f>
        <v>23222</v>
      </c>
      <c r="F26" s="1078"/>
      <c r="G26" s="1078"/>
      <c r="H26" s="1078">
        <v>11169</v>
      </c>
      <c r="I26" s="1078">
        <v>12053</v>
      </c>
      <c r="J26" s="1078"/>
      <c r="K26" s="1110">
        <v>6736</v>
      </c>
      <c r="L26" s="1110">
        <f>477+1341</f>
        <v>1818</v>
      </c>
      <c r="M26" s="1110"/>
      <c r="N26" s="1111"/>
      <c r="O26" s="1112">
        <f>+D26/C26</f>
        <v>0.94213640134480203</v>
      </c>
      <c r="P26" s="730"/>
    </row>
    <row r="27" spans="1:17" ht="15.6">
      <c r="A27" s="259"/>
      <c r="B27" s="1160">
        <f>SUM(B18:B26)</f>
        <v>2409171</v>
      </c>
      <c r="C27" s="1160">
        <f t="shared" ref="C27:E27" si="3">SUM(C18:C26)</f>
        <v>718039</v>
      </c>
      <c r="D27" s="1160">
        <f t="shared" si="3"/>
        <v>910772</v>
      </c>
      <c r="E27" s="1160">
        <f t="shared" si="3"/>
        <v>262957</v>
      </c>
      <c r="F27" s="259"/>
      <c r="G27" s="259"/>
      <c r="H27" s="259"/>
      <c r="I27" s="259"/>
      <c r="J27" s="259"/>
      <c r="K27" s="259"/>
      <c r="L27" s="259"/>
      <c r="M27" s="259"/>
      <c r="N27" s="259"/>
      <c r="O27" s="259"/>
      <c r="P27" s="730"/>
    </row>
    <row r="28" spans="1:17" ht="15.6">
      <c r="A28" s="649"/>
      <c r="B28" s="1022"/>
      <c r="C28" s="1022"/>
      <c r="D28" s="1161"/>
      <c r="E28" s="654"/>
      <c r="F28" s="941"/>
      <c r="G28" s="941"/>
      <c r="H28" s="941"/>
      <c r="I28" s="941"/>
      <c r="J28" s="941"/>
      <c r="K28" s="259"/>
      <c r="L28" s="259"/>
      <c r="M28" s="259"/>
      <c r="N28" s="1009"/>
      <c r="O28" s="849"/>
      <c r="P28" s="730"/>
    </row>
    <row r="29" spans="1:17" ht="15.6">
      <c r="A29" s="13" t="s">
        <v>37</v>
      </c>
      <c r="B29" s="14">
        <f>SUM(B30:B33)</f>
        <v>975868</v>
      </c>
      <c r="C29" s="1144">
        <f>SUM(C30:C33)</f>
        <v>320362</v>
      </c>
      <c r="D29" s="1080">
        <f>SUM(D30:D33)</f>
        <v>342315</v>
      </c>
      <c r="E29" s="1064">
        <f t="shared" ref="E29:N29" si="4">SUM(E30:E33)</f>
        <v>88605</v>
      </c>
      <c r="F29" s="1081">
        <f t="shared" si="4"/>
        <v>33268</v>
      </c>
      <c r="G29" s="1081">
        <f t="shared" si="4"/>
        <v>35006</v>
      </c>
      <c r="H29" s="1081">
        <f t="shared" si="4"/>
        <v>11273</v>
      </c>
      <c r="I29" s="1081">
        <f t="shared" si="4"/>
        <v>9058</v>
      </c>
      <c r="J29" s="1081">
        <f t="shared" si="4"/>
        <v>0</v>
      </c>
      <c r="K29" s="1113">
        <f t="shared" si="4"/>
        <v>18416</v>
      </c>
      <c r="L29" s="1113">
        <f t="shared" si="4"/>
        <v>13076</v>
      </c>
      <c r="M29" s="1113">
        <f t="shared" si="4"/>
        <v>0</v>
      </c>
      <c r="N29" s="1102">
        <f t="shared" si="4"/>
        <v>0</v>
      </c>
      <c r="O29" s="849">
        <f t="shared" si="2"/>
        <v>1.0685256054088812</v>
      </c>
      <c r="P29" s="729"/>
    </row>
    <row r="30" spans="1:17" ht="15">
      <c r="A30" s="609" t="s">
        <v>38</v>
      </c>
      <c r="B30" s="656">
        <f>31848+3560+3666</f>
        <v>39074</v>
      </c>
      <c r="C30" s="734">
        <f>4188+2189+2953+3363</f>
        <v>12693</v>
      </c>
      <c r="D30" s="943">
        <f>8241+5068+4596</f>
        <v>17905</v>
      </c>
      <c r="E30" s="620">
        <f t="shared" ref="E30:E32" si="5">SUM(F30:J30)</f>
        <v>4596</v>
      </c>
      <c r="F30" s="104"/>
      <c r="G30" s="104"/>
      <c r="H30" s="104">
        <v>2201</v>
      </c>
      <c r="I30" s="104">
        <v>2395</v>
      </c>
      <c r="J30" s="664"/>
      <c r="K30" s="1056">
        <v>2398</v>
      </c>
      <c r="L30" s="1056">
        <f>988+1</f>
        <v>989</v>
      </c>
      <c r="M30" s="1056"/>
      <c r="N30" s="1022"/>
      <c r="O30" s="903">
        <f t="shared" si="2"/>
        <v>1.4106200267864177</v>
      </c>
      <c r="P30" s="733"/>
    </row>
    <row r="31" spans="1:17" ht="15.6">
      <c r="A31" s="87" t="s">
        <v>39</v>
      </c>
      <c r="B31" s="656">
        <f>64505+48073+62185+62452+59765+64280+67096+71165+61780+66528+63320+71042</f>
        <v>762191</v>
      </c>
      <c r="C31" s="734">
        <f>64505+48073+62185+62452</f>
        <v>237215</v>
      </c>
      <c r="D31" s="668">
        <f>122864+65834+68474</f>
        <v>257172</v>
      </c>
      <c r="E31" s="620">
        <f t="shared" si="5"/>
        <v>68474</v>
      </c>
      <c r="F31" s="22">
        <v>27334</v>
      </c>
      <c r="G31" s="22">
        <v>27761</v>
      </c>
      <c r="H31" s="22">
        <v>6847</v>
      </c>
      <c r="I31" s="22">
        <v>6532</v>
      </c>
      <c r="J31" s="612"/>
      <c r="K31" s="92">
        <v>14820</v>
      </c>
      <c r="L31" s="92">
        <f>3408+1866+2069+4107</f>
        <v>11450</v>
      </c>
      <c r="M31" s="1106"/>
      <c r="N31" s="1114"/>
      <c r="O31" s="903">
        <f t="shared" si="2"/>
        <v>1.0841304302004511</v>
      </c>
      <c r="P31" s="707"/>
    </row>
    <row r="32" spans="1:17" ht="15.6">
      <c r="A32" s="87" t="s">
        <v>40</v>
      </c>
      <c r="B32" s="659">
        <f>22490+11900+19473+16591+12914+13370+11563+9278+10032+11317+15030+20645</f>
        <v>174603</v>
      </c>
      <c r="C32" s="177">
        <f>22490+11900+19473+16591</f>
        <v>70454</v>
      </c>
      <c r="D32" s="660">
        <f>35860+15843+15535</f>
        <v>67238</v>
      </c>
      <c r="E32" s="620">
        <f t="shared" si="5"/>
        <v>15535</v>
      </c>
      <c r="F32" s="22">
        <v>5934</v>
      </c>
      <c r="G32" s="22">
        <v>7245</v>
      </c>
      <c r="H32" s="22">
        <v>2225</v>
      </c>
      <c r="I32" s="22">
        <v>131</v>
      </c>
      <c r="J32" s="664"/>
      <c r="K32" s="92">
        <f>175+880+94+49</f>
        <v>1198</v>
      </c>
      <c r="L32" s="92">
        <f>345+3+231+58</f>
        <v>637</v>
      </c>
      <c r="M32" s="1056"/>
      <c r="N32" s="1022"/>
      <c r="O32" s="903">
        <f t="shared" si="2"/>
        <v>0.95435319499247739</v>
      </c>
      <c r="P32" s="707"/>
    </row>
    <row r="33" spans="1:16" ht="15.6">
      <c r="A33" s="87" t="s">
        <v>41</v>
      </c>
      <c r="B33" s="618"/>
      <c r="C33" s="618"/>
      <c r="D33" s="662"/>
      <c r="E33" s="620"/>
      <c r="F33" s="104"/>
      <c r="G33" s="104"/>
      <c r="H33" s="104"/>
      <c r="I33" s="104"/>
      <c r="J33" s="104"/>
      <c r="K33" s="1056"/>
      <c r="L33" s="1056"/>
      <c r="M33" s="1056"/>
      <c r="N33" s="1022"/>
      <c r="O33" s="849"/>
      <c r="P33" s="707"/>
    </row>
    <row r="34" spans="1:16" ht="15.6">
      <c r="A34" s="87"/>
      <c r="B34" s="88"/>
      <c r="C34" s="88"/>
      <c r="D34" s="944"/>
      <c r="E34" s="945"/>
      <c r="F34" s="119"/>
      <c r="G34" s="119"/>
      <c r="H34" s="119"/>
      <c r="I34" s="119"/>
      <c r="J34" s="119"/>
      <c r="K34" s="1115"/>
      <c r="L34" s="1115"/>
      <c r="M34" s="1115"/>
      <c r="N34" s="1016"/>
      <c r="O34" s="849"/>
      <c r="P34" s="707"/>
    </row>
    <row r="35" spans="1:16" ht="15.6">
      <c r="A35" s="13" t="s">
        <v>42</v>
      </c>
      <c r="B35" s="14">
        <f t="shared" ref="B35:N35" si="6">SUM(B36:B46)</f>
        <v>8566129</v>
      </c>
      <c r="C35" s="1162">
        <f t="shared" si="6"/>
        <v>2716882</v>
      </c>
      <c r="D35" s="1080">
        <f t="shared" si="6"/>
        <v>2911401</v>
      </c>
      <c r="E35" s="1064">
        <f t="shared" si="6"/>
        <v>781269</v>
      </c>
      <c r="F35" s="1064">
        <f t="shared" si="6"/>
        <v>302255</v>
      </c>
      <c r="G35" s="1064">
        <f t="shared" si="6"/>
        <v>244938</v>
      </c>
      <c r="H35" s="1064">
        <f t="shared" si="6"/>
        <v>78809</v>
      </c>
      <c r="I35" s="1064">
        <f t="shared" si="6"/>
        <v>153936</v>
      </c>
      <c r="J35" s="1064">
        <f t="shared" si="6"/>
        <v>1331</v>
      </c>
      <c r="K35" s="1101">
        <f t="shared" si="6"/>
        <v>29794</v>
      </c>
      <c r="L35" s="1101">
        <f t="shared" si="6"/>
        <v>32842</v>
      </c>
      <c r="M35" s="1101">
        <f t="shared" si="6"/>
        <v>519</v>
      </c>
      <c r="N35" s="1116">
        <f t="shared" si="6"/>
        <v>69525</v>
      </c>
      <c r="O35" s="849">
        <f t="shared" si="2"/>
        <v>1.0715964108857139</v>
      </c>
      <c r="P35" s="707"/>
    </row>
    <row r="36" spans="1:16" ht="15.6">
      <c r="A36" s="609" t="s">
        <v>43</v>
      </c>
      <c r="B36" s="618">
        <f>176793+71526+59980+65204+71423+79211+71917+76068+84439+81079</f>
        <v>837640</v>
      </c>
      <c r="C36" s="1163">
        <f>176793+71526</f>
        <v>248319</v>
      </c>
      <c r="D36" s="662">
        <f>141659+76024+81669</f>
        <v>299352</v>
      </c>
      <c r="E36" s="620">
        <f t="shared" ref="E36:E43" si="7">SUM(F36:J36)</f>
        <v>81669</v>
      </c>
      <c r="F36" s="104"/>
      <c r="G36" s="104"/>
      <c r="H36" s="104">
        <v>23564</v>
      </c>
      <c r="I36" s="104">
        <v>58105</v>
      </c>
      <c r="J36" s="104"/>
      <c r="K36" s="1117">
        <v>1829</v>
      </c>
      <c r="L36" s="1117">
        <f>19217+22</f>
        <v>19239</v>
      </c>
      <c r="M36" s="1117"/>
      <c r="N36" s="1019"/>
      <c r="O36" s="903">
        <f t="shared" si="2"/>
        <v>1.2055138752975003</v>
      </c>
      <c r="P36" s="707"/>
    </row>
    <row r="37" spans="1:16" ht="15.6">
      <c r="A37" s="609" t="s">
        <v>44</v>
      </c>
      <c r="B37" s="618">
        <f>315296+56739+61665+55007+62647+65661+65065</f>
        <v>682080</v>
      </c>
      <c r="C37" s="1163">
        <f>58796+40986+58237+58418</f>
        <v>216437</v>
      </c>
      <c r="D37" s="662">
        <f>104618+64282+60352</f>
        <v>229252</v>
      </c>
      <c r="E37" s="620">
        <f t="shared" si="7"/>
        <v>60352</v>
      </c>
      <c r="F37" s="664"/>
      <c r="G37" s="664"/>
      <c r="H37" s="104">
        <v>8857</v>
      </c>
      <c r="I37" s="104">
        <v>51495</v>
      </c>
      <c r="J37" s="104"/>
      <c r="K37" s="1118">
        <v>1742</v>
      </c>
      <c r="L37" s="1118">
        <f>8392+1</f>
        <v>8393</v>
      </c>
      <c r="M37" s="1118"/>
      <c r="N37" s="1020">
        <v>60352</v>
      </c>
      <c r="O37" s="903">
        <f t="shared" si="2"/>
        <v>1.059208915296368</v>
      </c>
      <c r="P37" s="707"/>
    </row>
    <row r="38" spans="1:16" ht="15.6">
      <c r="A38" s="609" t="s">
        <v>128</v>
      </c>
      <c r="B38" s="618">
        <v>0</v>
      </c>
      <c r="C38" s="1163">
        <v>0</v>
      </c>
      <c r="D38" s="662">
        <f>10400</f>
        <v>10400</v>
      </c>
      <c r="E38" s="620">
        <v>8220</v>
      </c>
      <c r="F38" s="664">
        <v>4152</v>
      </c>
      <c r="G38" s="664">
        <v>2749</v>
      </c>
      <c r="H38" s="104"/>
      <c r="I38" s="104"/>
      <c r="J38" s="104">
        <v>1319</v>
      </c>
      <c r="K38" s="1118">
        <f>716+685+385</f>
        <v>1786</v>
      </c>
      <c r="L38" s="1119">
        <f>520+0+0</f>
        <v>520</v>
      </c>
      <c r="M38" s="1118">
        <v>74</v>
      </c>
      <c r="N38" s="1020">
        <v>4906</v>
      </c>
      <c r="O38" s="903">
        <v>0</v>
      </c>
      <c r="P38" s="736"/>
    </row>
    <row r="39" spans="1:16" ht="15.6">
      <c r="A39" s="87" t="s">
        <v>45</v>
      </c>
      <c r="B39" s="665">
        <f>20214+11681+23581+25619+22301+21824+20127+19528+19926+20275+23052+20682</f>
        <v>248810</v>
      </c>
      <c r="C39" s="1164">
        <f>20214+11681+23581+25619</f>
        <v>81095</v>
      </c>
      <c r="D39" s="946">
        <f>35539+25020+25012</f>
        <v>85571</v>
      </c>
      <c r="E39" s="620">
        <f>SUM(F39:J39)</f>
        <v>25012</v>
      </c>
      <c r="F39" s="104"/>
      <c r="G39" s="104"/>
      <c r="H39" s="104">
        <v>12447</v>
      </c>
      <c r="I39" s="104">
        <v>12565</v>
      </c>
      <c r="J39" s="102"/>
      <c r="K39" s="1120">
        <f>3396+3517</f>
        <v>6913</v>
      </c>
      <c r="L39" s="1118">
        <f>1557+932</f>
        <v>2489</v>
      </c>
      <c r="M39" s="1118">
        <v>197</v>
      </c>
      <c r="N39" s="1020">
        <v>0</v>
      </c>
      <c r="O39" s="903">
        <f t="shared" si="2"/>
        <v>1.0551945249398853</v>
      </c>
      <c r="P39" s="707"/>
    </row>
    <row r="40" spans="1:16" ht="15.6">
      <c r="A40" s="87" t="s">
        <v>46</v>
      </c>
      <c r="B40" s="666">
        <f>36191+20920+29070+23929+27875+30427+28473+27605+28149+32945+33352+27283</f>
        <v>346219</v>
      </c>
      <c r="C40" s="1165">
        <f>36191+20920+29070+23929</f>
        <v>110110</v>
      </c>
      <c r="D40" s="667">
        <f>42541+28883+28001</f>
        <v>99425</v>
      </c>
      <c r="E40" s="620">
        <f>SUM(H40:J40)</f>
        <v>28001</v>
      </c>
      <c r="F40" s="938"/>
      <c r="G40" s="932"/>
      <c r="H40" s="104">
        <v>14243</v>
      </c>
      <c r="I40" s="104">
        <v>13758</v>
      </c>
      <c r="J40" s="664"/>
      <c r="K40" s="1056">
        <f>4557+4574</f>
        <v>9131</v>
      </c>
      <c r="L40" s="1056">
        <f>464+152</f>
        <v>616</v>
      </c>
      <c r="M40" s="1056">
        <v>248</v>
      </c>
      <c r="N40" s="1022">
        <v>0</v>
      </c>
      <c r="O40" s="903">
        <f t="shared" si="2"/>
        <v>0.90296067568794847</v>
      </c>
      <c r="P40" s="707"/>
    </row>
    <row r="41" spans="1:16" ht="15.6">
      <c r="A41" s="87" t="s">
        <v>47</v>
      </c>
      <c r="B41" s="666">
        <f>12008+9467+14763+14113+14691+14606+10209+8082+10081+11470+13518+17152</f>
        <v>150160</v>
      </c>
      <c r="C41" s="1165">
        <f>12008+9467+14763+14113</f>
        <v>50351</v>
      </c>
      <c r="D41" s="667">
        <f>35287+23392+31491</f>
        <v>90170</v>
      </c>
      <c r="E41" s="620">
        <f>SUM(F41:J41)</f>
        <v>31491</v>
      </c>
      <c r="F41" s="104">
        <v>12599</v>
      </c>
      <c r="G41" s="104">
        <v>18880</v>
      </c>
      <c r="H41" s="104"/>
      <c r="I41" s="104"/>
      <c r="J41" s="104">
        <v>12</v>
      </c>
      <c r="K41" s="1056">
        <f>3948+4065+0</f>
        <v>8013</v>
      </c>
      <c r="L41" s="1056">
        <f>95+1347</f>
        <v>1442</v>
      </c>
      <c r="M41" s="1118"/>
      <c r="N41" s="1020">
        <v>25</v>
      </c>
      <c r="O41" s="903">
        <f t="shared" si="2"/>
        <v>1.7908283847391313</v>
      </c>
      <c r="P41" s="707"/>
    </row>
    <row r="42" spans="1:16" ht="15.6">
      <c r="A42" s="87" t="s">
        <v>48</v>
      </c>
      <c r="B42" s="666">
        <f>492323+373517+489518+501319+498148+483300+509517+496996+483525+491240+487179+505109</f>
        <v>5811691</v>
      </c>
      <c r="C42" s="1165">
        <f>492323+373517+489518+501319</f>
        <v>1856677</v>
      </c>
      <c r="D42" s="667">
        <f>890002+542749+505450</f>
        <v>1938201</v>
      </c>
      <c r="E42" s="620">
        <f t="shared" si="7"/>
        <v>505450</v>
      </c>
      <c r="F42" s="104">
        <v>284549</v>
      </c>
      <c r="G42" s="104">
        <v>220901</v>
      </c>
      <c r="H42" s="104"/>
      <c r="I42" s="664"/>
      <c r="J42" s="104"/>
      <c r="K42" s="92"/>
      <c r="L42" s="92"/>
      <c r="M42" s="1118"/>
      <c r="N42" s="1020"/>
      <c r="O42" s="903">
        <f t="shared" si="2"/>
        <v>1.0439085527531176</v>
      </c>
      <c r="P42" s="707"/>
    </row>
    <row r="43" spans="1:16" ht="15.6">
      <c r="A43" s="87" t="s">
        <v>49</v>
      </c>
      <c r="B43" s="666">
        <f>41444+27037+39698+37856+42480+38521+41958+41846+36877+41203+36023+42811</f>
        <v>467754</v>
      </c>
      <c r="C43" s="1165">
        <f>41444+27037+39698+37856</f>
        <v>146035</v>
      </c>
      <c r="D43" s="667">
        <f>72994+40474+40234</f>
        <v>153702</v>
      </c>
      <c r="E43" s="620">
        <f t="shared" si="7"/>
        <v>40234</v>
      </c>
      <c r="F43" s="102">
        <v>747</v>
      </c>
      <c r="G43" s="102">
        <v>1776</v>
      </c>
      <c r="H43" s="102">
        <v>19698</v>
      </c>
      <c r="I43" s="102">
        <v>18013</v>
      </c>
      <c r="J43" s="104"/>
      <c r="K43" s="1118"/>
      <c r="L43" s="1118"/>
      <c r="M43" s="1118"/>
      <c r="N43" s="1020"/>
      <c r="O43" s="903">
        <f t="shared" si="2"/>
        <v>1.0525011127469441</v>
      </c>
      <c r="P43" s="707"/>
    </row>
    <row r="44" spans="1:16" ht="15.6">
      <c r="A44" s="87" t="s">
        <v>50</v>
      </c>
      <c r="B44" s="656"/>
      <c r="C44" s="734"/>
      <c r="D44" s="668"/>
      <c r="E44" s="620"/>
      <c r="F44" s="104"/>
      <c r="G44" s="104"/>
      <c r="H44" s="104"/>
      <c r="I44" s="104"/>
      <c r="J44" s="104"/>
      <c r="K44" s="1118"/>
      <c r="L44" s="1118"/>
      <c r="M44" s="1118"/>
      <c r="N44" s="1020"/>
      <c r="O44" s="903"/>
      <c r="P44" s="736"/>
    </row>
    <row r="45" spans="1:16" ht="15.6">
      <c r="A45" s="87" t="s">
        <v>51</v>
      </c>
      <c r="B45" s="669">
        <f>1591+185+300+228+282+250+254+222+245+289+277+286</f>
        <v>4409</v>
      </c>
      <c r="C45" s="1166">
        <f>1591+185+300+228</f>
        <v>2304</v>
      </c>
      <c r="D45" s="670">
        <f>571+277+257</f>
        <v>1105</v>
      </c>
      <c r="E45" s="620">
        <f>SUM(F45:J45)</f>
        <v>257</v>
      </c>
      <c r="F45" s="104">
        <v>129</v>
      </c>
      <c r="G45" s="104">
        <v>128</v>
      </c>
      <c r="H45" s="104"/>
      <c r="I45" s="104"/>
      <c r="J45" s="104"/>
      <c r="K45" s="1118">
        <v>257</v>
      </c>
      <c r="L45" s="1118">
        <f>129</f>
        <v>129</v>
      </c>
      <c r="M45" s="1118"/>
      <c r="N45" s="1020">
        <v>19</v>
      </c>
      <c r="O45" s="903">
        <f t="shared" si="2"/>
        <v>0.47960069444444442</v>
      </c>
      <c r="P45" s="707"/>
    </row>
    <row r="46" spans="1:16" ht="15.6">
      <c r="A46" s="87" t="s">
        <v>52</v>
      </c>
      <c r="B46" s="669">
        <f>5554+2707+1759+1797+950+1036+1570+888+1105</f>
        <v>17366</v>
      </c>
      <c r="C46" s="1166">
        <v>5554</v>
      </c>
      <c r="D46" s="670">
        <f>2295+1345+583</f>
        <v>4223</v>
      </c>
      <c r="E46" s="620">
        <f>SUM(F46:F46:J46)</f>
        <v>583</v>
      </c>
      <c r="F46" s="104">
        <v>79</v>
      </c>
      <c r="G46" s="104">
        <v>504</v>
      </c>
      <c r="H46" s="104"/>
      <c r="I46" s="104"/>
      <c r="J46" s="1121"/>
      <c r="K46" s="1120">
        <f>17+106</f>
        <v>123</v>
      </c>
      <c r="L46" s="1118">
        <f>14</f>
        <v>14</v>
      </c>
      <c r="M46" s="1118"/>
      <c r="N46" s="1020">
        <v>4223</v>
      </c>
      <c r="O46" s="903">
        <f t="shared" si="2"/>
        <v>0.76035289881166723</v>
      </c>
      <c r="P46" s="707"/>
    </row>
    <row r="47" spans="1:16" ht="15.6">
      <c r="A47" s="1167" t="s">
        <v>53</v>
      </c>
      <c r="B47" s="1168">
        <f>43919+38655+49389+49920+41452+46211+54147+61115+45816+53985+53251+54204</f>
        <v>592064</v>
      </c>
      <c r="C47" s="1169">
        <f>43919+38655+49389+49920</f>
        <v>181883</v>
      </c>
      <c r="D47" s="1170">
        <f>46498+25145+53554+45477</f>
        <v>170674</v>
      </c>
      <c r="E47" s="1171">
        <f>SUM(F47:J47)</f>
        <v>45477</v>
      </c>
      <c r="F47" s="1172">
        <v>20271</v>
      </c>
      <c r="G47" s="1172">
        <v>20208</v>
      </c>
      <c r="H47" s="1172">
        <v>2073</v>
      </c>
      <c r="I47" s="1180">
        <v>1987</v>
      </c>
      <c r="J47" s="1172">
        <v>938</v>
      </c>
      <c r="K47" s="1181">
        <f>3632+5578+586+465+34</f>
        <v>10295</v>
      </c>
      <c r="L47" s="1124">
        <f>727+302+61+62+76</f>
        <v>1228</v>
      </c>
      <c r="M47" s="1181"/>
      <c r="N47" s="1182">
        <v>45477</v>
      </c>
      <c r="O47" s="1183">
        <f t="shared" si="2"/>
        <v>0.93837247021436854</v>
      </c>
      <c r="P47" s="707"/>
    </row>
    <row r="48" spans="1:16" ht="15.6">
      <c r="A48" s="259"/>
      <c r="B48" s="259"/>
      <c r="C48" s="259"/>
      <c r="D48" s="259"/>
      <c r="E48" s="259"/>
      <c r="F48" s="259"/>
      <c r="G48" s="259"/>
      <c r="H48" s="259"/>
      <c r="I48" s="259"/>
      <c r="J48" s="259"/>
      <c r="K48" s="259"/>
      <c r="L48" s="259"/>
      <c r="M48" s="259"/>
      <c r="N48" s="259"/>
      <c r="O48" s="259"/>
      <c r="P48" s="707"/>
    </row>
    <row r="49" spans="1:17" ht="15.6">
      <c r="A49" s="13" t="s">
        <v>54</v>
      </c>
      <c r="B49" s="14">
        <f t="shared" ref="B49:N49" si="8">SUM(B50:B57)</f>
        <v>6475171</v>
      </c>
      <c r="C49" s="1144">
        <f t="shared" si="8"/>
        <v>1876821</v>
      </c>
      <c r="D49" s="1080">
        <f t="shared" si="8"/>
        <v>2309044</v>
      </c>
      <c r="E49" s="1083">
        <f t="shared" si="8"/>
        <v>601966</v>
      </c>
      <c r="F49" s="1065">
        <f t="shared" si="8"/>
        <v>244513</v>
      </c>
      <c r="G49" s="1065">
        <f t="shared" si="8"/>
        <v>285293</v>
      </c>
      <c r="H49" s="1065">
        <f t="shared" si="8"/>
        <v>6294</v>
      </c>
      <c r="I49" s="1065">
        <f t="shared" si="8"/>
        <v>3019</v>
      </c>
      <c r="J49" s="1065">
        <f t="shared" si="8"/>
        <v>62847</v>
      </c>
      <c r="K49" s="1101">
        <f t="shared" si="8"/>
        <v>39394</v>
      </c>
      <c r="L49" s="1101">
        <f t="shared" si="8"/>
        <v>49056</v>
      </c>
      <c r="M49" s="1101">
        <f t="shared" si="8"/>
        <v>2304</v>
      </c>
      <c r="N49" s="1116">
        <f t="shared" si="8"/>
        <v>75653</v>
      </c>
      <c r="O49" s="849">
        <f t="shared" si="2"/>
        <v>1.2302952705665591</v>
      </c>
      <c r="P49" s="707"/>
    </row>
    <row r="50" spans="1:17" ht="15.6">
      <c r="A50" s="87" t="s">
        <v>55</v>
      </c>
      <c r="B50" s="618"/>
      <c r="C50" s="1163"/>
      <c r="D50" s="662"/>
      <c r="E50" s="620"/>
      <c r="F50" s="104"/>
      <c r="G50" s="104"/>
      <c r="H50" s="104"/>
      <c r="I50" s="104"/>
      <c r="J50" s="104"/>
      <c r="K50" s="119"/>
      <c r="L50" s="119"/>
      <c r="M50" s="119"/>
      <c r="N50" s="118"/>
      <c r="O50" s="849"/>
      <c r="P50" s="707"/>
    </row>
    <row r="51" spans="1:17" ht="15">
      <c r="A51" s="680" t="s">
        <v>56</v>
      </c>
      <c r="B51" s="656">
        <f>152617+131920+130997+153389+149066+196349+174625+189556+159615+174414+174638+173536</f>
        <v>1960722</v>
      </c>
      <c r="C51" s="1173">
        <f>152617+131920+130997+153389</f>
        <v>568923</v>
      </c>
      <c r="D51" s="668">
        <f>209453+123222+177525+182527</f>
        <v>692727</v>
      </c>
      <c r="E51" s="957">
        <f>SUM(F51:J52)</f>
        <v>182527</v>
      </c>
      <c r="F51" s="104">
        <v>78851</v>
      </c>
      <c r="G51" s="104">
        <v>87310</v>
      </c>
      <c r="H51" s="104">
        <v>6175</v>
      </c>
      <c r="I51" s="104">
        <v>2742</v>
      </c>
      <c r="J51" s="104">
        <v>7449</v>
      </c>
      <c r="K51" s="1056">
        <f>2596+8909+761+186+428</f>
        <v>12880</v>
      </c>
      <c r="L51" s="1056">
        <f>5965+1+90+37</f>
        <v>6093</v>
      </c>
      <c r="M51" s="1056"/>
      <c r="N51" s="1022"/>
      <c r="O51" s="906">
        <f t="shared" si="2"/>
        <v>1.2176111705802015</v>
      </c>
      <c r="P51" s="745"/>
    </row>
    <row r="52" spans="1:17" ht="15">
      <c r="A52" s="682"/>
      <c r="B52" s="656"/>
      <c r="C52" s="1174"/>
      <c r="D52" s="668"/>
      <c r="E52" s="959"/>
      <c r="F52" s="104"/>
      <c r="G52" s="104"/>
      <c r="H52" s="104"/>
      <c r="I52" s="104"/>
      <c r="J52" s="104"/>
      <c r="K52" s="1056"/>
      <c r="L52" s="1056"/>
      <c r="M52" s="1056"/>
      <c r="N52" s="1022"/>
      <c r="O52" s="907"/>
      <c r="P52" s="746"/>
    </row>
    <row r="53" spans="1:17" ht="15.6">
      <c r="A53" s="87" t="s">
        <v>57</v>
      </c>
      <c r="B53" s="684">
        <f>97537+55586+99611+80866+84077+87464+89817+110297+103108+86858+89238+102094</f>
        <v>1086553</v>
      </c>
      <c r="C53" s="1175">
        <f>97537+55586+99611+80866</f>
        <v>333600</v>
      </c>
      <c r="D53" s="960">
        <f>104773+79448+108729+100750</f>
        <v>393700</v>
      </c>
      <c r="E53" s="620">
        <f t="shared" ref="E53:E55" si="9">SUM(F53:J53)</f>
        <v>100750</v>
      </c>
      <c r="F53" s="961">
        <v>50320</v>
      </c>
      <c r="G53" s="22">
        <v>44157</v>
      </c>
      <c r="H53" s="962"/>
      <c r="I53" s="664"/>
      <c r="J53" s="22">
        <v>6273</v>
      </c>
      <c r="K53" s="92">
        <f>1121+3597+910</f>
        <v>5628</v>
      </c>
      <c r="L53" s="92">
        <f>3373+30+641</f>
        <v>4044</v>
      </c>
      <c r="M53" s="119"/>
      <c r="N53" s="118"/>
      <c r="O53" s="903">
        <f t="shared" si="2"/>
        <v>1.1801558752997603</v>
      </c>
      <c r="P53" s="747"/>
    </row>
    <row r="54" spans="1:17" ht="15.6">
      <c r="A54" s="68" t="s">
        <v>58</v>
      </c>
      <c r="B54" s="669">
        <f>59734+65037+69566+76869+85180+98871+84349+95878+74900+91720+96454+90939</f>
        <v>989497</v>
      </c>
      <c r="C54" s="1166">
        <f>59734+65037+69566+76869</f>
        <v>271206</v>
      </c>
      <c r="D54" s="670">
        <f>90832+90726+97425+112194</f>
        <v>391177</v>
      </c>
      <c r="E54" s="620">
        <f t="shared" si="9"/>
        <v>112194</v>
      </c>
      <c r="F54" s="104">
        <v>43338</v>
      </c>
      <c r="G54" s="104">
        <v>50425</v>
      </c>
      <c r="H54" s="104"/>
      <c r="I54" s="1037"/>
      <c r="J54" s="104">
        <v>18431</v>
      </c>
      <c r="K54" s="1056">
        <v>11332</v>
      </c>
      <c r="L54" s="1056">
        <f>32102+23+3458</f>
        <v>35583</v>
      </c>
      <c r="M54" s="119"/>
      <c r="N54" s="118"/>
      <c r="O54" s="903">
        <f t="shared" si="2"/>
        <v>1.4423611572015369</v>
      </c>
      <c r="P54" s="707"/>
    </row>
    <row r="55" spans="1:17" ht="15.6">
      <c r="A55" s="68" t="s">
        <v>59</v>
      </c>
      <c r="B55" s="669">
        <f>47624+41548+39771+61527+61540+40461+59109+75205+60419+66567+64451+64941</f>
        <v>683163</v>
      </c>
      <c r="C55" s="1166">
        <f>47624+41548+39771+61527</f>
        <v>190470</v>
      </c>
      <c r="D55" s="670">
        <f>85962+38994+58375+82416</f>
        <v>265747</v>
      </c>
      <c r="E55" s="620">
        <f t="shared" si="9"/>
        <v>82416</v>
      </c>
      <c r="F55" s="104">
        <v>31714</v>
      </c>
      <c r="G55" s="104">
        <v>35857</v>
      </c>
      <c r="H55" s="104">
        <v>119</v>
      </c>
      <c r="I55" s="104">
        <v>277</v>
      </c>
      <c r="J55" s="104">
        <v>14449</v>
      </c>
      <c r="K55" s="1118">
        <f>1095+5670+109+59+2621</f>
        <v>9554</v>
      </c>
      <c r="L55" s="1118">
        <f>3185+1+150</f>
        <v>3336</v>
      </c>
      <c r="M55" s="1118">
        <v>2304</v>
      </c>
      <c r="N55" s="1020">
        <v>75653</v>
      </c>
      <c r="O55" s="903">
        <f t="shared" si="2"/>
        <v>1.3952170945555731</v>
      </c>
      <c r="P55" s="742"/>
    </row>
    <row r="56" spans="1:17" ht="15.6">
      <c r="A56" s="1106" t="s">
        <v>113</v>
      </c>
      <c r="B56" s="259"/>
      <c r="C56" s="259"/>
      <c r="D56" s="259"/>
      <c r="E56" s="259"/>
      <c r="F56" s="259"/>
      <c r="G56" s="259"/>
      <c r="H56" s="259"/>
      <c r="I56" s="259"/>
      <c r="J56" s="259"/>
      <c r="K56" s="259"/>
      <c r="L56" s="259"/>
      <c r="M56" s="259"/>
      <c r="N56" s="259"/>
      <c r="O56" s="259"/>
      <c r="P56" s="742"/>
      <c r="Q56" s="265"/>
    </row>
    <row r="57" spans="1:17" ht="15.6">
      <c r="A57" s="831" t="s">
        <v>61</v>
      </c>
      <c r="B57" s="832">
        <v>1755236</v>
      </c>
      <c r="C57" s="1176">
        <v>512622</v>
      </c>
      <c r="D57" s="1092">
        <v>565693</v>
      </c>
      <c r="E57" s="1177">
        <v>124079</v>
      </c>
      <c r="F57" s="835">
        <v>40290</v>
      </c>
      <c r="G57" s="835">
        <v>67544</v>
      </c>
      <c r="H57" s="968"/>
      <c r="I57" s="968"/>
      <c r="J57" s="952">
        <v>16245</v>
      </c>
      <c r="K57" s="1130"/>
      <c r="L57" s="1130"/>
      <c r="M57" s="1130"/>
      <c r="N57" s="1131"/>
      <c r="O57" s="1132">
        <f>+D57/C57</f>
        <v>1.103528525892373</v>
      </c>
      <c r="P57" s="742"/>
      <c r="Q57" s="265"/>
    </row>
    <row r="58" spans="1:17" ht="15.6">
      <c r="A58" s="140" t="s">
        <v>62</v>
      </c>
      <c r="B58" s="141">
        <f>SUM(B59:B66)</f>
        <v>55955</v>
      </c>
      <c r="C58" s="1178">
        <f>SUM(C59:C66)</f>
        <v>18394</v>
      </c>
      <c r="D58" s="1095">
        <f>SUM(D59:D66)</f>
        <v>15974</v>
      </c>
      <c r="E58" s="1096">
        <f t="shared" ref="E58" si="10">SUM(E59:E66)</f>
        <v>5180</v>
      </c>
      <c r="F58" s="1097"/>
      <c r="G58" s="1097"/>
      <c r="H58" s="1096">
        <f t="shared" ref="H58:N58" si="11">SUM(H59:H66)</f>
        <v>2608</v>
      </c>
      <c r="I58" s="1096">
        <f t="shared" si="11"/>
        <v>2572</v>
      </c>
      <c r="J58" s="1097"/>
      <c r="K58" s="1133">
        <f t="shared" si="11"/>
        <v>3479</v>
      </c>
      <c r="L58" s="1133">
        <f t="shared" si="11"/>
        <v>2596</v>
      </c>
      <c r="M58" s="1133">
        <f t="shared" si="11"/>
        <v>0</v>
      </c>
      <c r="N58" s="1134">
        <f t="shared" si="11"/>
        <v>4373</v>
      </c>
      <c r="O58" s="849">
        <f t="shared" si="2"/>
        <v>0.86843535935631189</v>
      </c>
      <c r="P58" s="707"/>
      <c r="Q58" s="265"/>
    </row>
    <row r="59" spans="1:17" ht="15.6">
      <c r="A59" s="68" t="s">
        <v>122</v>
      </c>
      <c r="B59" s="669">
        <f>335+74+675+1816+624+522+232+273+655+1600+1480+1538</f>
        <v>9824</v>
      </c>
      <c r="C59" s="1166">
        <f>335+74+675+1816</f>
        <v>2900</v>
      </c>
      <c r="D59" s="762">
        <f>1496+768+675</f>
        <v>2939</v>
      </c>
      <c r="E59" s="620">
        <f t="shared" ref="E59:E66" si="12">SUM(F59:J59)</f>
        <v>675</v>
      </c>
      <c r="F59" s="971"/>
      <c r="G59" s="104"/>
      <c r="H59" s="972">
        <v>331</v>
      </c>
      <c r="I59" s="104">
        <v>344</v>
      </c>
      <c r="J59" s="104"/>
      <c r="K59" s="119">
        <v>7</v>
      </c>
      <c r="L59" s="119">
        <f>1+290</f>
        <v>291</v>
      </c>
      <c r="M59" s="119"/>
      <c r="N59" s="118"/>
      <c r="O59" s="903">
        <f t="shared" si="2"/>
        <v>1.0134482758620689</v>
      </c>
      <c r="P59" s="707"/>
    </row>
    <row r="60" spans="1:17" ht="15.6">
      <c r="A60" s="68" t="s">
        <v>64</v>
      </c>
      <c r="B60" s="618"/>
      <c r="C60" s="1163"/>
      <c r="D60" s="973"/>
      <c r="E60" s="620"/>
      <c r="F60" s="974"/>
      <c r="G60" s="620"/>
      <c r="H60" s="104"/>
      <c r="I60" s="104"/>
      <c r="J60" s="104"/>
      <c r="K60" s="119"/>
      <c r="L60" s="119"/>
      <c r="M60" s="119"/>
      <c r="N60" s="118"/>
      <c r="O60" s="903"/>
      <c r="P60" s="707"/>
    </row>
    <row r="61" spans="1:17" ht="15.6">
      <c r="A61" s="68" t="s">
        <v>65</v>
      </c>
      <c r="B61" s="669">
        <f>1670+1062+1129+1350+1391+1439+1192+1252+1332+1078+1196+1258</f>
        <v>15349</v>
      </c>
      <c r="C61" s="1166">
        <f>1670+1062+1129+1350</f>
        <v>5211</v>
      </c>
      <c r="D61" s="762">
        <f>1143+584+1068</f>
        <v>2795</v>
      </c>
      <c r="E61" s="620">
        <f t="shared" si="12"/>
        <v>1068</v>
      </c>
      <c r="F61" s="972"/>
      <c r="G61" s="620"/>
      <c r="H61" s="104">
        <v>546</v>
      </c>
      <c r="I61" s="104">
        <v>522</v>
      </c>
      <c r="J61" s="104"/>
      <c r="K61" s="119">
        <f>229+270</f>
        <v>499</v>
      </c>
      <c r="L61" s="119">
        <f>275+212</f>
        <v>487</v>
      </c>
      <c r="M61" s="119"/>
      <c r="N61" s="118">
        <v>1068</v>
      </c>
      <c r="O61" s="903">
        <f t="shared" si="2"/>
        <v>0.53636538092496644</v>
      </c>
      <c r="P61" s="707"/>
    </row>
    <row r="62" spans="1:17" ht="15.6">
      <c r="A62" s="68" t="s">
        <v>66</v>
      </c>
      <c r="B62" s="618">
        <f>1089+517+1381+2546+1336+1503+1713+1785+1646+1436+909+1418</f>
        <v>17279</v>
      </c>
      <c r="C62" s="1163">
        <f>1089+517+1381+2546</f>
        <v>5533</v>
      </c>
      <c r="D62" s="973">
        <f>1838+1698+2039</f>
        <v>5575</v>
      </c>
      <c r="E62" s="620">
        <f t="shared" si="12"/>
        <v>2039</v>
      </c>
      <c r="F62" s="974"/>
      <c r="G62" s="620"/>
      <c r="H62" s="104">
        <v>1041</v>
      </c>
      <c r="I62" s="104">
        <v>998</v>
      </c>
      <c r="J62" s="104"/>
      <c r="K62" s="1056">
        <v>1907</v>
      </c>
      <c r="L62" s="1056">
        <f>1034+5</f>
        <v>1039</v>
      </c>
      <c r="M62" s="119"/>
      <c r="N62" s="118">
        <v>1907</v>
      </c>
      <c r="O62" s="903">
        <f t="shared" si="2"/>
        <v>1.0075908187240195</v>
      </c>
      <c r="P62" s="707"/>
    </row>
    <row r="63" spans="1:17" ht="15.6">
      <c r="A63" s="758" t="s">
        <v>67</v>
      </c>
      <c r="B63" s="656"/>
      <c r="C63" s="734"/>
      <c r="D63" s="943"/>
      <c r="E63" s="620"/>
      <c r="F63" s="1045"/>
      <c r="G63" s="620"/>
      <c r="H63" s="104"/>
      <c r="I63" s="104"/>
      <c r="J63" s="104"/>
      <c r="K63" s="119"/>
      <c r="L63" s="119"/>
      <c r="M63" s="119"/>
      <c r="N63" s="118"/>
      <c r="O63" s="903"/>
      <c r="P63" s="707"/>
    </row>
    <row r="64" spans="1:17" ht="15.6">
      <c r="A64" s="68" t="s">
        <v>68</v>
      </c>
      <c r="B64" s="618">
        <f>949+632+800+680+378+254+120+150+155+159+135+133</f>
        <v>4545</v>
      </c>
      <c r="C64" s="1163">
        <f>949+632+800+680</f>
        <v>3061</v>
      </c>
      <c r="D64" s="1046">
        <f>492+846+747</f>
        <v>2085</v>
      </c>
      <c r="E64" s="620">
        <f t="shared" si="12"/>
        <v>747</v>
      </c>
      <c r="F64" s="974"/>
      <c r="G64" s="620"/>
      <c r="H64" s="104">
        <v>347</v>
      </c>
      <c r="I64" s="104">
        <v>400</v>
      </c>
      <c r="J64" s="104"/>
      <c r="K64" s="1056">
        <v>747</v>
      </c>
      <c r="L64" s="1056">
        <f>347</f>
        <v>347</v>
      </c>
      <c r="M64" s="119"/>
      <c r="N64" s="118">
        <v>747</v>
      </c>
      <c r="O64" s="903">
        <f t="shared" si="2"/>
        <v>0.68114995099640641</v>
      </c>
      <c r="P64" s="707"/>
    </row>
    <row r="65" spans="1:17" ht="15.6">
      <c r="A65" s="614" t="s">
        <v>69</v>
      </c>
      <c r="B65" s="669"/>
      <c r="C65" s="1184"/>
      <c r="D65" s="762"/>
      <c r="E65" s="620"/>
      <c r="F65" s="972"/>
      <c r="G65" s="1047"/>
      <c r="H65" s="664"/>
      <c r="I65" s="664"/>
      <c r="J65" s="664"/>
      <c r="K65" s="259"/>
      <c r="L65" s="259"/>
      <c r="M65" s="259"/>
      <c r="N65" s="1009"/>
      <c r="O65" s="903"/>
      <c r="P65" s="707"/>
    </row>
    <row r="66" spans="1:17" ht="15.6">
      <c r="A66" s="68" t="s">
        <v>70</v>
      </c>
      <c r="B66" s="669">
        <f>703+210+509+267+526+508+670+637+1462+1836+801+829</f>
        <v>8958</v>
      </c>
      <c r="C66" s="1166">
        <f>703+210+509+267</f>
        <v>1689</v>
      </c>
      <c r="D66" s="762">
        <f>1225+704+651</f>
        <v>2580</v>
      </c>
      <c r="E66" s="620">
        <f t="shared" si="12"/>
        <v>651</v>
      </c>
      <c r="F66" s="104"/>
      <c r="G66" s="104"/>
      <c r="H66" s="104">
        <v>343</v>
      </c>
      <c r="I66" s="104">
        <v>308</v>
      </c>
      <c r="J66" s="104"/>
      <c r="K66" s="1056">
        <v>319</v>
      </c>
      <c r="L66" s="1056">
        <f>130+302</f>
        <v>432</v>
      </c>
      <c r="M66" s="1056"/>
      <c r="N66" s="1022">
        <v>651</v>
      </c>
      <c r="O66" s="903">
        <f t="shared" si="2"/>
        <v>1.5275310834813498</v>
      </c>
      <c r="P66" s="707"/>
      <c r="Q66" s="754"/>
    </row>
    <row r="67" spans="1:17" ht="15.6">
      <c r="A67" s="231"/>
      <c r="B67" s="763"/>
      <c r="C67" s="764"/>
      <c r="D67" s="1048"/>
      <c r="E67" s="1049"/>
      <c r="F67" s="1050"/>
      <c r="G67" s="1051"/>
      <c r="H67" s="1050"/>
      <c r="I67" s="1050"/>
      <c r="J67" s="1050"/>
      <c r="K67" s="1050"/>
      <c r="L67" s="1050"/>
      <c r="M67" s="1050"/>
      <c r="N67" s="1061"/>
      <c r="O67" s="909"/>
      <c r="P67" s="707"/>
    </row>
    <row r="68" spans="1:17" ht="15">
      <c r="A68" s="235" t="s">
        <v>71</v>
      </c>
      <c r="B68" s="236">
        <f>B6+B29+B35+B49+B58</f>
        <v>21049806</v>
      </c>
      <c r="C68" s="236">
        <f>C6+C29+C35+C49+C58</f>
        <v>6492261</v>
      </c>
      <c r="D68" s="236">
        <f>D6+D29+D35+D49+D58</f>
        <v>7145618</v>
      </c>
      <c r="E68" s="236">
        <f>E6+E29+E35+E49+E58</f>
        <v>1891960</v>
      </c>
      <c r="F68" s="236">
        <f>F6+F29+F35+F49+F58</f>
        <v>763863</v>
      </c>
      <c r="G68" s="1136">
        <f t="shared" ref="G68:N68" si="13">G6+G29+F35+G49+G58</f>
        <v>800384</v>
      </c>
      <c r="H68" s="1136">
        <f t="shared" si="13"/>
        <v>281042</v>
      </c>
      <c r="I68" s="1136">
        <f t="shared" si="13"/>
        <v>110284</v>
      </c>
      <c r="J68" s="1136">
        <f t="shared" si="13"/>
        <v>216783</v>
      </c>
      <c r="K68" s="1141">
        <f t="shared" si="13"/>
        <v>114782</v>
      </c>
      <c r="L68" s="1141">
        <f t="shared" si="13"/>
        <v>125920</v>
      </c>
      <c r="M68" s="1141">
        <f t="shared" si="13"/>
        <v>37195</v>
      </c>
      <c r="N68" s="1142">
        <f t="shared" si="13"/>
        <v>82707</v>
      </c>
      <c r="O68" s="1143">
        <f t="shared" si="2"/>
        <v>1.100636280642445</v>
      </c>
      <c r="P68" s="783"/>
    </row>
    <row r="69" spans="1:17">
      <c r="A69" s="1185" t="s">
        <v>72</v>
      </c>
      <c r="B69" s="1186">
        <f>+B68+B27+B47+B57</f>
        <v>25806277</v>
      </c>
      <c r="C69" s="1186">
        <f>+C68+C27+C47+C57</f>
        <v>7904805</v>
      </c>
      <c r="D69" s="1186">
        <f>+D68+D27+D47+D57</f>
        <v>8792757</v>
      </c>
      <c r="E69" s="1186">
        <f>+E68+E27+E47+E57</f>
        <v>2324473</v>
      </c>
      <c r="F69" s="1054"/>
      <c r="G69" s="1054"/>
      <c r="H69" s="151"/>
      <c r="I69" s="151"/>
      <c r="J69" s="151"/>
      <c r="K69" s="151"/>
      <c r="L69" s="1054"/>
      <c r="N69" s="1054"/>
      <c r="O69" s="911"/>
    </row>
    <row r="70" spans="1:17">
      <c r="A70" s="2"/>
      <c r="B70" s="241"/>
      <c r="C70" s="241"/>
      <c r="D70" s="241"/>
      <c r="E70" s="241"/>
      <c r="F70" s="152"/>
      <c r="G70" s="152"/>
      <c r="H70" s="2"/>
      <c r="I70" s="2"/>
      <c r="J70" s="2"/>
      <c r="K70" s="2"/>
      <c r="L70" s="152"/>
      <c r="M70" s="152" t="s">
        <v>129</v>
      </c>
      <c r="N70" s="152"/>
      <c r="O70" s="2"/>
    </row>
    <row r="71" spans="1:17">
      <c r="B71" s="2"/>
      <c r="C71" s="2"/>
      <c r="D71" s="152"/>
      <c r="E71" s="2"/>
      <c r="F71" s="152"/>
      <c r="G71" s="2"/>
      <c r="H71" s="2"/>
      <c r="I71" s="2"/>
      <c r="J71" s="2"/>
      <c r="K71" s="2"/>
      <c r="L71" s="152"/>
      <c r="M71" s="152"/>
      <c r="N71" s="152"/>
      <c r="O71" s="2"/>
    </row>
    <row r="72" spans="1:17">
      <c r="B72" s="2"/>
      <c r="C72" s="2"/>
      <c r="D72" s="786" t="s">
        <v>74</v>
      </c>
      <c r="E72" s="786" t="s">
        <v>75</v>
      </c>
      <c r="F72" s="786" t="s">
        <v>76</v>
      </c>
      <c r="G72" s="786" t="s">
        <v>77</v>
      </c>
      <c r="H72" s="786" t="s">
        <v>78</v>
      </c>
      <c r="I72" s="786" t="s">
        <v>79</v>
      </c>
      <c r="J72" s="786" t="s">
        <v>80</v>
      </c>
      <c r="K72" s="786" t="s">
        <v>81</v>
      </c>
      <c r="L72" s="786" t="s">
        <v>82</v>
      </c>
      <c r="M72" s="786" t="s">
        <v>83</v>
      </c>
      <c r="N72" s="786" t="s">
        <v>84</v>
      </c>
      <c r="O72" s="786" t="s">
        <v>85</v>
      </c>
      <c r="P72" s="1187" t="s">
        <v>86</v>
      </c>
    </row>
    <row r="73" spans="1:17">
      <c r="B73" s="246" t="s">
        <v>87</v>
      </c>
      <c r="C73" s="246"/>
      <c r="D73" s="1056">
        <v>1737613</v>
      </c>
      <c r="E73" s="1056">
        <v>1447754</v>
      </c>
      <c r="F73" s="1057">
        <f>E68</f>
        <v>1891960</v>
      </c>
      <c r="G73" s="1056">
        <v>1891960</v>
      </c>
      <c r="H73" s="1056"/>
      <c r="I73" s="3"/>
      <c r="J73" s="1056"/>
      <c r="K73" s="789"/>
      <c r="L73" s="1056"/>
      <c r="M73" s="789"/>
      <c r="N73" s="268"/>
      <c r="O73" s="789"/>
      <c r="P73" s="1188">
        <f>SUM(D73:O73)</f>
        <v>6969287</v>
      </c>
    </row>
    <row r="74" spans="1:17">
      <c r="A74" s="2"/>
      <c r="B74" s="249" t="s">
        <v>88</v>
      </c>
      <c r="C74" s="249"/>
      <c r="D74" s="1139"/>
      <c r="E74" s="271">
        <f t="shared" ref="E74:O74" si="14">IF(D73&gt;0,E73/D73,0)*100</f>
        <v>83.318552520037542</v>
      </c>
      <c r="F74" s="271">
        <f t="shared" si="14"/>
        <v>130.68242256626471</v>
      </c>
      <c r="G74" s="271">
        <f t="shared" si="14"/>
        <v>100</v>
      </c>
      <c r="H74" s="271">
        <f t="shared" si="14"/>
        <v>0</v>
      </c>
      <c r="I74" s="271">
        <f t="shared" si="14"/>
        <v>0</v>
      </c>
      <c r="J74" s="271">
        <f t="shared" si="14"/>
        <v>0</v>
      </c>
      <c r="K74" s="271">
        <f t="shared" si="14"/>
        <v>0</v>
      </c>
      <c r="L74" s="271">
        <f t="shared" si="14"/>
        <v>0</v>
      </c>
      <c r="M74" s="271">
        <f t="shared" si="14"/>
        <v>0</v>
      </c>
      <c r="N74" s="271">
        <f t="shared" si="14"/>
        <v>0</v>
      </c>
      <c r="O74" s="271">
        <f t="shared" si="14"/>
        <v>0</v>
      </c>
      <c r="P74" s="1189">
        <f>P73/B68</f>
        <v>0.33108556914966342</v>
      </c>
    </row>
    <row r="75" spans="1:17">
      <c r="A75" s="2"/>
      <c r="B75" s="251"/>
      <c r="C75" s="251"/>
      <c r="D75" s="251"/>
      <c r="E75" s="268"/>
      <c r="F75" s="251"/>
      <c r="G75" s="2" t="s">
        <v>115</v>
      </c>
      <c r="H75" s="2"/>
      <c r="I75" s="2"/>
      <c r="J75" s="2"/>
      <c r="K75" s="2"/>
      <c r="L75" s="2"/>
      <c r="M75" s="152"/>
      <c r="N75" s="152"/>
      <c r="O75" s="152"/>
      <c r="P75" s="2"/>
    </row>
    <row r="76" spans="1:17">
      <c r="A76" s="1442" t="s">
        <v>89</v>
      </c>
      <c r="B76" s="152"/>
      <c r="C76" s="152"/>
      <c r="D76" s="152"/>
      <c r="E76" s="152"/>
      <c r="F76" s="2"/>
      <c r="G76" s="2"/>
      <c r="H76" s="2"/>
      <c r="I76" s="2"/>
      <c r="J76" s="2"/>
      <c r="K76" s="2"/>
      <c r="L76" s="2"/>
      <c r="M76" s="152"/>
      <c r="N76" s="152"/>
      <c r="O76" s="152"/>
      <c r="P76" s="2"/>
      <c r="Q76" s="3"/>
    </row>
    <row r="77" spans="1:17">
      <c r="A77" s="2" t="s">
        <v>90</v>
      </c>
      <c r="B77" s="152"/>
      <c r="C77" s="152"/>
      <c r="D77" s="152"/>
      <c r="E77" s="152"/>
      <c r="F77" s="2"/>
      <c r="G77" s="2"/>
      <c r="H77" s="2"/>
      <c r="I77" s="2"/>
      <c r="J77" s="2"/>
      <c r="K77" s="2"/>
      <c r="L77" s="2"/>
      <c r="M77" s="152"/>
      <c r="N77" s="152"/>
      <c r="O77" s="152"/>
      <c r="P77" s="2"/>
      <c r="Q77" s="3"/>
    </row>
    <row r="78" spans="1:17">
      <c r="A78" s="1442" t="s">
        <v>91</v>
      </c>
      <c r="B78" s="152"/>
      <c r="C78" s="152"/>
      <c r="D78" s="152"/>
      <c r="E78" s="152"/>
      <c r="F78" s="2"/>
      <c r="G78" s="2"/>
      <c r="H78" s="2"/>
      <c r="I78" s="2"/>
      <c r="J78" s="2"/>
      <c r="K78" s="2"/>
      <c r="L78" s="2"/>
      <c r="M78" s="152"/>
      <c r="N78" s="152"/>
      <c r="O78" s="152"/>
      <c r="P78" s="2"/>
      <c r="Q78" s="3"/>
    </row>
    <row r="79" spans="1:17">
      <c r="A79" s="1443" t="s">
        <v>92</v>
      </c>
      <c r="B79" s="152"/>
      <c r="C79" s="152"/>
      <c r="D79" s="152"/>
      <c r="E79" s="152"/>
      <c r="F79" s="2"/>
      <c r="G79" s="2"/>
      <c r="H79" s="2"/>
      <c r="I79" s="2"/>
      <c r="J79" s="2"/>
      <c r="K79" s="2"/>
      <c r="L79" s="2"/>
      <c r="M79" s="152"/>
      <c r="N79" s="152"/>
      <c r="O79" s="152"/>
      <c r="P79" s="2"/>
      <c r="Q79" s="281"/>
    </row>
    <row r="80" spans="1:17">
      <c r="A80" s="2" t="s">
        <v>93</v>
      </c>
      <c r="B80" s="2"/>
      <c r="C80" s="2"/>
      <c r="D80" s="2"/>
      <c r="E80" s="2"/>
      <c r="F80" s="2"/>
      <c r="G80" s="2"/>
      <c r="H80" s="2"/>
      <c r="I80" s="2"/>
      <c r="K80" s="2"/>
      <c r="M80" s="152"/>
      <c r="N80" s="152"/>
      <c r="O80" s="152"/>
      <c r="P80" s="2"/>
    </row>
    <row r="81" spans="1:16">
      <c r="A81" s="2" t="s">
        <v>94</v>
      </c>
      <c r="B81" s="2"/>
      <c r="C81" s="2"/>
      <c r="D81" s="2"/>
      <c r="E81" s="2"/>
      <c r="F81" s="2"/>
      <c r="G81" s="2"/>
      <c r="H81" s="2"/>
      <c r="I81" s="2"/>
      <c r="K81" s="2"/>
      <c r="M81" s="152"/>
      <c r="N81" s="152"/>
      <c r="O81" s="273"/>
      <c r="P81" s="2"/>
    </row>
    <row r="82" spans="1:16">
      <c r="A82" s="2" t="s">
        <v>95</v>
      </c>
      <c r="B82" s="2"/>
      <c r="C82" s="2"/>
      <c r="D82" s="2"/>
      <c r="E82" s="2"/>
      <c r="F82" s="2"/>
      <c r="G82" s="2"/>
      <c r="H82" s="2"/>
      <c r="I82" s="2"/>
      <c r="K82" s="2"/>
      <c r="L82" s="2"/>
      <c r="M82" s="152"/>
      <c r="N82" s="152"/>
      <c r="O82" s="152"/>
      <c r="P82" s="2"/>
    </row>
    <row r="84" spans="1:16" ht="15.6">
      <c r="B84" s="875" t="s">
        <v>96</v>
      </c>
      <c r="C84" s="875"/>
      <c r="D84" s="875"/>
      <c r="E84" s="875"/>
      <c r="F84" s="875"/>
      <c r="G84" s="875"/>
      <c r="H84" s="875"/>
      <c r="I84" s="875"/>
      <c r="J84" s="875"/>
      <c r="K84" s="875"/>
      <c r="L84" s="875"/>
      <c r="M84" s="875"/>
      <c r="N84" s="875"/>
      <c r="O84" s="875"/>
    </row>
    <row r="85" spans="1:16">
      <c r="A85" s="775" t="s">
        <v>97</v>
      </c>
      <c r="B85" s="776" t="s">
        <v>74</v>
      </c>
      <c r="C85" s="776" t="s">
        <v>75</v>
      </c>
      <c r="D85" s="776" t="s">
        <v>76</v>
      </c>
      <c r="E85" s="776" t="s">
        <v>77</v>
      </c>
      <c r="F85" s="776" t="s">
        <v>78</v>
      </c>
      <c r="G85" s="776" t="s">
        <v>79</v>
      </c>
      <c r="H85" s="776" t="s">
        <v>80</v>
      </c>
      <c r="I85" s="776" t="s">
        <v>81</v>
      </c>
      <c r="J85" s="776" t="s">
        <v>82</v>
      </c>
      <c r="K85" s="776" t="s">
        <v>83</v>
      </c>
      <c r="L85" s="776" t="s">
        <v>84</v>
      </c>
      <c r="M85" s="776" t="s">
        <v>85</v>
      </c>
      <c r="N85" s="776" t="s">
        <v>86</v>
      </c>
      <c r="O85" s="775" t="s">
        <v>98</v>
      </c>
    </row>
    <row r="86" spans="1:16">
      <c r="A86" s="876" t="s">
        <v>99</v>
      </c>
      <c r="B86" s="877">
        <v>5672894</v>
      </c>
      <c r="C86" s="878">
        <v>4899761</v>
      </c>
      <c r="D86" s="878">
        <v>6728359</v>
      </c>
      <c r="E86" s="878">
        <v>7366984</v>
      </c>
      <c r="G86" s="277"/>
      <c r="H86" s="277"/>
      <c r="I86" s="277"/>
      <c r="J86" s="277"/>
      <c r="K86" s="277"/>
      <c r="L86" s="277"/>
      <c r="M86" s="277"/>
      <c r="N86" s="878">
        <f>SUM(B86:M86)</f>
        <v>24667998</v>
      </c>
      <c r="O86" s="886">
        <v>100</v>
      </c>
    </row>
    <row r="87" spans="1:16">
      <c r="A87" s="259" t="s">
        <v>100</v>
      </c>
      <c r="B87" s="260">
        <v>1809898</v>
      </c>
      <c r="C87" s="260">
        <v>1730564</v>
      </c>
      <c r="D87" s="260">
        <v>2112389</v>
      </c>
      <c r="E87" s="260">
        <v>2570971</v>
      </c>
      <c r="F87" s="259"/>
      <c r="G87" s="260"/>
      <c r="H87" s="260"/>
      <c r="I87" s="260"/>
      <c r="J87" s="260"/>
      <c r="K87" s="260"/>
      <c r="L87" s="260"/>
      <c r="M87" s="260"/>
      <c r="N87" s="778">
        <f t="shared" ref="N87:N102" si="15">SUM(B87:M87)</f>
        <v>8223822</v>
      </c>
      <c r="O87" s="888">
        <v>32.673524222337498</v>
      </c>
    </row>
    <row r="88" spans="1:16">
      <c r="A88" s="259" t="s">
        <v>101</v>
      </c>
      <c r="B88" s="260">
        <v>216643</v>
      </c>
      <c r="C88" s="260">
        <v>165584</v>
      </c>
      <c r="D88" s="260">
        <v>464816</v>
      </c>
      <c r="E88" s="260">
        <v>179363</v>
      </c>
      <c r="F88" s="259"/>
      <c r="G88" s="260"/>
      <c r="H88" s="260"/>
      <c r="I88" s="260"/>
      <c r="J88" s="260"/>
      <c r="K88" s="260"/>
      <c r="L88" s="260"/>
      <c r="M88" s="260"/>
      <c r="N88" s="778">
        <f t="shared" si="15"/>
        <v>1026406</v>
      </c>
      <c r="O88" s="888">
        <v>4.8959153492390701</v>
      </c>
    </row>
    <row r="89" spans="1:16">
      <c r="A89" s="259" t="s">
        <v>102</v>
      </c>
      <c r="B89" s="260">
        <v>1371301</v>
      </c>
      <c r="C89" s="260">
        <v>870579</v>
      </c>
      <c r="D89" s="260">
        <v>1114225</v>
      </c>
      <c r="E89" s="260">
        <v>1074841</v>
      </c>
      <c r="F89" s="259"/>
      <c r="G89" s="260"/>
      <c r="H89" s="260"/>
      <c r="I89" s="260"/>
      <c r="J89" s="260"/>
      <c r="K89" s="260"/>
      <c r="L89" s="260"/>
      <c r="M89" s="260"/>
      <c r="N89" s="778">
        <f t="shared" si="15"/>
        <v>4430946</v>
      </c>
      <c r="O89" s="888">
        <v>19.3983138791749</v>
      </c>
    </row>
    <row r="90" spans="1:16">
      <c r="A90" s="259" t="s">
        <v>103</v>
      </c>
      <c r="B90" s="260">
        <v>758783</v>
      </c>
      <c r="C90" s="260">
        <v>620788</v>
      </c>
      <c r="D90" s="260">
        <v>832464</v>
      </c>
      <c r="E90" s="260">
        <v>805760</v>
      </c>
      <c r="F90" s="259"/>
      <c r="G90" s="260"/>
      <c r="H90" s="260"/>
      <c r="I90" s="260"/>
      <c r="J90" s="260"/>
      <c r="K90" s="260"/>
      <c r="L90" s="260"/>
      <c r="M90" s="260"/>
      <c r="N90" s="778">
        <f t="shared" si="15"/>
        <v>3017795</v>
      </c>
      <c r="O90" s="888">
        <v>12.785580082184801</v>
      </c>
    </row>
    <row r="91" spans="1:16">
      <c r="A91" s="259" t="s">
        <v>104</v>
      </c>
      <c r="B91" s="260">
        <v>663451</v>
      </c>
      <c r="C91" s="260">
        <v>687147</v>
      </c>
      <c r="D91" s="260">
        <v>1074747</v>
      </c>
      <c r="E91" s="260">
        <v>1431356</v>
      </c>
      <c r="F91" s="259"/>
      <c r="G91" s="260"/>
      <c r="H91" s="260"/>
      <c r="I91" s="260"/>
      <c r="J91" s="260"/>
      <c r="K91" s="260"/>
      <c r="L91" s="260"/>
      <c r="M91" s="260"/>
      <c r="N91" s="778">
        <f t="shared" si="15"/>
        <v>3856701</v>
      </c>
      <c r="O91" s="888">
        <v>14.018513596948701</v>
      </c>
    </row>
    <row r="92" spans="1:16">
      <c r="A92" s="259" t="s">
        <v>105</v>
      </c>
      <c r="B92" s="260">
        <v>94829</v>
      </c>
      <c r="C92" s="260">
        <v>74713</v>
      </c>
      <c r="D92" s="260">
        <v>126500</v>
      </c>
      <c r="E92" s="260">
        <v>117804</v>
      </c>
      <c r="F92" s="259"/>
      <c r="G92" s="260"/>
      <c r="H92" s="260"/>
      <c r="I92" s="260"/>
      <c r="J92" s="260"/>
      <c r="K92" s="260"/>
      <c r="L92" s="260"/>
      <c r="M92" s="260"/>
      <c r="N92" s="778">
        <f t="shared" si="15"/>
        <v>413846</v>
      </c>
      <c r="O92" s="888">
        <v>1.71112513983284</v>
      </c>
    </row>
    <row r="93" spans="1:16">
      <c r="A93" s="259" t="s">
        <v>58</v>
      </c>
      <c r="B93" s="260">
        <v>644996</v>
      </c>
      <c r="C93" s="260">
        <v>549797</v>
      </c>
      <c r="D93" s="260">
        <v>901148</v>
      </c>
      <c r="E93" s="260">
        <v>1109569</v>
      </c>
      <c r="F93" s="259"/>
      <c r="G93" s="260"/>
      <c r="H93" s="260"/>
      <c r="I93" s="260"/>
      <c r="J93" s="260"/>
      <c r="K93" s="260"/>
      <c r="L93" s="260"/>
      <c r="M93" s="260"/>
      <c r="N93" s="778">
        <f t="shared" si="15"/>
        <v>3205510</v>
      </c>
      <c r="O93" s="888">
        <v>12.1145558289242</v>
      </c>
    </row>
    <row r="94" spans="1:16">
      <c r="A94" s="879" t="s">
        <v>106</v>
      </c>
      <c r="B94" s="878">
        <v>6857452</v>
      </c>
      <c r="C94" s="878">
        <v>5513308</v>
      </c>
      <c r="D94" s="878">
        <v>8179988</v>
      </c>
      <c r="E94" s="878">
        <v>8794398</v>
      </c>
      <c r="F94" s="878"/>
      <c r="G94" s="878"/>
      <c r="H94" s="878"/>
      <c r="I94" s="878"/>
      <c r="J94" s="878"/>
      <c r="K94" s="878"/>
      <c r="L94" s="878"/>
      <c r="M94" s="878"/>
      <c r="N94" s="878">
        <f t="shared" si="15"/>
        <v>29345146</v>
      </c>
      <c r="O94" s="890">
        <f>N94/$N$94</f>
        <v>1</v>
      </c>
    </row>
    <row r="95" spans="1:16">
      <c r="A95" s="259" t="s">
        <v>100</v>
      </c>
      <c r="B95" s="260">
        <v>2135077</v>
      </c>
      <c r="C95" s="260">
        <v>1954967</v>
      </c>
      <c r="D95" s="260">
        <v>2573893</v>
      </c>
      <c r="E95" s="260">
        <v>3073887</v>
      </c>
      <c r="F95" s="260"/>
      <c r="G95" s="260"/>
      <c r="H95" s="260"/>
      <c r="I95" s="260"/>
      <c r="J95" s="260"/>
      <c r="K95" s="260"/>
      <c r="L95" s="260"/>
      <c r="M95" s="260"/>
      <c r="N95" s="778">
        <f t="shared" si="15"/>
        <v>9737824</v>
      </c>
      <c r="O95" s="583">
        <f t="shared" ref="O95:O101" si="16">N95/$N$94</f>
        <v>0.33183764020121082</v>
      </c>
    </row>
    <row r="96" spans="1:16">
      <c r="A96" s="259" t="s">
        <v>101</v>
      </c>
      <c r="B96" s="260">
        <v>263002</v>
      </c>
      <c r="C96" s="260">
        <v>221352</v>
      </c>
      <c r="D96" s="260">
        <v>387773</v>
      </c>
      <c r="E96" s="260">
        <v>258017</v>
      </c>
      <c r="F96" s="260"/>
      <c r="G96" s="260"/>
      <c r="H96" s="260"/>
      <c r="I96" s="260"/>
      <c r="J96" s="260"/>
      <c r="K96" s="260"/>
      <c r="L96" s="260"/>
      <c r="M96" s="260"/>
      <c r="N96" s="778">
        <f t="shared" si="15"/>
        <v>1130144</v>
      </c>
      <c r="O96" s="583">
        <f t="shared" si="16"/>
        <v>3.8512127354895426E-2</v>
      </c>
    </row>
    <row r="97" spans="1:15">
      <c r="A97" s="259" t="s">
        <v>102</v>
      </c>
      <c r="B97" s="260">
        <v>1600519</v>
      </c>
      <c r="C97" s="260">
        <v>975825</v>
      </c>
      <c r="D97" s="260">
        <v>1500811</v>
      </c>
      <c r="E97" s="260">
        <v>1431201</v>
      </c>
      <c r="F97" s="260"/>
      <c r="G97" s="260"/>
      <c r="H97" s="260"/>
      <c r="I97" s="260"/>
      <c r="J97" s="260"/>
      <c r="K97" s="260"/>
      <c r="L97" s="260"/>
      <c r="M97" s="260"/>
      <c r="N97" s="778">
        <f t="shared" si="15"/>
        <v>5508356</v>
      </c>
      <c r="O97" s="583">
        <f t="shared" si="16"/>
        <v>0.18770927225920089</v>
      </c>
    </row>
    <row r="98" spans="1:15">
      <c r="A98" s="259" t="s">
        <v>103</v>
      </c>
      <c r="B98" s="260">
        <v>906127</v>
      </c>
      <c r="C98" s="260">
        <v>684506</v>
      </c>
      <c r="D98" s="260">
        <v>1019356</v>
      </c>
      <c r="E98" s="260">
        <v>936276</v>
      </c>
      <c r="F98" s="260"/>
      <c r="G98" s="260"/>
      <c r="H98" s="260"/>
      <c r="I98" s="260"/>
      <c r="J98" s="260"/>
      <c r="K98" s="260"/>
      <c r="L98" s="260"/>
      <c r="M98" s="260"/>
      <c r="N98" s="778">
        <f t="shared" si="15"/>
        <v>3546265</v>
      </c>
      <c r="O98" s="583">
        <f t="shared" si="16"/>
        <v>0.1208467321989129</v>
      </c>
    </row>
    <row r="99" spans="1:15">
      <c r="A99" s="259" t="s">
        <v>104</v>
      </c>
      <c r="B99" s="260">
        <v>910303</v>
      </c>
      <c r="C99" s="260">
        <v>843503</v>
      </c>
      <c r="D99" s="260">
        <v>1350561</v>
      </c>
      <c r="E99" s="260">
        <v>1603712</v>
      </c>
      <c r="F99" s="260"/>
      <c r="G99" s="260"/>
      <c r="H99" s="260"/>
      <c r="I99" s="260"/>
      <c r="J99" s="260"/>
      <c r="K99" s="260"/>
      <c r="L99" s="260"/>
      <c r="M99" s="260"/>
      <c r="N99" s="778">
        <f t="shared" si="15"/>
        <v>4708079</v>
      </c>
      <c r="O99" s="583">
        <f t="shared" si="16"/>
        <v>0.16043808403611282</v>
      </c>
    </row>
    <row r="100" spans="1:15">
      <c r="A100" s="259" t="s">
        <v>105</v>
      </c>
      <c r="B100" s="260">
        <v>73110</v>
      </c>
      <c r="C100" s="260">
        <v>87700</v>
      </c>
      <c r="D100" s="260">
        <v>119850</v>
      </c>
      <c r="E100" s="260">
        <v>120063</v>
      </c>
      <c r="F100" s="260"/>
      <c r="G100" s="260"/>
      <c r="H100" s="260"/>
      <c r="I100" s="260"/>
      <c r="J100" s="260"/>
      <c r="K100" s="260"/>
      <c r="L100" s="260"/>
      <c r="M100" s="260"/>
      <c r="N100" s="778">
        <f t="shared" si="15"/>
        <v>400723</v>
      </c>
      <c r="O100" s="583">
        <f t="shared" si="16"/>
        <v>1.3655512226792125E-2</v>
      </c>
    </row>
    <row r="101" spans="1:15">
      <c r="A101" s="259" t="s">
        <v>58</v>
      </c>
      <c r="B101" s="260">
        <v>917981</v>
      </c>
      <c r="C101" s="260">
        <v>744638</v>
      </c>
      <c r="D101" s="260">
        <v>1226864</v>
      </c>
      <c r="E101" s="260">
        <v>1342688</v>
      </c>
      <c r="F101" s="260"/>
      <c r="G101" s="260"/>
      <c r="H101" s="260"/>
      <c r="I101" s="260"/>
      <c r="J101" s="260"/>
      <c r="K101" s="260"/>
      <c r="L101" s="260"/>
      <c r="M101" s="260"/>
      <c r="N101" s="778">
        <f t="shared" si="15"/>
        <v>4232171</v>
      </c>
      <c r="O101" s="583">
        <f t="shared" si="16"/>
        <v>0.14422047857591166</v>
      </c>
    </row>
    <row r="102" spans="1:15">
      <c r="A102" s="880" t="s">
        <v>107</v>
      </c>
      <c r="B102" s="881">
        <f>B86+B94</f>
        <v>12530346</v>
      </c>
      <c r="C102" s="881">
        <f>C86+C94</f>
        <v>10413069</v>
      </c>
      <c r="D102" s="881">
        <f>D86+D94</f>
        <v>14908347</v>
      </c>
      <c r="E102" s="881">
        <f>E86+E94</f>
        <v>16161382</v>
      </c>
      <c r="F102" s="880">
        <v>0</v>
      </c>
      <c r="G102" s="880">
        <v>0</v>
      </c>
      <c r="H102" s="880">
        <v>0</v>
      </c>
      <c r="I102" s="880">
        <v>0</v>
      </c>
      <c r="J102" s="880">
        <v>0</v>
      </c>
      <c r="K102" s="880">
        <v>0</v>
      </c>
      <c r="L102" s="880">
        <v>0</v>
      </c>
      <c r="M102" s="880">
        <v>0</v>
      </c>
      <c r="N102" s="892">
        <f t="shared" si="15"/>
        <v>54013144</v>
      </c>
      <c r="O102" s="2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4"/>
  <sheetViews>
    <sheetView workbookViewId="0">
      <selection activeCell="F13" sqref="F13"/>
    </sheetView>
  </sheetViews>
  <sheetFormatPr defaultColWidth="9" defaultRowHeight="14.4"/>
  <sheetData>
    <row r="1" spans="1:17" ht="15.6">
      <c r="A1" s="1" t="s">
        <v>130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51"/>
      <c r="Q1" s="221"/>
    </row>
    <row r="2" spans="1:1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52"/>
      <c r="N2" s="152"/>
      <c r="O2" s="152"/>
      <c r="P2" s="2"/>
    </row>
    <row r="3" spans="1:17" ht="41.4">
      <c r="A3" s="797" t="s">
        <v>1</v>
      </c>
      <c r="B3" s="798" t="s">
        <v>2</v>
      </c>
      <c r="C3" s="912" t="s">
        <v>131</v>
      </c>
      <c r="D3" s="913" t="s">
        <v>132</v>
      </c>
      <c r="E3" s="914" t="s">
        <v>133</v>
      </c>
      <c r="F3" s="915"/>
      <c r="G3" s="915"/>
      <c r="H3" s="915"/>
      <c r="I3" s="915"/>
      <c r="J3" s="915"/>
      <c r="K3" s="915"/>
      <c r="L3" s="915"/>
      <c r="M3" s="915"/>
      <c r="N3" s="975"/>
      <c r="O3" s="153" t="s">
        <v>134</v>
      </c>
      <c r="P3" s="707"/>
    </row>
    <row r="4" spans="1:17" ht="27.6">
      <c r="A4" s="802"/>
      <c r="B4" s="803"/>
      <c r="C4" s="916"/>
      <c r="D4" s="917"/>
      <c r="E4" s="918" t="s">
        <v>7</v>
      </c>
      <c r="F4" s="919" t="s">
        <v>8</v>
      </c>
      <c r="G4" s="919" t="s">
        <v>9</v>
      </c>
      <c r="H4" s="919" t="s">
        <v>10</v>
      </c>
      <c r="I4" s="919" t="s">
        <v>11</v>
      </c>
      <c r="J4" s="976" t="s">
        <v>12</v>
      </c>
      <c r="K4" s="977" t="s">
        <v>13</v>
      </c>
      <c r="L4" s="977" t="s">
        <v>14</v>
      </c>
      <c r="M4" s="978" t="s">
        <v>15</v>
      </c>
      <c r="N4" s="979" t="s">
        <v>16</v>
      </c>
      <c r="O4" s="159"/>
      <c r="P4" s="707"/>
    </row>
    <row r="5" spans="1:17" ht="15.6">
      <c r="A5" s="599"/>
      <c r="B5" s="600"/>
      <c r="C5" s="600"/>
      <c r="D5" s="920"/>
      <c r="E5" s="921"/>
      <c r="F5" s="922"/>
      <c r="G5" s="922"/>
      <c r="H5" s="922"/>
      <c r="I5" s="922"/>
      <c r="J5" s="980"/>
      <c r="K5" s="922"/>
      <c r="L5" s="1098"/>
      <c r="M5" s="1099"/>
      <c r="N5" s="1100"/>
      <c r="O5" s="715"/>
      <c r="P5" s="707"/>
    </row>
    <row r="6" spans="1:17" ht="15">
      <c r="A6" s="13" t="s">
        <v>17</v>
      </c>
      <c r="B6" s="14">
        <f>SUM(B8:B17)</f>
        <v>4976683</v>
      </c>
      <c r="C6" s="924">
        <v>2112505</v>
      </c>
      <c r="D6" s="1063">
        <f>SUM(D9:D17)</f>
        <v>1977285</v>
      </c>
      <c r="E6" s="1064">
        <f t="shared" ref="E6:N6" si="0">SUM(E8:E17)</f>
        <v>410401</v>
      </c>
      <c r="F6" s="1065">
        <f t="shared" si="0"/>
        <v>184644</v>
      </c>
      <c r="G6" s="1065">
        <f t="shared" si="0"/>
        <v>161853</v>
      </c>
      <c r="H6" s="1065">
        <f t="shared" si="0"/>
        <v>22622</v>
      </c>
      <c r="I6" s="1065">
        <f t="shared" si="0"/>
        <v>19938</v>
      </c>
      <c r="J6" s="1065">
        <f t="shared" si="0"/>
        <v>0</v>
      </c>
      <c r="K6" s="1101">
        <f t="shared" si="0"/>
        <v>53251</v>
      </c>
      <c r="L6" s="1101">
        <f t="shared" si="0"/>
        <v>51170</v>
      </c>
      <c r="M6" s="1101">
        <f t="shared" si="0"/>
        <v>2676</v>
      </c>
      <c r="N6" s="1102">
        <f t="shared" si="0"/>
        <v>2402</v>
      </c>
      <c r="O6" s="849">
        <f>+D6/C6</f>
        <v>0.93599068404571828</v>
      </c>
      <c r="P6" s="717"/>
    </row>
    <row r="7" spans="1:17" ht="15">
      <c r="A7" s="609" t="s">
        <v>18</v>
      </c>
      <c r="B7" s="618"/>
      <c r="C7" s="618"/>
      <c r="D7" s="662"/>
      <c r="E7" s="620">
        <f>SUM(F7:J7)</f>
        <v>0</v>
      </c>
      <c r="F7" s="664"/>
      <c r="G7" s="664"/>
      <c r="H7" s="664"/>
      <c r="I7" s="664"/>
      <c r="J7" s="664"/>
      <c r="K7" s="259"/>
      <c r="L7" s="259"/>
      <c r="M7" s="259"/>
      <c r="N7" s="1009"/>
      <c r="O7" s="903"/>
      <c r="P7" s="717"/>
    </row>
    <row r="8" spans="1:17">
      <c r="A8" s="609" t="s">
        <v>19</v>
      </c>
      <c r="B8" s="618"/>
      <c r="C8" s="618"/>
      <c r="D8" s="662"/>
      <c r="E8" s="620">
        <f>SUM(F8:J8)</f>
        <v>0</v>
      </c>
      <c r="F8" s="104"/>
      <c r="G8" s="104"/>
      <c r="H8" s="104"/>
      <c r="I8" s="104"/>
      <c r="J8" s="104"/>
      <c r="K8" s="1056"/>
      <c r="L8" s="1056"/>
      <c r="M8" s="1056"/>
      <c r="N8" s="1022"/>
      <c r="O8" s="903"/>
      <c r="P8" s="170"/>
    </row>
    <row r="9" spans="1:17">
      <c r="A9" s="609" t="s">
        <v>20</v>
      </c>
      <c r="B9" s="618">
        <f>108077+85467+113186+113042+116756+109995+110509+101300+92745+107226+101895+113016</f>
        <v>1273214</v>
      </c>
      <c r="C9" s="618">
        <v>536526</v>
      </c>
      <c r="D9" s="662">
        <f>195272+119565+111251+124577</f>
        <v>550665</v>
      </c>
      <c r="E9" s="620">
        <f t="shared" ref="E9:E14" si="1">SUM(F9:J9)</f>
        <v>124577</v>
      </c>
      <c r="F9" s="104">
        <v>48350</v>
      </c>
      <c r="G9" s="104">
        <v>42101</v>
      </c>
      <c r="H9" s="104">
        <v>18168</v>
      </c>
      <c r="I9" s="104">
        <v>15958</v>
      </c>
      <c r="J9" s="664"/>
      <c r="K9" s="259"/>
      <c r="L9" s="259"/>
      <c r="M9" s="1056"/>
      <c r="N9" s="1022"/>
      <c r="O9" s="903">
        <f t="shared" ref="O9:O69" si="2">+D9/C9</f>
        <v>1.0263528701311773</v>
      </c>
      <c r="P9" s="170"/>
      <c r="Q9" s="222"/>
    </row>
    <row r="10" spans="1:17">
      <c r="A10" s="609" t="s">
        <v>21</v>
      </c>
      <c r="B10" s="618">
        <f>148719+103732+138638+114388+149772+144287+154524+162231+134683+114242+101779+138292</f>
        <v>1605287</v>
      </c>
      <c r="C10" s="618">
        <v>655249</v>
      </c>
      <c r="D10" s="619">
        <f>209265+105874+111968+94742</f>
        <v>521849</v>
      </c>
      <c r="E10" s="620">
        <f t="shared" si="1"/>
        <v>94742</v>
      </c>
      <c r="F10" s="33">
        <v>51095</v>
      </c>
      <c r="G10" s="33">
        <v>43647</v>
      </c>
      <c r="H10" s="621"/>
      <c r="I10" s="621"/>
      <c r="J10" s="227"/>
      <c r="K10" s="1103">
        <v>12912</v>
      </c>
      <c r="L10" s="1103">
        <f>30864+1151</f>
        <v>32015</v>
      </c>
      <c r="M10" s="248"/>
      <c r="N10" s="1022"/>
      <c r="O10" s="903">
        <f t="shared" si="2"/>
        <v>0.79641327190121614</v>
      </c>
      <c r="P10" s="170"/>
      <c r="Q10" s="222"/>
    </row>
    <row r="11" spans="1:17">
      <c r="A11" s="609" t="s">
        <v>22</v>
      </c>
      <c r="B11" s="618"/>
      <c r="C11" s="618"/>
      <c r="D11" s="619"/>
      <c r="E11" s="620"/>
      <c r="F11" s="104"/>
      <c r="G11" s="104"/>
      <c r="H11" s="104"/>
      <c r="I11" s="104"/>
      <c r="J11" s="104"/>
      <c r="K11" s="1056"/>
      <c r="L11" s="1056"/>
      <c r="M11" s="1056"/>
      <c r="N11" s="1022"/>
      <c r="O11" s="903"/>
      <c r="P11" s="170"/>
      <c r="Q11" s="222"/>
    </row>
    <row r="12" spans="1:17">
      <c r="A12" s="609" t="s">
        <v>23</v>
      </c>
      <c r="B12" s="618">
        <f>39231+38035+45839+55212+55252+51874+53719+51193+43893+46338+47055+45738</f>
        <v>573379</v>
      </c>
      <c r="C12" s="618">
        <v>233569</v>
      </c>
      <c r="D12" s="619">
        <f>74332+41587+36538+49878</f>
        <v>202335</v>
      </c>
      <c r="E12" s="620">
        <f t="shared" si="1"/>
        <v>49878</v>
      </c>
      <c r="F12" s="104">
        <v>21501</v>
      </c>
      <c r="G12" s="104">
        <v>19943</v>
      </c>
      <c r="H12" s="104">
        <v>4454</v>
      </c>
      <c r="I12" s="104">
        <v>3980</v>
      </c>
      <c r="J12" s="104"/>
      <c r="K12" s="1056">
        <f>6283+2065+624+1299</f>
        <v>10271</v>
      </c>
      <c r="L12" s="1056">
        <f>88+3950+314+31</f>
        <v>4383</v>
      </c>
      <c r="M12" s="1056"/>
      <c r="N12" s="1022"/>
      <c r="O12" s="903">
        <f t="shared" si="2"/>
        <v>0.86627506218719097</v>
      </c>
      <c r="P12" s="170"/>
      <c r="Q12" s="222"/>
    </row>
    <row r="13" spans="1:17">
      <c r="A13" s="623" t="s">
        <v>24</v>
      </c>
      <c r="B13" s="618">
        <v>0</v>
      </c>
      <c r="C13" s="618"/>
      <c r="D13" s="619"/>
      <c r="E13" s="620"/>
      <c r="F13" s="104"/>
      <c r="G13" s="104"/>
      <c r="H13" s="104"/>
      <c r="I13" s="104"/>
      <c r="J13" s="104"/>
      <c r="K13" s="1056"/>
      <c r="L13" s="1056"/>
      <c r="M13" s="1056"/>
      <c r="N13" s="1022"/>
      <c r="O13" s="903"/>
      <c r="P13" s="170"/>
      <c r="Q13" s="222"/>
    </row>
    <row r="14" spans="1:17">
      <c r="A14" s="68" t="s">
        <v>25</v>
      </c>
      <c r="B14" s="618">
        <f>107401+71667+97692+112321+100543+91682+100061+119410+112186+136804+148168+145637</f>
        <v>1343572</v>
      </c>
      <c r="C14" s="618">
        <v>489624</v>
      </c>
      <c r="D14" s="662">
        <f>230133+126813+134655+119860</f>
        <v>611461</v>
      </c>
      <c r="E14" s="620">
        <f t="shared" si="1"/>
        <v>119860</v>
      </c>
      <c r="F14" s="36">
        <v>63698</v>
      </c>
      <c r="G14" s="36">
        <v>56162</v>
      </c>
      <c r="H14" s="36"/>
      <c r="I14" s="36"/>
      <c r="J14" s="36"/>
      <c r="K14" s="1104">
        <v>30068</v>
      </c>
      <c r="L14" s="1104">
        <f>4255+10517</f>
        <v>14772</v>
      </c>
      <c r="M14" s="1104">
        <v>2676</v>
      </c>
      <c r="N14" s="1105">
        <v>2402</v>
      </c>
      <c r="O14" s="903">
        <f t="shared" si="2"/>
        <v>1.2488378837638678</v>
      </c>
      <c r="P14" s="170"/>
      <c r="Q14" s="222"/>
    </row>
    <row r="15" spans="1:17">
      <c r="A15" s="623" t="s">
        <v>26</v>
      </c>
      <c r="B15" s="618">
        <f>5818+3471+4879+3146+1868+3203+3535+2520+3649+3073+2995+3507</f>
        <v>41664</v>
      </c>
      <c r="C15" s="618">
        <v>19182</v>
      </c>
      <c r="D15" s="662">
        <f>19932</f>
        <v>19932</v>
      </c>
      <c r="E15" s="620">
        <v>3344</v>
      </c>
      <c r="F15" s="104"/>
      <c r="G15" s="104"/>
      <c r="H15" s="104"/>
      <c r="I15" s="104"/>
      <c r="J15" s="104"/>
      <c r="K15" s="1106"/>
      <c r="L15" s="1056"/>
      <c r="M15" s="1056"/>
      <c r="N15" s="1022"/>
      <c r="O15" s="903">
        <f t="shared" si="2"/>
        <v>1.0390991554582421</v>
      </c>
      <c r="P15" s="170"/>
      <c r="Q15" s="222"/>
    </row>
    <row r="16" spans="1:17">
      <c r="A16" s="609" t="s">
        <v>27</v>
      </c>
      <c r="B16" s="618">
        <f>528</f>
        <v>528</v>
      </c>
      <c r="C16" s="618">
        <v>528</v>
      </c>
      <c r="D16" s="662">
        <v>0</v>
      </c>
      <c r="E16" s="620">
        <v>0</v>
      </c>
      <c r="F16" s="104"/>
      <c r="G16" s="104"/>
      <c r="H16" s="104"/>
      <c r="I16" s="104"/>
      <c r="J16" s="104"/>
      <c r="K16" s="259"/>
      <c r="L16" s="119"/>
      <c r="M16" s="1056"/>
      <c r="N16" s="1022"/>
      <c r="O16" s="903">
        <f t="shared" si="2"/>
        <v>0</v>
      </c>
      <c r="P16" s="178"/>
      <c r="Q16" s="222"/>
    </row>
    <row r="17" spans="1:17">
      <c r="A17" s="625" t="s">
        <v>28</v>
      </c>
      <c r="B17" s="626">
        <f>127397+11642</f>
        <v>139039</v>
      </c>
      <c r="C17" s="627">
        <v>63204</v>
      </c>
      <c r="D17" s="628">
        <f>19907+16036+17100+18000</f>
        <v>71043</v>
      </c>
      <c r="E17" s="925">
        <v>18000</v>
      </c>
      <c r="F17" s="987"/>
      <c r="G17" s="987"/>
      <c r="H17" s="987"/>
      <c r="I17" s="987"/>
      <c r="J17" s="987"/>
      <c r="K17" s="259"/>
      <c r="L17" s="259"/>
      <c r="M17" s="259"/>
      <c r="N17" s="259"/>
      <c r="O17" s="259"/>
      <c r="P17" s="178"/>
      <c r="Q17" s="223"/>
    </row>
    <row r="18" spans="1:17" ht="15.6">
      <c r="A18" s="1066" t="s">
        <v>29</v>
      </c>
      <c r="B18" s="1067">
        <f>534688+54911+55025</f>
        <v>644624</v>
      </c>
      <c r="C18" s="1067">
        <v>268775</v>
      </c>
      <c r="D18" s="1068">
        <f>196486+59577</f>
        <v>256063</v>
      </c>
      <c r="E18" s="1069">
        <v>59577</v>
      </c>
      <c r="F18" s="928"/>
      <c r="G18" s="928"/>
      <c r="H18" s="928"/>
      <c r="I18" s="928"/>
      <c r="J18" s="928"/>
      <c r="K18" s="1107"/>
      <c r="L18" s="1107"/>
      <c r="M18" s="1107"/>
      <c r="N18" s="1108"/>
      <c r="O18" s="1109">
        <f t="shared" si="2"/>
        <v>0.95270393451771929</v>
      </c>
      <c r="P18" s="729"/>
      <c r="Q18" s="754"/>
    </row>
    <row r="19" spans="1:17" ht="15.6">
      <c r="A19" s="1070" t="s">
        <v>30</v>
      </c>
      <c r="B19" s="1071">
        <f>228437+18717+26622</f>
        <v>273776</v>
      </c>
      <c r="C19" s="1071">
        <v>108688</v>
      </c>
      <c r="D19" s="1072">
        <f>65069+22682+21522</f>
        <v>109273</v>
      </c>
      <c r="E19" s="811">
        <v>21522</v>
      </c>
      <c r="F19" s="929"/>
      <c r="G19" s="929"/>
      <c r="H19" s="929"/>
      <c r="I19" s="929"/>
      <c r="J19" s="929"/>
      <c r="K19" s="1056"/>
      <c r="L19" s="1056"/>
      <c r="M19" s="1056"/>
      <c r="N19" s="1022"/>
      <c r="O19" s="903">
        <f t="shared" si="2"/>
        <v>1.005382378919476</v>
      </c>
      <c r="P19" s="730"/>
    </row>
    <row r="20" spans="1:17" ht="15.6">
      <c r="A20" s="1070" t="s">
        <v>31</v>
      </c>
      <c r="B20" s="1071">
        <f>76626+5290+8224</f>
        <v>90140</v>
      </c>
      <c r="C20" s="1071">
        <v>29582</v>
      </c>
      <c r="D20" s="1072">
        <f>5832+4910+7563+4248+5861</f>
        <v>28414</v>
      </c>
      <c r="E20" s="812">
        <v>5861</v>
      </c>
      <c r="F20" s="929"/>
      <c r="G20" s="929"/>
      <c r="H20" s="929"/>
      <c r="I20" s="929"/>
      <c r="J20" s="929"/>
      <c r="K20" s="1056"/>
      <c r="L20" s="1056"/>
      <c r="M20" s="1056"/>
      <c r="N20" s="1022"/>
      <c r="O20" s="903">
        <f t="shared" si="2"/>
        <v>0.9605165303224934</v>
      </c>
      <c r="P20" s="730"/>
    </row>
    <row r="21" spans="1:17" ht="15.6">
      <c r="A21" s="1070" t="s">
        <v>32</v>
      </c>
      <c r="B21" s="1071">
        <v>483790</v>
      </c>
      <c r="C21" s="1071">
        <v>187360</v>
      </c>
      <c r="D21" s="1072">
        <f>116391+43437+35255</f>
        <v>195083</v>
      </c>
      <c r="E21" s="812">
        <v>35255</v>
      </c>
      <c r="F21" s="929"/>
      <c r="G21" s="929"/>
      <c r="H21" s="929"/>
      <c r="I21" s="929"/>
      <c r="J21" s="929"/>
      <c r="K21" s="1056"/>
      <c r="L21" s="1056"/>
      <c r="M21" s="1056"/>
      <c r="N21" s="1022"/>
      <c r="O21" s="903">
        <f t="shared" si="2"/>
        <v>1.0412201110162254</v>
      </c>
      <c r="P21" s="730"/>
    </row>
    <row r="22" spans="1:17" ht="15.6">
      <c r="A22" s="1070" t="s">
        <v>33</v>
      </c>
      <c r="B22" s="1071">
        <f>159887+13631+13177</f>
        <v>186695</v>
      </c>
      <c r="C22" s="1071">
        <v>75920</v>
      </c>
      <c r="D22" s="1072">
        <f>49042+13468</f>
        <v>62510</v>
      </c>
      <c r="E22" s="812">
        <v>13468</v>
      </c>
      <c r="F22" s="929"/>
      <c r="G22" s="929"/>
      <c r="H22" s="929"/>
      <c r="I22" s="929"/>
      <c r="J22" s="929"/>
      <c r="K22" s="1056"/>
      <c r="L22" s="1056"/>
      <c r="M22" s="1056"/>
      <c r="N22" s="1022"/>
      <c r="O22" s="903">
        <f t="shared" si="2"/>
        <v>0.82336670179135929</v>
      </c>
      <c r="P22" s="730"/>
    </row>
    <row r="23" spans="1:17" ht="15.6">
      <c r="A23" s="1070" t="s">
        <v>34</v>
      </c>
      <c r="B23" s="1071">
        <f>199276+27729+38601</f>
        <v>265606</v>
      </c>
      <c r="C23" s="1071">
        <v>92537</v>
      </c>
      <c r="D23" s="1073">
        <f>78139+19970+30683</f>
        <v>128792</v>
      </c>
      <c r="E23" s="812">
        <v>30683</v>
      </c>
      <c r="F23" s="929"/>
      <c r="G23" s="929"/>
      <c r="H23" s="930"/>
      <c r="I23" s="929"/>
      <c r="J23" s="929"/>
      <c r="K23" s="1056"/>
      <c r="L23" s="1056"/>
      <c r="M23" s="1056"/>
      <c r="N23" s="1022"/>
      <c r="O23" s="903">
        <f t="shared" si="2"/>
        <v>1.3917892302538444</v>
      </c>
      <c r="P23" s="730"/>
    </row>
    <row r="24" spans="1:17" ht="15.6">
      <c r="A24" s="1074" t="s">
        <v>35</v>
      </c>
      <c r="B24" s="1075">
        <v>169502</v>
      </c>
      <c r="C24" s="1075">
        <v>34311</v>
      </c>
      <c r="D24" s="1076">
        <f>66692+16226</f>
        <v>82918</v>
      </c>
      <c r="E24" s="813">
        <v>16226</v>
      </c>
      <c r="F24" s="932"/>
      <c r="G24" s="932"/>
      <c r="H24" s="932"/>
      <c r="I24" s="932"/>
      <c r="J24" s="932"/>
      <c r="K24" s="259"/>
      <c r="L24" s="259"/>
      <c r="M24" s="259"/>
      <c r="N24" s="1009"/>
      <c r="O24" s="903">
        <f t="shared" si="2"/>
        <v>2.4166593803736411</v>
      </c>
      <c r="P24" s="730"/>
    </row>
    <row r="25" spans="1:17" ht="15.6">
      <c r="A25" s="368" t="s">
        <v>121</v>
      </c>
      <c r="B25" s="1077">
        <v>0</v>
      </c>
      <c r="C25" s="1077">
        <v>0</v>
      </c>
      <c r="D25" s="1076">
        <f>209628</f>
        <v>209628</v>
      </c>
      <c r="E25" s="813">
        <f>209628-144000</f>
        <v>65628</v>
      </c>
      <c r="F25" s="932"/>
      <c r="G25" s="932"/>
      <c r="H25" s="932"/>
      <c r="I25" s="932"/>
      <c r="J25" s="932"/>
      <c r="K25" s="259"/>
      <c r="L25" s="259"/>
      <c r="M25" s="259"/>
      <c r="N25" s="1009"/>
      <c r="O25" s="903"/>
      <c r="P25" s="730"/>
    </row>
    <row r="26" spans="1:17" ht="15.6">
      <c r="A26" s="368" t="s">
        <v>135</v>
      </c>
      <c r="B26" s="1077">
        <v>0</v>
      </c>
      <c r="C26" s="1077">
        <v>0</v>
      </c>
      <c r="D26" s="1076">
        <f>16566</f>
        <v>16566</v>
      </c>
      <c r="E26" s="814">
        <v>15566</v>
      </c>
      <c r="F26" s="932"/>
      <c r="G26" s="932"/>
      <c r="H26" s="932"/>
      <c r="I26" s="932"/>
      <c r="J26" s="932"/>
      <c r="K26" s="259"/>
      <c r="L26" s="259"/>
      <c r="M26" s="259"/>
      <c r="N26" s="1009"/>
      <c r="O26" s="903"/>
      <c r="P26" s="730"/>
    </row>
    <row r="27" spans="1:17" ht="15.6">
      <c r="A27" s="47" t="s">
        <v>36</v>
      </c>
      <c r="B27" s="57">
        <f>29509+14652+23209+24242+23009+26529+25218+28150+30612+24870+21148+23890</f>
        <v>295038</v>
      </c>
      <c r="C27" s="57">
        <v>114621</v>
      </c>
      <c r="D27" s="645">
        <f>38233+24856+23222+23965</f>
        <v>110276</v>
      </c>
      <c r="E27" s="933">
        <f>SUM(F27:J27)</f>
        <v>23965</v>
      </c>
      <c r="F27" s="1078">
        <v>737</v>
      </c>
      <c r="G27" s="1078">
        <v>976</v>
      </c>
      <c r="H27" s="1078">
        <v>10782</v>
      </c>
      <c r="I27" s="1078">
        <v>11470</v>
      </c>
      <c r="J27" s="1078"/>
      <c r="K27" s="1110">
        <v>6661</v>
      </c>
      <c r="L27" s="1110">
        <f>522+187+901</f>
        <v>1610</v>
      </c>
      <c r="M27" s="1110"/>
      <c r="N27" s="1111"/>
      <c r="O27" s="1112">
        <f>+D27/C27</f>
        <v>0.96209246124183179</v>
      </c>
      <c r="P27" s="730"/>
    </row>
    <row r="28" spans="1:17" ht="15.6">
      <c r="A28" s="649"/>
      <c r="B28" s="1079">
        <f>SUM(B18:B27)</f>
        <v>2409171</v>
      </c>
      <c r="C28" s="1079">
        <f t="shared" ref="C28:E28" si="3">SUM(C18:C27)</f>
        <v>911794</v>
      </c>
      <c r="D28" s="1079">
        <f t="shared" si="3"/>
        <v>1199523</v>
      </c>
      <c r="E28" s="1079">
        <f t="shared" si="3"/>
        <v>287751</v>
      </c>
      <c r="F28" s="941"/>
      <c r="G28" s="941"/>
      <c r="H28" s="941"/>
      <c r="I28" s="941"/>
      <c r="J28" s="941"/>
      <c r="K28" s="259"/>
      <c r="L28" s="259"/>
      <c r="M28" s="259"/>
      <c r="N28" s="1009"/>
      <c r="O28" s="903"/>
      <c r="P28" s="730"/>
    </row>
    <row r="29" spans="1:17" ht="15.6">
      <c r="A29" s="13" t="s">
        <v>37</v>
      </c>
      <c r="B29" s="14">
        <f>SUM(B30:B33)</f>
        <v>975868</v>
      </c>
      <c r="C29" s="924">
        <v>396430</v>
      </c>
      <c r="D29" s="1080">
        <f>SUM(D30:D33)</f>
        <v>437182</v>
      </c>
      <c r="E29" s="1064">
        <f t="shared" ref="E29:N29" si="4">SUM(E30:E33)</f>
        <v>94867</v>
      </c>
      <c r="F29" s="1081">
        <f t="shared" si="4"/>
        <v>34423</v>
      </c>
      <c r="G29" s="1081">
        <f t="shared" si="4"/>
        <v>36601</v>
      </c>
      <c r="H29" s="1081">
        <f t="shared" si="4"/>
        <v>13377</v>
      </c>
      <c r="I29" s="1081">
        <f t="shared" si="4"/>
        <v>10466</v>
      </c>
      <c r="J29" s="1081">
        <f t="shared" si="4"/>
        <v>0</v>
      </c>
      <c r="K29" s="1113">
        <f t="shared" si="4"/>
        <v>21276</v>
      </c>
      <c r="L29" s="1113">
        <f t="shared" si="4"/>
        <v>18186</v>
      </c>
      <c r="M29" s="1113">
        <f t="shared" si="4"/>
        <v>0</v>
      </c>
      <c r="N29" s="1102">
        <f t="shared" si="4"/>
        <v>0</v>
      </c>
      <c r="O29" s="849">
        <f t="shared" si="2"/>
        <v>1.102797467396514</v>
      </c>
      <c r="P29" s="729"/>
    </row>
    <row r="30" spans="1:17" ht="15">
      <c r="A30" s="609" t="s">
        <v>38</v>
      </c>
      <c r="B30" s="656">
        <f>31848+3560+3666</f>
        <v>39074</v>
      </c>
      <c r="C30" s="656">
        <v>16082</v>
      </c>
      <c r="D30" s="943">
        <f>8241+5068+4596+5228</f>
        <v>23133</v>
      </c>
      <c r="E30" s="620">
        <f t="shared" ref="E30:E32" si="5">SUM(F30:J30)</f>
        <v>5228</v>
      </c>
      <c r="F30" s="104"/>
      <c r="G30" s="104"/>
      <c r="H30" s="104">
        <v>2819</v>
      </c>
      <c r="I30" s="104">
        <v>2409</v>
      </c>
      <c r="J30" s="664"/>
      <c r="K30" s="1056">
        <f>713+1300</f>
        <v>2013</v>
      </c>
      <c r="L30" s="1056">
        <f>754+31</f>
        <v>785</v>
      </c>
      <c r="M30" s="1056"/>
      <c r="N30" s="1022"/>
      <c r="O30" s="903">
        <f t="shared" si="2"/>
        <v>1.4384404924760601</v>
      </c>
      <c r="P30" s="733"/>
    </row>
    <row r="31" spans="1:17" ht="15.6">
      <c r="A31" s="87" t="s">
        <v>39</v>
      </c>
      <c r="B31" s="656">
        <f>64505+48073+62185+62452+59765+64280+67096+71165+61780+66528+63320+71042</f>
        <v>762191</v>
      </c>
      <c r="C31" s="656">
        <v>296980</v>
      </c>
      <c r="D31" s="668">
        <f>122864+65834+68474+77377</f>
        <v>334549</v>
      </c>
      <c r="E31" s="620">
        <f t="shared" si="5"/>
        <v>77377</v>
      </c>
      <c r="F31" s="22">
        <v>29953</v>
      </c>
      <c r="G31" s="22">
        <v>30166</v>
      </c>
      <c r="H31" s="22">
        <v>9358</v>
      </c>
      <c r="I31" s="22">
        <v>7900</v>
      </c>
      <c r="J31" s="612"/>
      <c r="K31" s="92">
        <v>16789</v>
      </c>
      <c r="L31" s="92">
        <f>1803+2584+4111+4859</f>
        <v>13357</v>
      </c>
      <c r="M31" s="1106"/>
      <c r="N31" s="1114"/>
      <c r="O31" s="903">
        <f t="shared" si="2"/>
        <v>1.1265034682470201</v>
      </c>
      <c r="P31" s="707"/>
    </row>
    <row r="32" spans="1:17" ht="15.6">
      <c r="A32" s="87" t="s">
        <v>40</v>
      </c>
      <c r="B32" s="659">
        <f>22490+11900+19473+16591+12914+13370+11563+9278+10032+11317+15030+20645</f>
        <v>174603</v>
      </c>
      <c r="C32" s="659">
        <v>83368</v>
      </c>
      <c r="D32" s="660">
        <f>35860+15843+15535+12262</f>
        <v>79500</v>
      </c>
      <c r="E32" s="620">
        <f t="shared" si="5"/>
        <v>12262</v>
      </c>
      <c r="F32" s="22">
        <v>4470</v>
      </c>
      <c r="G32" s="22">
        <v>6435</v>
      </c>
      <c r="H32" s="22">
        <v>1200</v>
      </c>
      <c r="I32" s="22">
        <v>157</v>
      </c>
      <c r="J32" s="664"/>
      <c r="K32" s="92">
        <v>2474</v>
      </c>
      <c r="L32" s="92">
        <f>2987+31+998+28</f>
        <v>4044</v>
      </c>
      <c r="M32" s="1056"/>
      <c r="N32" s="1022"/>
      <c r="O32" s="903">
        <f t="shared" si="2"/>
        <v>0.95360330102677282</v>
      </c>
      <c r="P32" s="707"/>
    </row>
    <row r="33" spans="1:16" ht="15.6">
      <c r="A33" s="87" t="s">
        <v>41</v>
      </c>
      <c r="B33" s="618"/>
      <c r="C33" s="618"/>
      <c r="D33" s="662"/>
      <c r="E33" s="620"/>
      <c r="F33" s="104"/>
      <c r="G33" s="104"/>
      <c r="H33" s="104"/>
      <c r="I33" s="104"/>
      <c r="J33" s="104"/>
      <c r="K33" s="1056"/>
      <c r="L33" s="1056"/>
      <c r="M33" s="1056"/>
      <c r="N33" s="1022"/>
      <c r="O33" s="903"/>
      <c r="P33" s="707"/>
    </row>
    <row r="34" spans="1:16" ht="15.6">
      <c r="A34" s="87"/>
      <c r="B34" s="88"/>
      <c r="C34" s="88"/>
      <c r="D34" s="944"/>
      <c r="E34" s="945"/>
      <c r="F34" s="119"/>
      <c r="G34" s="119"/>
      <c r="H34" s="119"/>
      <c r="I34" s="119"/>
      <c r="J34" s="119"/>
      <c r="K34" s="1115"/>
      <c r="L34" s="1115"/>
      <c r="M34" s="1115"/>
      <c r="N34" s="1016"/>
      <c r="O34" s="903"/>
      <c r="P34" s="707"/>
    </row>
    <row r="35" spans="1:16" ht="15.6">
      <c r="A35" s="13" t="s">
        <v>42</v>
      </c>
      <c r="B35" s="14">
        <f t="shared" ref="B35:N35" si="6">SUM(B36:B46)</f>
        <v>8566129</v>
      </c>
      <c r="C35" s="14">
        <f t="shared" si="6"/>
        <v>3434159</v>
      </c>
      <c r="D35" s="14">
        <f t="shared" si="6"/>
        <v>3704219</v>
      </c>
      <c r="E35" s="14">
        <f t="shared" si="6"/>
        <v>792818</v>
      </c>
      <c r="F35" s="1065">
        <f t="shared" si="6"/>
        <v>331921</v>
      </c>
      <c r="G35" s="1065">
        <f t="shared" si="6"/>
        <v>251368</v>
      </c>
      <c r="H35" s="1065">
        <f t="shared" si="6"/>
        <v>63180</v>
      </c>
      <c r="I35" s="1065">
        <f t="shared" si="6"/>
        <v>144499</v>
      </c>
      <c r="J35" s="1065">
        <f t="shared" si="6"/>
        <v>1848</v>
      </c>
      <c r="K35" s="1101">
        <f t="shared" si="6"/>
        <v>183543</v>
      </c>
      <c r="L35" s="1101">
        <f t="shared" si="6"/>
        <v>94246</v>
      </c>
      <c r="M35" s="1101">
        <f t="shared" si="6"/>
        <v>1524</v>
      </c>
      <c r="N35" s="1116">
        <f t="shared" si="6"/>
        <v>88645</v>
      </c>
      <c r="O35" s="849">
        <f t="shared" si="2"/>
        <v>1.0786393408109525</v>
      </c>
      <c r="P35" s="707"/>
    </row>
    <row r="36" spans="1:16" ht="15.6">
      <c r="A36" s="609" t="s">
        <v>43</v>
      </c>
      <c r="B36" s="618">
        <f>176793+71526+59980+65204+71423+79211+71917+76068+84439+81079</f>
        <v>837640</v>
      </c>
      <c r="C36" s="618">
        <v>308299</v>
      </c>
      <c r="D36" s="662">
        <f>141659+76024+81669+80656</f>
        <v>380008</v>
      </c>
      <c r="E36" s="620">
        <f t="shared" ref="E36:E43" si="7">SUM(F36:J36)</f>
        <v>80656</v>
      </c>
      <c r="F36" s="104"/>
      <c r="G36" s="104"/>
      <c r="H36" s="104">
        <v>23900</v>
      </c>
      <c r="I36" s="104">
        <v>56756</v>
      </c>
      <c r="J36" s="104"/>
      <c r="K36" s="1117">
        <v>2130</v>
      </c>
      <c r="L36" s="1117">
        <f>19596+520</f>
        <v>20116</v>
      </c>
      <c r="M36" s="1117"/>
      <c r="N36" s="1019"/>
      <c r="O36" s="903">
        <f t="shared" si="2"/>
        <v>1.2325956295674005</v>
      </c>
      <c r="P36" s="707"/>
    </row>
    <row r="37" spans="1:16" ht="15.6">
      <c r="A37" s="609" t="s">
        <v>44</v>
      </c>
      <c r="B37" s="618">
        <f>315296+56739+61665+55007+62647+65661+65065</f>
        <v>682080</v>
      </c>
      <c r="C37" s="618">
        <v>265250</v>
      </c>
      <c r="D37" s="662">
        <f>104618+64282+60352+64355</f>
        <v>293607</v>
      </c>
      <c r="E37" s="620">
        <f t="shared" si="7"/>
        <v>64355</v>
      </c>
      <c r="F37" s="664"/>
      <c r="G37" s="664"/>
      <c r="H37" s="104">
        <v>8970</v>
      </c>
      <c r="I37" s="104">
        <v>55385</v>
      </c>
      <c r="J37" s="104"/>
      <c r="K37" s="1118">
        <v>2109</v>
      </c>
      <c r="L37" s="1118">
        <f>8663+4</f>
        <v>8667</v>
      </c>
      <c r="M37" s="1118"/>
      <c r="N37" s="1020">
        <v>64355</v>
      </c>
      <c r="O37" s="903">
        <f t="shared" si="2"/>
        <v>1.1069066918001884</v>
      </c>
      <c r="P37" s="707"/>
    </row>
    <row r="38" spans="1:16" ht="15.6">
      <c r="A38" s="609" t="s">
        <v>128</v>
      </c>
      <c r="B38" s="618">
        <v>0</v>
      </c>
      <c r="C38" s="618">
        <v>0</v>
      </c>
      <c r="D38" s="1082">
        <f>10400+25209</f>
        <v>35609</v>
      </c>
      <c r="E38" s="1083">
        <v>25209</v>
      </c>
      <c r="F38" s="612">
        <v>14060</v>
      </c>
      <c r="G38" s="612">
        <v>9536</v>
      </c>
      <c r="H38" s="104"/>
      <c r="I38" s="104"/>
      <c r="J38" s="104">
        <v>1611</v>
      </c>
      <c r="K38" s="1118">
        <f>2000+2414+477</f>
        <v>4891</v>
      </c>
      <c r="L38" s="1119">
        <f>1200+0</f>
        <v>1200</v>
      </c>
      <c r="M38" s="1118">
        <v>662</v>
      </c>
      <c r="N38" s="1020">
        <v>22920</v>
      </c>
      <c r="O38" s="903"/>
      <c r="P38" s="736"/>
    </row>
    <row r="39" spans="1:16" ht="15.6">
      <c r="A39" s="87" t="s">
        <v>45</v>
      </c>
      <c r="B39" s="665">
        <f>20214+11681+23581+25619+22301+21824+20127+19528+19926+20275+23052+20682</f>
        <v>248810</v>
      </c>
      <c r="C39" s="665">
        <v>103396</v>
      </c>
      <c r="D39" s="946">
        <f>35539+25020+25012+26281</f>
        <v>111852</v>
      </c>
      <c r="E39" s="620">
        <f>SUM(F39:J39)</f>
        <v>26281</v>
      </c>
      <c r="F39" s="104">
        <v>13014</v>
      </c>
      <c r="G39" s="104">
        <v>13267</v>
      </c>
      <c r="H39" s="104"/>
      <c r="I39" s="104"/>
      <c r="J39" s="102"/>
      <c r="K39" s="1120">
        <v>6861</v>
      </c>
      <c r="L39" s="1118">
        <v>375</v>
      </c>
      <c r="M39" s="1118">
        <v>616</v>
      </c>
      <c r="N39" s="1020"/>
      <c r="O39" s="903"/>
      <c r="P39" s="707"/>
    </row>
    <row r="40" spans="1:16" ht="15.6">
      <c r="A40" s="87" t="s">
        <v>46</v>
      </c>
      <c r="B40" s="666">
        <f>36191+20920+29070+23929+27875+30427+28473+27605+28149+32945+33352+27283</f>
        <v>346219</v>
      </c>
      <c r="C40" s="666">
        <v>137985</v>
      </c>
      <c r="D40" s="667">
        <f>42541+28883+28001+23533</f>
        <v>122958</v>
      </c>
      <c r="E40" s="620">
        <f>SUM(H40:J40)</f>
        <v>23533</v>
      </c>
      <c r="F40" s="938"/>
      <c r="G40" s="932"/>
      <c r="H40" s="104">
        <v>11430</v>
      </c>
      <c r="I40" s="104">
        <v>12103</v>
      </c>
      <c r="J40" s="664"/>
      <c r="K40" s="1056">
        <f>4010+3747</f>
        <v>7757</v>
      </c>
      <c r="L40" s="1056">
        <f>66+312</f>
        <v>378</v>
      </c>
      <c r="M40" s="1056">
        <v>246</v>
      </c>
      <c r="N40" s="1022">
        <v>31</v>
      </c>
      <c r="O40" s="903">
        <f t="shared" si="2"/>
        <v>0.89109685835416896</v>
      </c>
      <c r="P40" s="707"/>
    </row>
    <row r="41" spans="1:16" ht="15.6">
      <c r="A41" s="87" t="s">
        <v>47</v>
      </c>
      <c r="B41" s="666">
        <f>12008+9467+14763+14113+14691+14606+10209+8082+10081+11470+13518+17152</f>
        <v>150160</v>
      </c>
      <c r="C41" s="666">
        <v>65042</v>
      </c>
      <c r="D41" s="667">
        <f>35287+23392+31491+27296</f>
        <v>117466</v>
      </c>
      <c r="E41" s="620">
        <f>SUM(F41:J41)</f>
        <v>27296</v>
      </c>
      <c r="F41" s="104">
        <v>11134</v>
      </c>
      <c r="G41" s="104">
        <v>15925</v>
      </c>
      <c r="H41" s="104"/>
      <c r="I41" s="104"/>
      <c r="J41" s="104">
        <v>237</v>
      </c>
      <c r="K41" s="1056">
        <v>8658</v>
      </c>
      <c r="L41" s="1056">
        <f>1690+5857</f>
        <v>7547</v>
      </c>
      <c r="M41" s="1118"/>
      <c r="N41" s="1020">
        <v>200</v>
      </c>
      <c r="O41" s="903">
        <f t="shared" si="2"/>
        <v>1.8060022754527842</v>
      </c>
      <c r="P41" s="707"/>
    </row>
    <row r="42" spans="1:16" ht="15.6">
      <c r="A42" s="87" t="s">
        <v>48</v>
      </c>
      <c r="B42" s="666">
        <f>492323+373517+489518+501319+498148+483300+509517+496996+483525+491240+487179+505109</f>
        <v>5811691</v>
      </c>
      <c r="C42" s="666">
        <v>2354825</v>
      </c>
      <c r="D42" s="667">
        <f>890002+542749+505450+501865</f>
        <v>2440066</v>
      </c>
      <c r="E42" s="620">
        <f t="shared" si="7"/>
        <v>501865</v>
      </c>
      <c r="F42" s="104">
        <v>292283</v>
      </c>
      <c r="G42" s="104">
        <v>209582</v>
      </c>
      <c r="H42" s="104"/>
      <c r="I42" s="664"/>
      <c r="J42" s="104"/>
      <c r="K42" s="92">
        <v>150681</v>
      </c>
      <c r="L42" s="92">
        <f>26003+29727</f>
        <v>55730</v>
      </c>
      <c r="M42" s="1118"/>
      <c r="N42" s="1020"/>
      <c r="O42" s="903">
        <f t="shared" si="2"/>
        <v>1.0361984436210758</v>
      </c>
      <c r="P42" s="707"/>
    </row>
    <row r="43" spans="1:16" ht="15.6">
      <c r="A43" s="87" t="s">
        <v>49</v>
      </c>
      <c r="B43" s="666">
        <f>41444+27037+39698+37856+42480+38521+41958+41846+36877+41203+36023+42811</f>
        <v>467754</v>
      </c>
      <c r="C43" s="666">
        <v>188515</v>
      </c>
      <c r="D43" s="667">
        <f>72994+40474+40234+42273</f>
        <v>195975</v>
      </c>
      <c r="E43" s="620">
        <f t="shared" si="7"/>
        <v>42273</v>
      </c>
      <c r="F43" s="102">
        <v>1039</v>
      </c>
      <c r="G43" s="102">
        <v>2099</v>
      </c>
      <c r="H43" s="102">
        <v>18880</v>
      </c>
      <c r="I43" s="102">
        <v>20255</v>
      </c>
      <c r="J43" s="104"/>
      <c r="K43" s="1118"/>
      <c r="L43" s="1118"/>
      <c r="M43" s="1118"/>
      <c r="N43" s="1020"/>
      <c r="O43" s="903">
        <f t="shared" si="2"/>
        <v>1.0395724478158237</v>
      </c>
      <c r="P43" s="707"/>
    </row>
    <row r="44" spans="1:16" ht="15.6">
      <c r="A44" s="87" t="s">
        <v>50</v>
      </c>
      <c r="B44" s="656"/>
      <c r="C44" s="656">
        <v>0</v>
      </c>
      <c r="D44" s="668"/>
      <c r="E44" s="620"/>
      <c r="F44" s="104"/>
      <c r="G44" s="104"/>
      <c r="H44" s="104"/>
      <c r="I44" s="104"/>
      <c r="J44" s="104"/>
      <c r="K44" s="1118"/>
      <c r="L44" s="1118"/>
      <c r="M44" s="1118"/>
      <c r="N44" s="1020"/>
      <c r="O44" s="903"/>
      <c r="P44" s="736"/>
    </row>
    <row r="45" spans="1:16" ht="15.6">
      <c r="A45" s="87" t="s">
        <v>51</v>
      </c>
      <c r="B45" s="669">
        <f>1591+185+300+228+282+250+254+222+245+289+277+286</f>
        <v>4409</v>
      </c>
      <c r="C45" s="669">
        <v>2586</v>
      </c>
      <c r="D45" s="670">
        <f>571+277+257+232</f>
        <v>1337</v>
      </c>
      <c r="E45" s="620">
        <f>SUM(F45:J45)</f>
        <v>232</v>
      </c>
      <c r="F45" s="104">
        <v>126</v>
      </c>
      <c r="G45" s="104">
        <v>106</v>
      </c>
      <c r="H45" s="104"/>
      <c r="I45" s="104"/>
      <c r="J45" s="104"/>
      <c r="K45" s="1118">
        <v>232</v>
      </c>
      <c r="L45" s="1118">
        <f>126</f>
        <v>126</v>
      </c>
      <c r="M45" s="1118"/>
      <c r="N45" s="1020">
        <v>21</v>
      </c>
      <c r="O45" s="903">
        <f t="shared" si="2"/>
        <v>0.51701469450889403</v>
      </c>
      <c r="P45" s="707"/>
    </row>
    <row r="46" spans="1:16" ht="15.6">
      <c r="A46" s="671" t="s">
        <v>52</v>
      </c>
      <c r="B46" s="672">
        <f>5554+2707+1759+1797+950+1036+1570+888+1105</f>
        <v>17366</v>
      </c>
      <c r="C46" s="672">
        <v>8261</v>
      </c>
      <c r="D46" s="947">
        <f>2295+1345+583+1118</f>
        <v>5341</v>
      </c>
      <c r="E46" s="925">
        <f>SUM(F46:F46:J46)</f>
        <v>1118</v>
      </c>
      <c r="F46" s="104">
        <v>265</v>
      </c>
      <c r="G46" s="104">
        <v>853</v>
      </c>
      <c r="H46" s="104"/>
      <c r="I46" s="104"/>
      <c r="J46" s="1121"/>
      <c r="K46" s="1120">
        <v>224</v>
      </c>
      <c r="L46" s="1118">
        <f>105+2</f>
        <v>107</v>
      </c>
      <c r="M46" s="1118"/>
      <c r="N46" s="1020">
        <v>1118</v>
      </c>
      <c r="O46" s="903">
        <f t="shared" si="2"/>
        <v>0.64653189686478629</v>
      </c>
      <c r="P46" s="707"/>
    </row>
    <row r="47" spans="1:16" ht="15.6">
      <c r="A47" s="112" t="s">
        <v>53</v>
      </c>
      <c r="B47" s="113">
        <f>43919+38655+49389+49920+41452+46211+54147+61115+45816+53985+53251+54204</f>
        <v>592064</v>
      </c>
      <c r="C47" s="113">
        <v>223335</v>
      </c>
      <c r="D47" s="1084">
        <f>170674+E47</f>
        <v>217896</v>
      </c>
      <c r="E47" s="1085">
        <f>SUM(F47:J47)</f>
        <v>47222</v>
      </c>
      <c r="F47" s="1086">
        <v>23518</v>
      </c>
      <c r="G47" s="1086">
        <v>19270</v>
      </c>
      <c r="H47" s="1086">
        <v>1715</v>
      </c>
      <c r="I47" s="1122">
        <v>1551</v>
      </c>
      <c r="J47" s="1086">
        <v>1168</v>
      </c>
      <c r="K47" s="1123">
        <f>3912+5660+373+236+49</f>
        <v>10230</v>
      </c>
      <c r="L47" s="1124">
        <f>1448+222+20+1+49</f>
        <v>1740</v>
      </c>
      <c r="M47" s="1123"/>
      <c r="N47" s="1125">
        <v>2192</v>
      </c>
      <c r="O47" s="904">
        <f t="shared" si="2"/>
        <v>0.97564645039962383</v>
      </c>
      <c r="P47" s="707"/>
    </row>
    <row r="48" spans="1:16" ht="15.6">
      <c r="A48" s="56"/>
      <c r="B48" s="1087"/>
      <c r="C48" s="1088"/>
      <c r="D48" s="1089"/>
      <c r="E48" s="933"/>
      <c r="F48" s="1078"/>
      <c r="G48" s="1078"/>
      <c r="H48" s="1078"/>
      <c r="I48" s="1126"/>
      <c r="J48" s="1078"/>
      <c r="K48" s="1127"/>
      <c r="L48" s="1128"/>
      <c r="M48" s="1127"/>
      <c r="N48" s="1129"/>
      <c r="O48" s="1112"/>
      <c r="P48" s="707"/>
    </row>
    <row r="49" spans="1:17" ht="15.6">
      <c r="A49" s="13" t="s">
        <v>54</v>
      </c>
      <c r="B49" s="14">
        <f>SUM(B50:B57)</f>
        <v>6475171</v>
      </c>
      <c r="C49" s="924">
        <v>2686712</v>
      </c>
      <c r="D49" s="1080">
        <f t="shared" ref="D49:N49" si="8">SUM(D50:D57)</f>
        <v>2977788</v>
      </c>
      <c r="E49" s="1083">
        <f t="shared" si="8"/>
        <v>668744</v>
      </c>
      <c r="F49" s="1065">
        <f t="shared" si="8"/>
        <v>287195</v>
      </c>
      <c r="G49" s="1065">
        <f t="shared" si="8"/>
        <v>294357</v>
      </c>
      <c r="H49" s="1065">
        <f t="shared" si="8"/>
        <v>7285</v>
      </c>
      <c r="I49" s="1065">
        <f t="shared" si="8"/>
        <v>4660</v>
      </c>
      <c r="J49" s="1065">
        <f t="shared" si="8"/>
        <v>75247</v>
      </c>
      <c r="K49" s="1101">
        <f t="shared" si="8"/>
        <v>50329</v>
      </c>
      <c r="L49" s="1101">
        <f t="shared" si="8"/>
        <v>181504</v>
      </c>
      <c r="M49" s="1101">
        <f t="shared" si="8"/>
        <v>2823</v>
      </c>
      <c r="N49" s="1116">
        <f t="shared" si="8"/>
        <v>93426</v>
      </c>
      <c r="O49" s="849">
        <f t="shared" si="2"/>
        <v>1.108339114873496</v>
      </c>
      <c r="P49" s="707"/>
    </row>
    <row r="50" spans="1:17" ht="15.6">
      <c r="A50" s="87" t="s">
        <v>55</v>
      </c>
      <c r="B50" s="618"/>
      <c r="C50" s="618"/>
      <c r="D50" s="662"/>
      <c r="E50" s="620"/>
      <c r="F50" s="104"/>
      <c r="G50" s="104"/>
      <c r="H50" s="104"/>
      <c r="I50" s="104"/>
      <c r="J50" s="104"/>
      <c r="K50" s="119"/>
      <c r="L50" s="119"/>
      <c r="M50" s="119"/>
      <c r="N50" s="118"/>
      <c r="O50" s="903"/>
      <c r="P50" s="707"/>
    </row>
    <row r="51" spans="1:17" ht="15">
      <c r="A51" s="680" t="s">
        <v>56</v>
      </c>
      <c r="B51" s="656">
        <f>152617+131920+130997+153389+149066+196349+174625+189556+159615+174414+174638+173536</f>
        <v>1960722</v>
      </c>
      <c r="C51" s="827">
        <v>717989</v>
      </c>
      <c r="D51" s="668">
        <f>209453+123222+177525+182527+179497</f>
        <v>872224</v>
      </c>
      <c r="E51" s="957">
        <f>SUM(F51:J52)</f>
        <v>179497</v>
      </c>
      <c r="F51" s="104">
        <v>78501</v>
      </c>
      <c r="G51" s="104">
        <v>77002</v>
      </c>
      <c r="H51" s="104">
        <v>7253</v>
      </c>
      <c r="I51" s="104">
        <v>4656</v>
      </c>
      <c r="J51" s="104">
        <v>12085</v>
      </c>
      <c r="K51" s="1056">
        <v>18825</v>
      </c>
      <c r="L51" s="1056">
        <f>59034+404+735+1084+5498</f>
        <v>66755</v>
      </c>
      <c r="M51" s="1056"/>
      <c r="N51" s="1022"/>
      <c r="O51" s="903">
        <f t="shared" si="2"/>
        <v>1.2148152687575993</v>
      </c>
      <c r="P51" s="745"/>
    </row>
    <row r="52" spans="1:17" ht="15">
      <c r="A52" s="682"/>
      <c r="B52" s="656"/>
      <c r="C52" s="829"/>
      <c r="D52" s="668"/>
      <c r="E52" s="959"/>
      <c r="F52" s="104"/>
      <c r="G52" s="104"/>
      <c r="H52" s="104"/>
      <c r="I52" s="104"/>
      <c r="J52" s="104"/>
      <c r="K52" s="1056"/>
      <c r="L52" s="1056"/>
      <c r="M52" s="1056"/>
      <c r="N52" s="1022"/>
      <c r="O52" s="903"/>
      <c r="P52" s="746"/>
    </row>
    <row r="53" spans="1:17" ht="15.6">
      <c r="A53" s="87" t="s">
        <v>57</v>
      </c>
      <c r="B53" s="684">
        <f>97537+55586+99611+80866+84077+87464+89817+110297+103108+86858+89238+102094</f>
        <v>1086553</v>
      </c>
      <c r="C53" s="1090">
        <v>417677</v>
      </c>
      <c r="D53" s="960">
        <f>104773+79448+108729+100750+114908</f>
        <v>508608</v>
      </c>
      <c r="E53" s="620">
        <f t="shared" ref="E53:E55" si="9">SUM(F53:J53)</f>
        <v>114908</v>
      </c>
      <c r="F53" s="961">
        <v>52394</v>
      </c>
      <c r="G53" s="22">
        <v>54274</v>
      </c>
      <c r="H53" s="962"/>
      <c r="I53" s="664"/>
      <c r="J53" s="22">
        <v>8240</v>
      </c>
      <c r="K53" s="92">
        <v>8178</v>
      </c>
      <c r="L53" s="92">
        <f>33820+5732+2497</f>
        <v>42049</v>
      </c>
      <c r="M53" s="119"/>
      <c r="N53" s="118"/>
      <c r="O53" s="903">
        <f t="shared" si="2"/>
        <v>1.217706505266031</v>
      </c>
      <c r="P53" s="747"/>
    </row>
    <row r="54" spans="1:17" ht="15.6">
      <c r="A54" s="68" t="s">
        <v>58</v>
      </c>
      <c r="B54" s="669">
        <f>59734+65037+69566+76869+85180+98871+84349+95878+74900+91720+96454+90939</f>
        <v>989497</v>
      </c>
      <c r="C54" s="1090">
        <v>356386</v>
      </c>
      <c r="D54" s="670">
        <f>90832+90726+97425+112194+114431</f>
        <v>505608</v>
      </c>
      <c r="E54" s="620">
        <f t="shared" si="9"/>
        <v>114431</v>
      </c>
      <c r="F54" s="104">
        <v>39974</v>
      </c>
      <c r="G54" s="104">
        <v>52958</v>
      </c>
      <c r="H54" s="104"/>
      <c r="I54" s="1037"/>
      <c r="J54" s="104">
        <v>21499</v>
      </c>
      <c r="K54" s="1056">
        <v>10723</v>
      </c>
      <c r="L54" s="1056">
        <f>24092+100+6028</f>
        <v>30220</v>
      </c>
      <c r="M54" s="119"/>
      <c r="N54" s="118"/>
      <c r="O54" s="903">
        <f t="shared" si="2"/>
        <v>1.418708927960133</v>
      </c>
      <c r="P54" s="707"/>
    </row>
    <row r="55" spans="1:17" ht="15.6">
      <c r="A55" s="68" t="s">
        <v>59</v>
      </c>
      <c r="B55" s="669">
        <f>47624+41548+39771+61527+61540+40461+59109+75205+60419+66567+64451+64941</f>
        <v>683163</v>
      </c>
      <c r="C55" s="1090">
        <v>252010</v>
      </c>
      <c r="D55" s="670">
        <f>85962+38994+58375+82416+99455</f>
        <v>365202</v>
      </c>
      <c r="E55" s="620">
        <f t="shared" si="9"/>
        <v>99455</v>
      </c>
      <c r="F55" s="104">
        <v>47412</v>
      </c>
      <c r="G55" s="104">
        <v>34536</v>
      </c>
      <c r="H55" s="104">
        <v>32</v>
      </c>
      <c r="I55" s="104">
        <v>4</v>
      </c>
      <c r="J55" s="104">
        <v>17471</v>
      </c>
      <c r="K55" s="1118">
        <v>12603</v>
      </c>
      <c r="L55" s="1118">
        <f>39887+234+2359</f>
        <v>42480</v>
      </c>
      <c r="M55" s="1118">
        <v>2823</v>
      </c>
      <c r="N55" s="1020">
        <v>93426</v>
      </c>
      <c r="O55" s="903">
        <f t="shared" si="2"/>
        <v>1.4491567794928772</v>
      </c>
      <c r="P55" s="742"/>
    </row>
    <row r="56" spans="1:17" ht="15.6">
      <c r="A56" s="129" t="s">
        <v>113</v>
      </c>
      <c r="B56" s="686"/>
      <c r="C56" s="686"/>
      <c r="D56" s="686"/>
      <c r="E56" s="686"/>
      <c r="F56" s="259"/>
      <c r="G56" s="259"/>
      <c r="H56" s="259"/>
      <c r="I56" s="259"/>
      <c r="J56" s="259"/>
      <c r="K56" s="259"/>
      <c r="L56" s="259"/>
      <c r="M56" s="259"/>
      <c r="N56" s="259"/>
      <c r="O56" s="259"/>
      <c r="P56" s="747"/>
      <c r="Q56" s="755"/>
    </row>
    <row r="57" spans="1:17" ht="15.6">
      <c r="A57" s="831" t="s">
        <v>61</v>
      </c>
      <c r="B57" s="832">
        <v>1755236</v>
      </c>
      <c r="C57" s="1091">
        <v>653955</v>
      </c>
      <c r="D57" s="1092">
        <v>726146</v>
      </c>
      <c r="E57" s="1093">
        <v>160453</v>
      </c>
      <c r="F57" s="1094">
        <v>68914</v>
      </c>
      <c r="G57" s="1094">
        <v>75587</v>
      </c>
      <c r="H57" s="968"/>
      <c r="I57" s="968"/>
      <c r="J57" s="952">
        <v>15952</v>
      </c>
      <c r="K57" s="1130"/>
      <c r="L57" s="1130"/>
      <c r="M57" s="1130"/>
      <c r="N57" s="1131"/>
      <c r="O57" s="1132">
        <f>+D57/C57</f>
        <v>1.1103913877866214</v>
      </c>
      <c r="P57" s="742"/>
      <c r="Q57" s="265"/>
    </row>
    <row r="58" spans="1:17" ht="15.6">
      <c r="A58" s="68"/>
      <c r="B58" s="693"/>
      <c r="C58" s="693"/>
      <c r="D58" s="694"/>
      <c r="E58" s="945"/>
      <c r="F58" s="696"/>
      <c r="G58" s="696"/>
      <c r="H58" s="260"/>
      <c r="I58" s="1042"/>
      <c r="J58" s="1043"/>
      <c r="K58" s="119"/>
      <c r="L58" s="119"/>
      <c r="M58" s="119"/>
      <c r="N58" s="118"/>
      <c r="O58" s="903"/>
      <c r="P58" s="742"/>
      <c r="Q58" s="265"/>
    </row>
    <row r="59" spans="1:17" ht="15.6">
      <c r="A59" s="140" t="s">
        <v>62</v>
      </c>
      <c r="B59" s="141">
        <f>SUM(B60:B67)</f>
        <v>55955</v>
      </c>
      <c r="C59" s="1044">
        <v>22649</v>
      </c>
      <c r="D59" s="1095">
        <f>SUM(D60:D67)</f>
        <v>21412</v>
      </c>
      <c r="E59" s="1096">
        <f t="shared" ref="E59" si="10">SUM(E60:E67)</f>
        <v>5438</v>
      </c>
      <c r="F59" s="1097"/>
      <c r="G59" s="1097"/>
      <c r="H59" s="1096">
        <f t="shared" ref="H59:N59" si="11">SUM(H60:H67)</f>
        <v>2581</v>
      </c>
      <c r="I59" s="1096">
        <f t="shared" si="11"/>
        <v>2857</v>
      </c>
      <c r="J59" s="1097"/>
      <c r="K59" s="1133">
        <f t="shared" si="11"/>
        <v>3677</v>
      </c>
      <c r="L59" s="1133">
        <f t="shared" si="11"/>
        <v>2836</v>
      </c>
      <c r="M59" s="1133">
        <f t="shared" si="11"/>
        <v>0</v>
      </c>
      <c r="N59" s="1134">
        <f t="shared" si="11"/>
        <v>4396</v>
      </c>
      <c r="O59" s="849">
        <f t="shared" si="2"/>
        <v>0.94538390215903567</v>
      </c>
      <c r="P59" s="707"/>
      <c r="Q59" s="265"/>
    </row>
    <row r="60" spans="1:17" ht="15.6">
      <c r="A60" s="68" t="s">
        <v>122</v>
      </c>
      <c r="B60" s="669">
        <f>335+74+675+1816+624+522+232+273+655+1600+1480+1538</f>
        <v>9824</v>
      </c>
      <c r="C60" s="669">
        <v>3524</v>
      </c>
      <c r="D60" s="762">
        <f>1496+768+675+870</f>
        <v>3809</v>
      </c>
      <c r="E60" s="620">
        <f t="shared" ref="E60:E67" si="12">SUM(F60:J60)</f>
        <v>870</v>
      </c>
      <c r="F60" s="971"/>
      <c r="G60" s="104"/>
      <c r="H60" s="972">
        <v>415</v>
      </c>
      <c r="I60" s="104">
        <v>455</v>
      </c>
      <c r="J60" s="104"/>
      <c r="K60" s="119">
        <v>2</v>
      </c>
      <c r="L60" s="119">
        <f>370</f>
        <v>370</v>
      </c>
      <c r="M60" s="119"/>
      <c r="N60" s="118"/>
      <c r="O60" s="903">
        <f t="shared" si="2"/>
        <v>1.0808740068104428</v>
      </c>
      <c r="P60" s="707"/>
    </row>
    <row r="61" spans="1:17" ht="15.6">
      <c r="A61" s="68" t="s">
        <v>64</v>
      </c>
      <c r="B61" s="618"/>
      <c r="C61" s="618">
        <v>0</v>
      </c>
      <c r="D61" s="973"/>
      <c r="E61" s="620"/>
      <c r="F61" s="974"/>
      <c r="G61" s="620"/>
      <c r="H61" s="104"/>
      <c r="I61" s="104"/>
      <c r="J61" s="104"/>
      <c r="K61" s="119"/>
      <c r="L61" s="119"/>
      <c r="M61" s="119"/>
      <c r="N61" s="118"/>
      <c r="O61" s="903"/>
      <c r="P61" s="707"/>
    </row>
    <row r="62" spans="1:17" ht="15.6">
      <c r="A62" s="68" t="s">
        <v>65</v>
      </c>
      <c r="B62" s="669">
        <f>1670+1062+1129+1350+1391+1439+1192+1252+1332+1078+1196+1258</f>
        <v>15349</v>
      </c>
      <c r="C62" s="669">
        <v>6602</v>
      </c>
      <c r="D62" s="762">
        <f>1143+584+1068+1170</f>
        <v>3965</v>
      </c>
      <c r="E62" s="620">
        <f t="shared" si="12"/>
        <v>1170</v>
      </c>
      <c r="F62" s="972"/>
      <c r="G62" s="620"/>
      <c r="H62" s="104">
        <v>543</v>
      </c>
      <c r="I62" s="104">
        <v>627</v>
      </c>
      <c r="J62" s="104"/>
      <c r="K62" s="119">
        <f>163+386</f>
        <v>549</v>
      </c>
      <c r="L62" s="119">
        <f>318+173</f>
        <v>491</v>
      </c>
      <c r="M62" s="119"/>
      <c r="N62" s="118">
        <v>1170</v>
      </c>
      <c r="O62" s="903">
        <f t="shared" si="2"/>
        <v>0.60057558315661919</v>
      </c>
      <c r="P62" s="707"/>
    </row>
    <row r="63" spans="1:17" ht="15.6">
      <c r="A63" s="68" t="s">
        <v>66</v>
      </c>
      <c r="B63" s="618">
        <f>1089+517+1381+2546+1336+1503+1713+1785+1646+1436+909+1418</f>
        <v>17279</v>
      </c>
      <c r="C63" s="618">
        <v>6869</v>
      </c>
      <c r="D63" s="973">
        <f>1838+1698+2039+1708</f>
        <v>7283</v>
      </c>
      <c r="E63" s="620">
        <f t="shared" si="12"/>
        <v>1708</v>
      </c>
      <c r="F63" s="974"/>
      <c r="G63" s="620"/>
      <c r="H63" s="104">
        <v>835</v>
      </c>
      <c r="I63" s="104">
        <v>873</v>
      </c>
      <c r="J63" s="104"/>
      <c r="K63" s="1056">
        <v>1536</v>
      </c>
      <c r="L63" s="1056">
        <f>832+16</f>
        <v>848</v>
      </c>
      <c r="M63" s="119"/>
      <c r="N63" s="118">
        <v>1536</v>
      </c>
      <c r="O63" s="903">
        <f t="shared" si="2"/>
        <v>1.0602707817731838</v>
      </c>
      <c r="P63" s="707"/>
    </row>
    <row r="64" spans="1:17" ht="15.6">
      <c r="A64" s="758" t="s">
        <v>67</v>
      </c>
      <c r="B64" s="656"/>
      <c r="C64" s="656"/>
      <c r="D64" s="943"/>
      <c r="E64" s="620"/>
      <c r="F64" s="1045"/>
      <c r="G64" s="620"/>
      <c r="H64" s="104"/>
      <c r="I64" s="104"/>
      <c r="J64" s="104"/>
      <c r="K64" s="119"/>
      <c r="L64" s="119"/>
      <c r="M64" s="119"/>
      <c r="N64" s="118"/>
      <c r="O64" s="903"/>
      <c r="P64" s="707"/>
    </row>
    <row r="65" spans="1:17" ht="15.6">
      <c r="A65" s="68" t="s">
        <v>68</v>
      </c>
      <c r="B65" s="618">
        <f>949+632+800+680+378+254+120+150+155+159+135+133</f>
        <v>4545</v>
      </c>
      <c r="C65" s="618">
        <v>3439</v>
      </c>
      <c r="D65" s="1046">
        <f>492+846+747+924</f>
        <v>3009</v>
      </c>
      <c r="E65" s="620">
        <f t="shared" si="12"/>
        <v>924</v>
      </c>
      <c r="F65" s="974"/>
      <c r="G65" s="620"/>
      <c r="H65" s="104">
        <v>400</v>
      </c>
      <c r="I65" s="104">
        <v>524</v>
      </c>
      <c r="J65" s="104"/>
      <c r="K65" s="1056">
        <v>924</v>
      </c>
      <c r="L65" s="1056">
        <f>400</f>
        <v>400</v>
      </c>
      <c r="M65" s="119"/>
      <c r="N65" s="118">
        <v>924</v>
      </c>
      <c r="O65" s="903">
        <f t="shared" si="2"/>
        <v>0.87496365222448391</v>
      </c>
      <c r="P65" s="707"/>
    </row>
    <row r="66" spans="1:17" ht="15.6">
      <c r="A66" s="614" t="s">
        <v>69</v>
      </c>
      <c r="B66" s="669"/>
      <c r="C66" s="760">
        <v>0</v>
      </c>
      <c r="D66" s="762"/>
      <c r="E66" s="620"/>
      <c r="F66" s="972"/>
      <c r="G66" s="1047"/>
      <c r="H66" s="664"/>
      <c r="I66" s="664"/>
      <c r="J66" s="664"/>
      <c r="K66" s="259"/>
      <c r="L66" s="259"/>
      <c r="M66" s="259"/>
      <c r="N66" s="1009"/>
      <c r="O66" s="903"/>
      <c r="P66" s="707"/>
    </row>
    <row r="67" spans="1:17" ht="15.6">
      <c r="A67" s="68" t="s">
        <v>70</v>
      </c>
      <c r="B67" s="669">
        <f>703+210+509+267+526+508+670+637+1462+1836+801+829</f>
        <v>8958</v>
      </c>
      <c r="C67" s="669">
        <v>2215</v>
      </c>
      <c r="D67" s="762">
        <f>1225+704+651+766</f>
        <v>3346</v>
      </c>
      <c r="E67" s="620">
        <f t="shared" si="12"/>
        <v>766</v>
      </c>
      <c r="F67" s="104"/>
      <c r="G67" s="104"/>
      <c r="H67" s="104">
        <v>388</v>
      </c>
      <c r="I67" s="104">
        <v>378</v>
      </c>
      <c r="J67" s="104"/>
      <c r="K67" s="1056">
        <v>666</v>
      </c>
      <c r="L67" s="1056">
        <f>353+374</f>
        <v>727</v>
      </c>
      <c r="M67" s="1056"/>
      <c r="N67" s="1022">
        <v>766</v>
      </c>
      <c r="O67" s="903">
        <f t="shared" si="2"/>
        <v>1.5106094808126411</v>
      </c>
      <c r="P67" s="707"/>
      <c r="Q67" s="754"/>
    </row>
    <row r="68" spans="1:17" ht="15.6">
      <c r="A68" s="231"/>
      <c r="B68" s="763"/>
      <c r="C68" s="764"/>
      <c r="D68" s="1048"/>
      <c r="E68" s="1049"/>
      <c r="F68" s="1050"/>
      <c r="G68" s="1051"/>
      <c r="H68" s="1050"/>
      <c r="I68" s="1050"/>
      <c r="J68" s="1050"/>
      <c r="K68" s="1050"/>
      <c r="L68" s="1050"/>
      <c r="M68" s="1050"/>
      <c r="N68" s="1061"/>
      <c r="O68" s="1140"/>
      <c r="P68" s="707"/>
    </row>
    <row r="69" spans="1:17" ht="15">
      <c r="A69" s="235" t="s">
        <v>71</v>
      </c>
      <c r="B69" s="236">
        <f>B6+B29+B35+B49+B59</f>
        <v>21049806</v>
      </c>
      <c r="C69" s="236">
        <f>C6+C29+C35+C49+C59</f>
        <v>8652455</v>
      </c>
      <c r="D69" s="236">
        <f>D6+D29+D35+D49+D59</f>
        <v>9117886</v>
      </c>
      <c r="E69" s="236">
        <f>E6+E29+E35+E49+E59</f>
        <v>1972268</v>
      </c>
      <c r="F69" s="1135">
        <f>F6+F29+F35+F49+F59</f>
        <v>838183</v>
      </c>
      <c r="G69" s="1136">
        <f t="shared" ref="G69:N69" si="13">G6+G29+F35+G49+G59</f>
        <v>824732</v>
      </c>
      <c r="H69" s="1136">
        <f t="shared" si="13"/>
        <v>297233</v>
      </c>
      <c r="I69" s="1136">
        <f t="shared" si="13"/>
        <v>101101</v>
      </c>
      <c r="J69" s="1136">
        <f t="shared" si="13"/>
        <v>219746</v>
      </c>
      <c r="K69" s="1141">
        <f t="shared" si="13"/>
        <v>130381</v>
      </c>
      <c r="L69" s="1141">
        <f t="shared" si="13"/>
        <v>437239</v>
      </c>
      <c r="M69" s="1141">
        <f t="shared" si="13"/>
        <v>99745</v>
      </c>
      <c r="N69" s="1142">
        <f t="shared" si="13"/>
        <v>101748</v>
      </c>
      <c r="O69" s="1143">
        <f t="shared" si="2"/>
        <v>1.0537917851060767</v>
      </c>
      <c r="P69" s="783"/>
    </row>
    <row r="70" spans="1:17">
      <c r="A70" s="1137" t="s">
        <v>72</v>
      </c>
      <c r="B70" s="1138">
        <f>B69+(B28+B47+B57)</f>
        <v>25806277</v>
      </c>
      <c r="C70" s="1138">
        <f>C69+(C28+C47+C57)</f>
        <v>10441539</v>
      </c>
      <c r="D70" s="1138">
        <f>D69+(D28+D47+D57)</f>
        <v>11261451</v>
      </c>
      <c r="E70" s="1138">
        <f>E69+(E28+E47+E57)</f>
        <v>2467694</v>
      </c>
      <c r="F70" s="1054"/>
      <c r="G70" s="1054"/>
      <c r="H70" s="151"/>
      <c r="I70" s="151"/>
      <c r="J70" s="151"/>
      <c r="K70" s="151"/>
      <c r="L70" s="1054"/>
      <c r="N70" s="1054"/>
      <c r="O70" s="911"/>
    </row>
    <row r="71" spans="1:17">
      <c r="A71" s="2"/>
      <c r="B71" s="241"/>
      <c r="C71" s="241"/>
      <c r="D71" s="241"/>
      <c r="E71" s="241"/>
      <c r="F71" s="152"/>
      <c r="G71" s="152"/>
      <c r="H71" s="2"/>
      <c r="I71" s="2"/>
      <c r="J71" s="2"/>
      <c r="K71" s="2"/>
      <c r="L71" s="152"/>
      <c r="M71" s="152" t="s">
        <v>136</v>
      </c>
      <c r="N71" s="152"/>
      <c r="O71" s="2"/>
    </row>
    <row r="72" spans="1:17">
      <c r="B72" s="2"/>
      <c r="C72" s="2"/>
      <c r="D72" s="152"/>
      <c r="E72" s="2"/>
      <c r="F72" s="152"/>
      <c r="G72" s="2"/>
      <c r="H72" s="2"/>
      <c r="I72" s="2"/>
      <c r="J72" s="2"/>
      <c r="K72" s="2"/>
      <c r="L72" s="152"/>
      <c r="M72" s="152"/>
      <c r="N72" s="152"/>
      <c r="O72" s="2"/>
    </row>
    <row r="73" spans="1:17">
      <c r="B73" s="2"/>
      <c r="C73" s="2"/>
      <c r="D73" s="786" t="s">
        <v>74</v>
      </c>
      <c r="E73" s="786" t="s">
        <v>75</v>
      </c>
      <c r="F73" s="786" t="s">
        <v>76</v>
      </c>
      <c r="G73" s="786" t="s">
        <v>77</v>
      </c>
      <c r="H73" s="786" t="s">
        <v>78</v>
      </c>
      <c r="I73" s="786" t="s">
        <v>79</v>
      </c>
      <c r="J73" s="786" t="s">
        <v>80</v>
      </c>
      <c r="K73" s="786" t="s">
        <v>81</v>
      </c>
      <c r="L73" s="786" t="s">
        <v>82</v>
      </c>
      <c r="M73" s="786" t="s">
        <v>83</v>
      </c>
      <c r="N73" s="786" t="s">
        <v>84</v>
      </c>
      <c r="O73" s="786" t="s">
        <v>85</v>
      </c>
      <c r="P73" s="786" t="s">
        <v>86</v>
      </c>
    </row>
    <row r="74" spans="1:17">
      <c r="B74" s="246" t="s">
        <v>87</v>
      </c>
      <c r="C74" s="246"/>
      <c r="D74" s="1056">
        <v>1737613</v>
      </c>
      <c r="E74" s="1056">
        <v>1447754</v>
      </c>
      <c r="F74" s="1057">
        <f>E69</f>
        <v>1972268</v>
      </c>
      <c r="G74" s="1056">
        <v>1891960</v>
      </c>
      <c r="H74" s="1056">
        <v>1972368</v>
      </c>
      <c r="I74" s="3"/>
      <c r="J74" s="1056"/>
      <c r="K74" s="789"/>
      <c r="L74" s="1056"/>
      <c r="M74" s="789"/>
      <c r="N74" s="268"/>
      <c r="O74" s="789"/>
      <c r="P74" s="790">
        <f>SUM(D74:O74)</f>
        <v>9021963</v>
      </c>
    </row>
    <row r="75" spans="1:17">
      <c r="A75" s="2"/>
      <c r="B75" s="249" t="s">
        <v>88</v>
      </c>
      <c r="C75" s="249"/>
      <c r="D75" s="1139"/>
      <c r="E75" s="271">
        <f t="shared" ref="E75:O75" si="14">IF(D74&gt;0,E74/D74,0)*100</f>
        <v>83.318552520037542</v>
      </c>
      <c r="F75" s="271">
        <f t="shared" si="14"/>
        <v>136.22949755276105</v>
      </c>
      <c r="G75" s="271">
        <f t="shared" si="14"/>
        <v>95.928139583464315</v>
      </c>
      <c r="H75" s="271">
        <f t="shared" si="14"/>
        <v>104.24998414342798</v>
      </c>
      <c r="I75" s="271">
        <f t="shared" si="14"/>
        <v>0</v>
      </c>
      <c r="J75" s="271">
        <f t="shared" si="14"/>
        <v>0</v>
      </c>
      <c r="K75" s="271">
        <f t="shared" si="14"/>
        <v>0</v>
      </c>
      <c r="L75" s="271">
        <f t="shared" si="14"/>
        <v>0</v>
      </c>
      <c r="M75" s="271">
        <f t="shared" si="14"/>
        <v>0</v>
      </c>
      <c r="N75" s="271">
        <f t="shared" si="14"/>
        <v>0</v>
      </c>
      <c r="O75" s="271">
        <f t="shared" si="14"/>
        <v>0</v>
      </c>
      <c r="P75" s="791">
        <f>P74/B69</f>
        <v>0.42860076715196332</v>
      </c>
    </row>
    <row r="76" spans="1:17">
      <c r="A76" s="2"/>
      <c r="B76" s="251"/>
      <c r="C76" s="251"/>
      <c r="D76" s="251"/>
      <c r="E76" s="268"/>
      <c r="F76" s="251"/>
      <c r="G76" s="2" t="s">
        <v>115</v>
      </c>
      <c r="H76" s="2"/>
      <c r="I76" s="2"/>
      <c r="J76" s="2"/>
      <c r="K76" s="2"/>
      <c r="L76" s="2"/>
      <c r="M76" s="152"/>
      <c r="N76" s="152"/>
      <c r="O76" s="152"/>
      <c r="P76" s="2"/>
    </row>
    <row r="77" spans="1:17">
      <c r="A77" s="1442" t="s">
        <v>89</v>
      </c>
      <c r="B77" s="152"/>
      <c r="C77" s="152"/>
      <c r="D77" s="152"/>
      <c r="E77" s="152"/>
      <c r="F77" s="2"/>
      <c r="G77" s="2"/>
      <c r="H77" s="2"/>
      <c r="I77" s="2"/>
      <c r="J77" s="2"/>
      <c r="K77" s="2"/>
      <c r="L77" s="2"/>
      <c r="M77" s="152"/>
      <c r="N77" s="152"/>
      <c r="O77" s="152"/>
      <c r="P77" s="2"/>
      <c r="Q77" s="3"/>
    </row>
    <row r="78" spans="1:17">
      <c r="A78" s="2" t="s">
        <v>90</v>
      </c>
      <c r="B78" s="152"/>
      <c r="C78" s="152"/>
      <c r="D78" s="152"/>
      <c r="E78" s="152"/>
      <c r="F78" s="2"/>
      <c r="G78" s="2"/>
      <c r="H78" s="2"/>
      <c r="I78" s="2"/>
      <c r="J78" s="2"/>
      <c r="K78" s="2"/>
      <c r="L78" s="2"/>
      <c r="M78" s="152"/>
      <c r="N78" s="152"/>
      <c r="O78" s="152"/>
      <c r="P78" s="2"/>
      <c r="Q78" s="3"/>
    </row>
    <row r="79" spans="1:17">
      <c r="A79" s="1442" t="s">
        <v>91</v>
      </c>
      <c r="B79" s="152"/>
      <c r="C79" s="152"/>
      <c r="D79" s="152"/>
      <c r="E79" s="152"/>
      <c r="F79" s="2"/>
      <c r="G79" s="2"/>
      <c r="H79" s="2"/>
      <c r="I79" s="2"/>
      <c r="J79" s="2"/>
      <c r="K79" s="2"/>
      <c r="L79" s="2"/>
      <c r="M79" s="152"/>
      <c r="N79" s="152"/>
      <c r="O79" s="152"/>
      <c r="P79" s="2"/>
      <c r="Q79" s="3"/>
    </row>
    <row r="80" spans="1:17">
      <c r="A80" s="1443" t="s">
        <v>92</v>
      </c>
      <c r="B80" s="152"/>
      <c r="C80" s="152"/>
      <c r="D80" s="152"/>
      <c r="E80" s="152"/>
      <c r="F80" s="2"/>
      <c r="G80" s="2"/>
      <c r="H80" s="2"/>
      <c r="I80" s="2"/>
      <c r="J80" s="2"/>
      <c r="K80" s="2"/>
      <c r="L80" s="2"/>
      <c r="M80" s="152"/>
      <c r="N80" s="152"/>
      <c r="O80" s="152"/>
      <c r="P80" s="2"/>
      <c r="Q80" s="281"/>
    </row>
    <row r="81" spans="1:16">
      <c r="A81" s="2" t="s">
        <v>93</v>
      </c>
      <c r="B81" s="2"/>
      <c r="C81" s="2"/>
      <c r="D81" s="2"/>
      <c r="E81" s="2"/>
      <c r="F81" s="2"/>
      <c r="G81" s="2"/>
      <c r="H81" s="2"/>
      <c r="I81" s="2"/>
      <c r="K81" s="2"/>
      <c r="M81" s="152"/>
      <c r="N81" s="152"/>
      <c r="O81" s="152"/>
      <c r="P81" s="2"/>
    </row>
    <row r="82" spans="1:16">
      <c r="A82" s="2" t="s">
        <v>94</v>
      </c>
      <c r="B82" s="2"/>
      <c r="C82" s="2"/>
      <c r="D82" s="2"/>
      <c r="E82" s="2"/>
      <c r="F82" s="2"/>
      <c r="G82" s="2"/>
      <c r="H82" s="2"/>
      <c r="I82" s="2"/>
      <c r="K82" s="2"/>
      <c r="M82" s="152"/>
      <c r="N82" s="152"/>
      <c r="O82" s="273"/>
      <c r="P82" s="2"/>
    </row>
    <row r="83" spans="1:16">
      <c r="A83" s="2" t="s">
        <v>95</v>
      </c>
      <c r="B83" s="2"/>
      <c r="C83" s="2"/>
      <c r="D83" s="2"/>
      <c r="E83" s="2"/>
      <c r="F83" s="2"/>
      <c r="G83" s="2"/>
      <c r="H83" s="2"/>
      <c r="I83" s="2"/>
      <c r="K83" s="2"/>
      <c r="L83" s="2"/>
      <c r="M83" s="152"/>
      <c r="N83" s="152"/>
      <c r="O83" s="152"/>
      <c r="P83" s="2"/>
    </row>
    <row r="85" spans="1:16" ht="15.6">
      <c r="B85" s="875" t="s">
        <v>96</v>
      </c>
      <c r="C85" s="875"/>
      <c r="D85" s="875"/>
      <c r="E85" s="875"/>
      <c r="F85" s="875"/>
      <c r="G85" s="875"/>
      <c r="H85" s="875"/>
      <c r="I85" s="875"/>
      <c r="J85" s="875"/>
      <c r="K85" s="875"/>
      <c r="L85" s="875"/>
      <c r="M85" s="875"/>
      <c r="N85" s="875"/>
      <c r="O85" s="875"/>
    </row>
    <row r="86" spans="1:16">
      <c r="A86" s="775" t="s">
        <v>97</v>
      </c>
      <c r="B86" s="776" t="s">
        <v>74</v>
      </c>
      <c r="C86" s="776" t="s">
        <v>75</v>
      </c>
      <c r="D86" s="776" t="s">
        <v>76</v>
      </c>
      <c r="E86" s="776" t="s">
        <v>77</v>
      </c>
      <c r="F86" s="776" t="s">
        <v>78</v>
      </c>
      <c r="G86" s="776" t="s">
        <v>79</v>
      </c>
      <c r="H86" s="776" t="s">
        <v>80</v>
      </c>
      <c r="I86" s="776" t="s">
        <v>81</v>
      </c>
      <c r="J86" s="776" t="s">
        <v>82</v>
      </c>
      <c r="K86" s="776" t="s">
        <v>83</v>
      </c>
      <c r="L86" s="776" t="s">
        <v>84</v>
      </c>
      <c r="M86" s="776" t="s">
        <v>85</v>
      </c>
      <c r="N86" s="776" t="s">
        <v>86</v>
      </c>
      <c r="O86" s="775" t="s">
        <v>98</v>
      </c>
    </row>
    <row r="87" spans="1:16">
      <c r="A87" s="876" t="s">
        <v>99</v>
      </c>
      <c r="B87" s="877">
        <v>5672894</v>
      </c>
      <c r="C87" s="878">
        <v>4899761</v>
      </c>
      <c r="D87" s="878">
        <v>6728359</v>
      </c>
      <c r="E87" s="878">
        <v>7366984</v>
      </c>
      <c r="F87" s="878">
        <v>7632844</v>
      </c>
      <c r="G87" s="878"/>
      <c r="H87" s="277"/>
      <c r="I87" s="277"/>
      <c r="J87" s="277"/>
      <c r="K87" s="277"/>
      <c r="L87" s="277"/>
      <c r="N87" s="878">
        <f>SUM(B87:M87)</f>
        <v>32300842</v>
      </c>
      <c r="O87" s="886">
        <v>100</v>
      </c>
    </row>
    <row r="88" spans="1:16">
      <c r="A88" s="259" t="s">
        <v>100</v>
      </c>
      <c r="B88" s="260">
        <v>1809898</v>
      </c>
      <c r="C88" s="260">
        <v>1730564</v>
      </c>
      <c r="D88" s="260">
        <v>2112389</v>
      </c>
      <c r="E88" s="260">
        <v>2570971</v>
      </c>
      <c r="F88" s="260">
        <v>2877822</v>
      </c>
      <c r="G88" s="260"/>
      <c r="H88" s="260"/>
      <c r="I88" s="260"/>
      <c r="J88" s="260"/>
      <c r="K88" s="260"/>
      <c r="L88" s="260"/>
      <c r="M88" s="259"/>
      <c r="N88" s="778">
        <f t="shared" ref="N88:N103" si="15">SUM(B88:M88)</f>
        <v>11101644</v>
      </c>
      <c r="O88" s="888">
        <v>32.673524222337498</v>
      </c>
    </row>
    <row r="89" spans="1:16">
      <c r="A89" s="259" t="s">
        <v>101</v>
      </c>
      <c r="B89" s="260">
        <v>216643</v>
      </c>
      <c r="C89" s="260">
        <v>165584</v>
      </c>
      <c r="D89" s="260">
        <v>464816</v>
      </c>
      <c r="E89" s="260">
        <v>179363</v>
      </c>
      <c r="F89" s="260">
        <v>325949</v>
      </c>
      <c r="G89" s="260"/>
      <c r="H89" s="260"/>
      <c r="I89" s="260"/>
      <c r="J89" s="260"/>
      <c r="K89" s="260"/>
      <c r="L89" s="260"/>
      <c r="M89" s="259"/>
      <c r="N89" s="778">
        <f t="shared" si="15"/>
        <v>1352355</v>
      </c>
      <c r="O89" s="888">
        <v>4.8959153492390701</v>
      </c>
    </row>
    <row r="90" spans="1:16">
      <c r="A90" s="259" t="s">
        <v>102</v>
      </c>
      <c r="B90" s="260">
        <v>1371301</v>
      </c>
      <c r="C90" s="260">
        <v>870579</v>
      </c>
      <c r="D90" s="260">
        <v>1114225</v>
      </c>
      <c r="E90" s="260">
        <v>1074841</v>
      </c>
      <c r="F90" s="260">
        <v>1197562</v>
      </c>
      <c r="G90" s="260"/>
      <c r="H90" s="260"/>
      <c r="I90" s="260"/>
      <c r="J90" s="260"/>
      <c r="K90" s="260"/>
      <c r="L90" s="260"/>
      <c r="M90" s="259"/>
      <c r="N90" s="778">
        <f t="shared" si="15"/>
        <v>5628508</v>
      </c>
      <c r="O90" s="888">
        <v>19.3983138791749</v>
      </c>
    </row>
    <row r="91" spans="1:16">
      <c r="A91" s="259" t="s">
        <v>103</v>
      </c>
      <c r="B91" s="260">
        <v>758783</v>
      </c>
      <c r="C91" s="260">
        <v>620788</v>
      </c>
      <c r="D91" s="260">
        <v>832464</v>
      </c>
      <c r="E91" s="260">
        <v>805760</v>
      </c>
      <c r="F91" s="260">
        <v>873484</v>
      </c>
      <c r="G91" s="260"/>
      <c r="H91" s="260"/>
      <c r="I91" s="260"/>
      <c r="J91" s="260"/>
      <c r="K91" s="260"/>
      <c r="L91" s="260"/>
      <c r="M91" s="259"/>
      <c r="N91" s="778">
        <f t="shared" si="15"/>
        <v>3891279</v>
      </c>
      <c r="O91" s="888">
        <v>12.785580082184801</v>
      </c>
    </row>
    <row r="92" spans="1:16">
      <c r="A92" s="259" t="s">
        <v>104</v>
      </c>
      <c r="B92" s="260">
        <v>663451</v>
      </c>
      <c r="C92" s="260">
        <v>687147</v>
      </c>
      <c r="D92" s="260">
        <v>1074747</v>
      </c>
      <c r="E92" s="260">
        <v>1431356</v>
      </c>
      <c r="F92" s="260">
        <v>1344265</v>
      </c>
      <c r="G92" s="260"/>
      <c r="H92" s="260"/>
      <c r="I92" s="260"/>
      <c r="J92" s="260"/>
      <c r="K92" s="260"/>
      <c r="L92" s="260"/>
      <c r="M92" s="259"/>
      <c r="N92" s="778">
        <f t="shared" si="15"/>
        <v>5200966</v>
      </c>
      <c r="O92" s="888">
        <v>14.018513596948701</v>
      </c>
    </row>
    <row r="93" spans="1:16">
      <c r="A93" s="259" t="s">
        <v>105</v>
      </c>
      <c r="B93" s="260">
        <v>94829</v>
      </c>
      <c r="C93" s="260">
        <v>74713</v>
      </c>
      <c r="D93" s="260">
        <v>126500</v>
      </c>
      <c r="E93" s="260">
        <v>117804</v>
      </c>
      <c r="F93" s="260">
        <v>116232</v>
      </c>
      <c r="G93" s="260"/>
      <c r="H93" s="260"/>
      <c r="I93" s="260"/>
      <c r="J93" s="260"/>
      <c r="K93" s="260"/>
      <c r="L93" s="260"/>
      <c r="M93" s="259"/>
      <c r="N93" s="778">
        <f t="shared" si="15"/>
        <v>530078</v>
      </c>
      <c r="O93" s="888">
        <v>1.71112513983284</v>
      </c>
    </row>
    <row r="94" spans="1:16">
      <c r="A94" s="259" t="s">
        <v>58</v>
      </c>
      <c r="B94" s="260">
        <v>644996</v>
      </c>
      <c r="C94" s="260">
        <v>549797</v>
      </c>
      <c r="D94" s="260">
        <v>901148</v>
      </c>
      <c r="E94" s="260">
        <v>1109569</v>
      </c>
      <c r="F94" s="260">
        <v>817643</v>
      </c>
      <c r="G94" s="260"/>
      <c r="H94" s="260"/>
      <c r="I94" s="260"/>
      <c r="J94" s="260"/>
      <c r="K94" s="260"/>
      <c r="L94" s="260"/>
      <c r="M94" s="259"/>
      <c r="N94" s="778">
        <f t="shared" si="15"/>
        <v>4023153</v>
      </c>
      <c r="O94" s="888">
        <v>12.1145558289242</v>
      </c>
    </row>
    <row r="95" spans="1:16">
      <c r="A95" s="879" t="s">
        <v>106</v>
      </c>
      <c r="B95" s="878">
        <v>6857452</v>
      </c>
      <c r="C95" s="878">
        <v>5513308</v>
      </c>
      <c r="D95" s="878">
        <v>8179988</v>
      </c>
      <c r="E95" s="878">
        <v>8794398</v>
      </c>
      <c r="F95" s="878">
        <v>8383395</v>
      </c>
      <c r="G95" s="878"/>
      <c r="H95" s="878"/>
      <c r="I95" s="878"/>
      <c r="J95" s="878"/>
      <c r="K95" s="878"/>
      <c r="L95" s="878"/>
      <c r="M95" s="889"/>
      <c r="N95" s="878">
        <f t="shared" si="15"/>
        <v>37728541</v>
      </c>
      <c r="O95" s="890">
        <f>N94/$N$95</f>
        <v>0.10663420565348658</v>
      </c>
    </row>
    <row r="96" spans="1:16">
      <c r="A96" s="259" t="s">
        <v>100</v>
      </c>
      <c r="B96" s="260">
        <v>2135077</v>
      </c>
      <c r="C96" s="260">
        <v>1954967</v>
      </c>
      <c r="D96" s="260">
        <v>2573893</v>
      </c>
      <c r="E96" s="260">
        <v>3073887</v>
      </c>
      <c r="F96" s="260">
        <v>3261336</v>
      </c>
      <c r="G96" s="260"/>
      <c r="H96" s="260"/>
      <c r="I96" s="260"/>
      <c r="J96" s="260"/>
      <c r="K96" s="260"/>
      <c r="L96" s="260"/>
      <c r="M96" s="259"/>
      <c r="N96" s="778">
        <f t="shared" si="15"/>
        <v>12999160</v>
      </c>
      <c r="O96" s="890">
        <f>N95/$N$95</f>
        <v>1</v>
      </c>
    </row>
    <row r="97" spans="1:15">
      <c r="A97" s="259" t="s">
        <v>101</v>
      </c>
      <c r="B97" s="260">
        <v>263002</v>
      </c>
      <c r="C97" s="260">
        <v>221352</v>
      </c>
      <c r="D97" s="260">
        <v>387773</v>
      </c>
      <c r="E97" s="260">
        <v>258017</v>
      </c>
      <c r="F97" s="260">
        <v>388537</v>
      </c>
      <c r="G97" s="260"/>
      <c r="H97" s="260"/>
      <c r="I97" s="260"/>
      <c r="J97" s="260"/>
      <c r="K97" s="260"/>
      <c r="L97" s="260"/>
      <c r="M97" s="259"/>
      <c r="N97" s="778">
        <f t="shared" si="15"/>
        <v>1518681</v>
      </c>
      <c r="O97" s="583">
        <f t="shared" ref="O97:O102" si="16">N96/$N$95</f>
        <v>0.3445444656871306</v>
      </c>
    </row>
    <row r="98" spans="1:15">
      <c r="A98" s="259" t="s">
        <v>102</v>
      </c>
      <c r="B98" s="260">
        <v>1600519</v>
      </c>
      <c r="C98" s="260">
        <v>975825</v>
      </c>
      <c r="D98" s="260">
        <v>1500811</v>
      </c>
      <c r="E98" s="260">
        <v>1431201</v>
      </c>
      <c r="F98" s="260">
        <v>1312883</v>
      </c>
      <c r="G98" s="260"/>
      <c r="H98" s="260"/>
      <c r="I98" s="260"/>
      <c r="J98" s="260"/>
      <c r="K98" s="260"/>
      <c r="L98" s="260"/>
      <c r="M98" s="259"/>
      <c r="N98" s="778">
        <f t="shared" si="15"/>
        <v>6821239</v>
      </c>
      <c r="O98" s="583">
        <f t="shared" si="16"/>
        <v>4.0252842006267879E-2</v>
      </c>
    </row>
    <row r="99" spans="1:15">
      <c r="A99" s="259" t="s">
        <v>103</v>
      </c>
      <c r="B99" s="260">
        <v>906127</v>
      </c>
      <c r="C99" s="260">
        <v>684506</v>
      </c>
      <c r="D99" s="260">
        <v>1019356</v>
      </c>
      <c r="E99" s="260">
        <v>936276</v>
      </c>
      <c r="F99" s="260">
        <v>1009873</v>
      </c>
      <c r="G99" s="260"/>
      <c r="H99" s="260"/>
      <c r="I99" s="260"/>
      <c r="J99" s="260"/>
      <c r="K99" s="260"/>
      <c r="L99" s="260"/>
      <c r="M99" s="259"/>
      <c r="N99" s="778">
        <f t="shared" si="15"/>
        <v>4556138</v>
      </c>
      <c r="O99" s="583">
        <f t="shared" si="16"/>
        <v>0.18079784744392846</v>
      </c>
    </row>
    <row r="100" spans="1:15">
      <c r="A100" s="259" t="s">
        <v>104</v>
      </c>
      <c r="B100" s="260">
        <v>910303</v>
      </c>
      <c r="C100" s="260">
        <v>843503</v>
      </c>
      <c r="D100" s="260">
        <v>1350561</v>
      </c>
      <c r="E100" s="260">
        <v>1603712</v>
      </c>
      <c r="F100" s="260">
        <v>1322029</v>
      </c>
      <c r="G100" s="260"/>
      <c r="H100" s="260"/>
      <c r="I100" s="260"/>
      <c r="J100" s="260"/>
      <c r="K100" s="260"/>
      <c r="L100" s="260"/>
      <c r="M100" s="259"/>
      <c r="N100" s="778">
        <f t="shared" si="15"/>
        <v>6030108</v>
      </c>
      <c r="O100" s="583">
        <f t="shared" si="16"/>
        <v>0.12076104400644594</v>
      </c>
    </row>
    <row r="101" spans="1:15">
      <c r="A101" s="259" t="s">
        <v>105</v>
      </c>
      <c r="B101" s="260">
        <v>73110</v>
      </c>
      <c r="C101" s="260">
        <v>87700</v>
      </c>
      <c r="D101" s="260">
        <v>119850</v>
      </c>
      <c r="E101" s="260">
        <v>120063</v>
      </c>
      <c r="F101" s="260">
        <v>106070</v>
      </c>
      <c r="G101" s="260"/>
      <c r="H101" s="260"/>
      <c r="I101" s="260"/>
      <c r="J101" s="260"/>
      <c r="K101" s="260"/>
      <c r="L101" s="260"/>
      <c r="M101" s="259"/>
      <c r="N101" s="778">
        <f t="shared" si="15"/>
        <v>506793</v>
      </c>
      <c r="O101" s="583">
        <f t="shared" si="16"/>
        <v>0.15982881500771526</v>
      </c>
    </row>
    <row r="102" spans="1:15">
      <c r="A102" s="259" t="s">
        <v>58</v>
      </c>
      <c r="B102" s="260">
        <v>917981</v>
      </c>
      <c r="C102" s="260">
        <v>744638</v>
      </c>
      <c r="D102" s="260">
        <v>1226864</v>
      </c>
      <c r="E102" s="260">
        <v>1342688</v>
      </c>
      <c r="F102" s="260">
        <v>975567</v>
      </c>
      <c r="G102" s="260"/>
      <c r="H102" s="260"/>
      <c r="I102" s="260"/>
      <c r="J102" s="260"/>
      <c r="K102" s="260"/>
      <c r="L102" s="260"/>
      <c r="M102" s="259"/>
      <c r="N102" s="778">
        <f t="shared" si="15"/>
        <v>5207738</v>
      </c>
      <c r="O102" s="583">
        <f t="shared" si="16"/>
        <v>1.3432615907410786E-2</v>
      </c>
    </row>
    <row r="103" spans="1:15">
      <c r="A103" s="880" t="s">
        <v>107</v>
      </c>
      <c r="B103" s="881">
        <f>B87+B95</f>
        <v>12530346</v>
      </c>
      <c r="C103" s="881">
        <f>C87+C95</f>
        <v>10413069</v>
      </c>
      <c r="D103" s="881">
        <f>D87+D95</f>
        <v>14908347</v>
      </c>
      <c r="E103" s="881">
        <f>E87+E95</f>
        <v>16161382</v>
      </c>
      <c r="F103" s="881">
        <f t="shared" ref="F103:L103" si="17">F87+F95</f>
        <v>16016239</v>
      </c>
      <c r="G103" s="881">
        <f t="shared" si="17"/>
        <v>0</v>
      </c>
      <c r="H103" s="881">
        <f t="shared" si="17"/>
        <v>0</v>
      </c>
      <c r="I103" s="881">
        <f t="shared" si="17"/>
        <v>0</v>
      </c>
      <c r="J103" s="881">
        <f t="shared" si="17"/>
        <v>0</v>
      </c>
      <c r="K103" s="881">
        <f t="shared" si="17"/>
        <v>0</v>
      </c>
      <c r="L103" s="881">
        <f t="shared" si="17"/>
        <v>0</v>
      </c>
      <c r="M103" s="255"/>
      <c r="N103" s="892">
        <f t="shared" si="15"/>
        <v>70029383</v>
      </c>
      <c r="O103" s="259"/>
    </row>
    <row r="104" spans="1:15">
      <c r="H104" s="105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05"/>
  <sheetViews>
    <sheetView workbookViewId="0"/>
  </sheetViews>
  <sheetFormatPr defaultColWidth="9" defaultRowHeight="14.4"/>
  <sheetData>
    <row r="1" spans="1:17" ht="15.6">
      <c r="A1" s="1" t="s">
        <v>137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51"/>
      <c r="Q1" s="221"/>
    </row>
    <row r="2" spans="1:1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52"/>
      <c r="N2" s="152"/>
      <c r="O2" s="152"/>
      <c r="P2" s="2"/>
    </row>
    <row r="3" spans="1:17" ht="41.4">
      <c r="A3" s="797" t="s">
        <v>1</v>
      </c>
      <c r="B3" s="798" t="s">
        <v>2</v>
      </c>
      <c r="C3" s="912" t="s">
        <v>138</v>
      </c>
      <c r="D3" s="913" t="s">
        <v>139</v>
      </c>
      <c r="E3" s="914" t="s">
        <v>140</v>
      </c>
      <c r="F3" s="915"/>
      <c r="G3" s="915"/>
      <c r="H3" s="915"/>
      <c r="I3" s="915"/>
      <c r="J3" s="915"/>
      <c r="K3" s="915"/>
      <c r="L3" s="915"/>
      <c r="M3" s="915"/>
      <c r="N3" s="975"/>
      <c r="O3" s="153" t="s">
        <v>141</v>
      </c>
      <c r="P3" s="707"/>
    </row>
    <row r="4" spans="1:17" ht="27.6">
      <c r="A4" s="802"/>
      <c r="B4" s="803"/>
      <c r="C4" s="916"/>
      <c r="D4" s="917"/>
      <c r="E4" s="918" t="s">
        <v>7</v>
      </c>
      <c r="F4" s="919" t="s">
        <v>8</v>
      </c>
      <c r="G4" s="919" t="s">
        <v>9</v>
      </c>
      <c r="H4" s="919" t="s">
        <v>10</v>
      </c>
      <c r="I4" s="919" t="s">
        <v>11</v>
      </c>
      <c r="J4" s="976" t="s">
        <v>12</v>
      </c>
      <c r="K4" s="977" t="s">
        <v>13</v>
      </c>
      <c r="L4" s="977" t="s">
        <v>14</v>
      </c>
      <c r="M4" s="978" t="s">
        <v>15</v>
      </c>
      <c r="N4" s="979" t="s">
        <v>16</v>
      </c>
      <c r="O4" s="159"/>
      <c r="P4" s="707"/>
    </row>
    <row r="5" spans="1:17" ht="15.6">
      <c r="A5" s="599"/>
      <c r="B5" s="600"/>
      <c r="C5" s="600"/>
      <c r="D5" s="920"/>
      <c r="E5" s="921"/>
      <c r="F5" s="922"/>
      <c r="G5" s="922"/>
      <c r="H5" s="922"/>
      <c r="I5" s="922"/>
      <c r="J5" s="980"/>
      <c r="K5" s="981"/>
      <c r="L5" s="982"/>
      <c r="M5" s="983"/>
      <c r="N5" s="984"/>
      <c r="O5" s="715"/>
      <c r="P5" s="707"/>
    </row>
    <row r="6" spans="1:17" ht="15">
      <c r="A6" s="13" t="s">
        <v>17</v>
      </c>
      <c r="B6" s="14">
        <f>SUM(B8:B17)</f>
        <v>4976683</v>
      </c>
      <c r="C6" s="14">
        <f>SUM(C8:C17)</f>
        <v>2411795</v>
      </c>
      <c r="D6" s="923">
        <f>SUM(D9:D17)</f>
        <v>2395860</v>
      </c>
      <c r="E6" s="924">
        <f t="shared" ref="E6:N6" si="0">SUM(E8:E17)</f>
        <v>414110</v>
      </c>
      <c r="F6" s="94">
        <f t="shared" si="0"/>
        <v>186722</v>
      </c>
      <c r="G6" s="94">
        <f t="shared" si="0"/>
        <v>172712</v>
      </c>
      <c r="H6" s="94">
        <f t="shared" si="0"/>
        <v>21617</v>
      </c>
      <c r="I6" s="94">
        <f t="shared" si="0"/>
        <v>18050</v>
      </c>
      <c r="J6" s="985">
        <f t="shared" si="0"/>
        <v>1044</v>
      </c>
      <c r="K6" s="387">
        <f t="shared" si="0"/>
        <v>51861</v>
      </c>
      <c r="L6" s="387">
        <f t="shared" si="0"/>
        <v>27931</v>
      </c>
      <c r="M6" s="387">
        <f t="shared" si="0"/>
        <v>2493</v>
      </c>
      <c r="N6" s="986">
        <f t="shared" si="0"/>
        <v>1834</v>
      </c>
      <c r="O6" s="842">
        <f>+D6/C6</f>
        <v>0.99339288786982305</v>
      </c>
      <c r="P6" s="717"/>
    </row>
    <row r="7" spans="1:17" ht="15">
      <c r="A7" s="609" t="s">
        <v>18</v>
      </c>
      <c r="B7" s="618"/>
      <c r="C7" s="618"/>
      <c r="D7" s="662"/>
      <c r="E7" s="620">
        <f>SUM(F7:J7)</f>
        <v>0</v>
      </c>
      <c r="F7" s="664"/>
      <c r="G7" s="664"/>
      <c r="H7" s="664"/>
      <c r="I7" s="664"/>
      <c r="J7" s="987"/>
      <c r="K7" s="988"/>
      <c r="L7" s="988"/>
      <c r="M7" s="988"/>
      <c r="N7" s="989"/>
      <c r="O7" s="903"/>
      <c r="P7" s="717"/>
    </row>
    <row r="8" spans="1:17">
      <c r="A8" s="609" t="s">
        <v>19</v>
      </c>
      <c r="B8" s="618"/>
      <c r="C8" s="618"/>
      <c r="D8" s="662"/>
      <c r="E8" s="620">
        <f>SUM(F8:J8)</f>
        <v>0</v>
      </c>
      <c r="F8" s="104"/>
      <c r="G8" s="104"/>
      <c r="H8" s="104"/>
      <c r="I8" s="104"/>
      <c r="J8" s="990"/>
      <c r="K8" s="298"/>
      <c r="L8" s="298"/>
      <c r="M8" s="298"/>
      <c r="N8" s="74"/>
      <c r="O8" s="903"/>
      <c r="P8" s="170"/>
    </row>
    <row r="9" spans="1:17">
      <c r="A9" s="609" t="s">
        <v>20</v>
      </c>
      <c r="B9" s="618">
        <f>108077+85467+113186+113042+116756+109995+110509+101300+92745+107226+101895+113016</f>
        <v>1273214</v>
      </c>
      <c r="C9" s="618">
        <v>646523</v>
      </c>
      <c r="D9" s="662">
        <f>195272+119565+111251+124577+111240</f>
        <v>661905</v>
      </c>
      <c r="E9" s="620">
        <f t="shared" ref="E9:E15" si="1">SUM(F9:J9)</f>
        <v>111240</v>
      </c>
      <c r="F9" s="104">
        <v>41970</v>
      </c>
      <c r="G9" s="104">
        <v>39133</v>
      </c>
      <c r="H9" s="104">
        <v>16440</v>
      </c>
      <c r="I9" s="104">
        <v>13697</v>
      </c>
      <c r="J9" s="987"/>
      <c r="K9" s="988"/>
      <c r="L9" s="988"/>
      <c r="M9" s="298"/>
      <c r="N9" s="74"/>
      <c r="O9" s="849">
        <f>+D9/C9</f>
        <v>1.0237918836607514</v>
      </c>
      <c r="P9" s="172"/>
      <c r="Q9" s="222"/>
    </row>
    <row r="10" spans="1:17">
      <c r="A10" s="609" t="s">
        <v>21</v>
      </c>
      <c r="B10" s="618">
        <f>148719+103732+138638+114388+149772+144287+154524+162231+134683+114242+101779+138292</f>
        <v>1605287</v>
      </c>
      <c r="C10" s="618">
        <v>799536</v>
      </c>
      <c r="D10" s="619">
        <f>131015+78250+105874+111968+99207+123596</f>
        <v>649910</v>
      </c>
      <c r="E10" s="620">
        <f t="shared" si="1"/>
        <v>123596</v>
      </c>
      <c r="F10" s="33">
        <v>61574</v>
      </c>
      <c r="G10" s="33">
        <v>60978</v>
      </c>
      <c r="H10" s="621"/>
      <c r="I10" s="621"/>
      <c r="J10" s="991">
        <v>1044</v>
      </c>
      <c r="K10" s="460">
        <f>4753+7020+148</f>
        <v>11921</v>
      </c>
      <c r="L10" s="460">
        <f>2599+586</f>
        <v>3185</v>
      </c>
      <c r="M10" s="460"/>
      <c r="N10" s="74">
        <v>1007</v>
      </c>
      <c r="O10" s="849">
        <f>+D10/C10</f>
        <v>0.81285895819575349</v>
      </c>
      <c r="P10" s="172"/>
      <c r="Q10" s="222"/>
    </row>
    <row r="11" spans="1:17">
      <c r="A11" s="609" t="s">
        <v>22</v>
      </c>
      <c r="B11" s="618"/>
      <c r="C11" s="618">
        <v>0</v>
      </c>
      <c r="D11" s="619"/>
      <c r="E11" s="620"/>
      <c r="F11" s="104"/>
      <c r="G11" s="104"/>
      <c r="H11" s="104"/>
      <c r="I11" s="104"/>
      <c r="J11" s="990"/>
      <c r="K11" s="298"/>
      <c r="L11" s="298"/>
      <c r="M11" s="298"/>
      <c r="N11" s="74"/>
      <c r="O11" s="849"/>
      <c r="P11" s="170"/>
      <c r="Q11" s="222"/>
    </row>
    <row r="12" spans="1:17">
      <c r="A12" s="609" t="s">
        <v>23</v>
      </c>
      <c r="B12" s="618">
        <f>39231+38035+45839+55212+55252+51874+53719+51193+43893+46338+47055+45738</f>
        <v>573379</v>
      </c>
      <c r="C12" s="618">
        <v>285445</v>
      </c>
      <c r="D12" s="619">
        <f>74332+41587+36538+49878+32546</f>
        <v>234881</v>
      </c>
      <c r="E12" s="620">
        <f t="shared" si="1"/>
        <v>32546</v>
      </c>
      <c r="F12" s="104">
        <v>14525</v>
      </c>
      <c r="G12" s="104">
        <v>13337</v>
      </c>
      <c r="H12" s="104">
        <v>2941</v>
      </c>
      <c r="I12" s="104">
        <v>1743</v>
      </c>
      <c r="J12" s="990"/>
      <c r="K12" s="298">
        <f>4149+1626+454+678</f>
        <v>6907</v>
      </c>
      <c r="L12" s="298">
        <f>118+2123+653+25</f>
        <v>2919</v>
      </c>
      <c r="M12" s="298"/>
      <c r="N12" s="74"/>
      <c r="O12" s="849">
        <f>+D12/C12</f>
        <v>0.82285904464958226</v>
      </c>
      <c r="P12" s="172"/>
      <c r="Q12" s="222"/>
    </row>
    <row r="13" spans="1:17">
      <c r="A13" s="623" t="s">
        <v>24</v>
      </c>
      <c r="B13" s="618">
        <v>0</v>
      </c>
      <c r="C13" s="618"/>
      <c r="D13" s="619"/>
      <c r="E13" s="620"/>
      <c r="F13" s="104"/>
      <c r="G13" s="104"/>
      <c r="H13" s="104"/>
      <c r="I13" s="104"/>
      <c r="J13" s="990"/>
      <c r="K13" s="298"/>
      <c r="L13" s="298"/>
      <c r="M13" s="298"/>
      <c r="N13" s="74"/>
      <c r="O13" s="849"/>
      <c r="P13" s="170"/>
      <c r="Q13" s="222"/>
    </row>
    <row r="14" spans="1:17">
      <c r="A14" s="68" t="s">
        <v>25</v>
      </c>
      <c r="B14" s="618">
        <f>107401+71667+97692+112321+100543+91682+100061+119410+112186+136804+148168+145637</f>
        <v>1343572</v>
      </c>
      <c r="C14" s="618">
        <v>581306</v>
      </c>
      <c r="D14" s="662">
        <f>230133+126813+134655+119860+132763</f>
        <v>744224</v>
      </c>
      <c r="E14" s="620">
        <f t="shared" si="1"/>
        <v>132763</v>
      </c>
      <c r="F14" s="36">
        <v>68653</v>
      </c>
      <c r="G14" s="36">
        <v>59264</v>
      </c>
      <c r="H14" s="36">
        <v>2236</v>
      </c>
      <c r="I14" s="36">
        <v>2610</v>
      </c>
      <c r="J14" s="992"/>
      <c r="K14" s="300">
        <v>33033</v>
      </c>
      <c r="L14" s="300">
        <f>8183+13237+387+20</f>
        <v>21827</v>
      </c>
      <c r="M14" s="300">
        <v>2493</v>
      </c>
      <c r="N14" s="83">
        <v>827</v>
      </c>
      <c r="O14" s="849">
        <f>+D14/C14</f>
        <v>1.2802620306688732</v>
      </c>
      <c r="P14" s="172"/>
      <c r="Q14" s="222"/>
    </row>
    <row r="15" spans="1:17">
      <c r="A15" s="623" t="s">
        <v>26</v>
      </c>
      <c r="B15" s="618">
        <f>5818+3471+4879+3146+1868+3203+3535+2520+3649+3073+2995+3507</f>
        <v>41664</v>
      </c>
      <c r="C15" s="618">
        <v>22385</v>
      </c>
      <c r="D15" s="662">
        <f>19932</f>
        <v>19932</v>
      </c>
      <c r="E15" s="620">
        <f t="shared" si="1"/>
        <v>0</v>
      </c>
      <c r="F15" s="104"/>
      <c r="G15" s="104"/>
      <c r="H15" s="104"/>
      <c r="I15" s="104"/>
      <c r="J15" s="990"/>
      <c r="K15" s="993"/>
      <c r="L15" s="298"/>
      <c r="M15" s="298"/>
      <c r="N15" s="74"/>
      <c r="O15" s="849">
        <f>+D15/C15</f>
        <v>0.89041769041769037</v>
      </c>
      <c r="P15" s="170"/>
      <c r="Q15" s="222"/>
    </row>
    <row r="16" spans="1:17">
      <c r="A16" s="609" t="s">
        <v>27</v>
      </c>
      <c r="B16" s="618">
        <f>528</f>
        <v>528</v>
      </c>
      <c r="C16" s="618">
        <v>528</v>
      </c>
      <c r="D16" s="662">
        <v>0</v>
      </c>
      <c r="E16" s="620">
        <v>0</v>
      </c>
      <c r="F16" s="104"/>
      <c r="G16" s="104"/>
      <c r="H16" s="104"/>
      <c r="I16" s="104"/>
      <c r="J16" s="990"/>
      <c r="K16" s="988"/>
      <c r="L16" s="303"/>
      <c r="M16" s="298"/>
      <c r="N16" s="74"/>
      <c r="O16" s="849">
        <f>+D16/C16</f>
        <v>0</v>
      </c>
      <c r="P16" s="178"/>
      <c r="Q16" s="222"/>
    </row>
    <row r="17" spans="1:17">
      <c r="A17" s="625" t="s">
        <v>28</v>
      </c>
      <c r="B17" s="626">
        <f>127397+11642</f>
        <v>139039</v>
      </c>
      <c r="C17" s="627">
        <v>76072</v>
      </c>
      <c r="D17" s="628">
        <f>19907+16036+17100+18000+13965</f>
        <v>85008</v>
      </c>
      <c r="E17" s="925">
        <v>13965</v>
      </c>
      <c r="F17" s="926"/>
      <c r="G17" s="926"/>
      <c r="H17" s="926"/>
      <c r="I17" s="926"/>
      <c r="J17" s="994"/>
      <c r="K17" s="995"/>
      <c r="L17" s="995"/>
      <c r="M17" s="995"/>
      <c r="N17" s="996"/>
      <c r="O17" s="997">
        <f>+D17/C17</f>
        <v>1.1174676622147439</v>
      </c>
      <c r="P17" s="182"/>
      <c r="Q17" s="223"/>
    </row>
    <row r="18" spans="1:17" ht="15.6">
      <c r="A18" s="42" t="s">
        <v>29</v>
      </c>
      <c r="B18" s="631">
        <f>534688+54911+55025</f>
        <v>644624</v>
      </c>
      <c r="C18" s="631">
        <v>328596</v>
      </c>
      <c r="D18" s="808">
        <f>196486+59577+56533</f>
        <v>312596</v>
      </c>
      <c r="E18" s="893">
        <v>56533</v>
      </c>
      <c r="F18" s="927"/>
      <c r="G18" s="927"/>
      <c r="H18" s="927"/>
      <c r="I18" s="927"/>
      <c r="J18" s="927"/>
      <c r="K18" s="998"/>
      <c r="L18" s="998"/>
      <c r="M18" s="998"/>
      <c r="N18" s="999"/>
      <c r="O18" s="1000"/>
      <c r="P18" s="727"/>
      <c r="Q18" s="727"/>
    </row>
    <row r="19" spans="1:17" ht="15.6">
      <c r="A19" s="47" t="s">
        <v>30</v>
      </c>
      <c r="B19" s="635">
        <f>228437+18717+26622</f>
        <v>273776</v>
      </c>
      <c r="C19" s="635">
        <v>131932</v>
      </c>
      <c r="D19" s="636">
        <f>65069+22682+21522+19278</f>
        <v>128551</v>
      </c>
      <c r="E19" s="894">
        <v>19278</v>
      </c>
      <c r="F19" s="928"/>
      <c r="G19" s="928"/>
      <c r="H19" s="928"/>
      <c r="I19" s="928"/>
      <c r="J19" s="928"/>
      <c r="K19" s="1001"/>
      <c r="L19" s="1001"/>
      <c r="M19" s="1001"/>
      <c r="N19" s="901"/>
      <c r="O19" s="1002">
        <f>+D19/C19</f>
        <v>0.97437316193190426</v>
      </c>
      <c r="P19" s="729"/>
      <c r="Q19" s="754"/>
    </row>
    <row r="20" spans="1:17" ht="15.6">
      <c r="A20" s="47" t="s">
        <v>31</v>
      </c>
      <c r="B20" s="635">
        <f>76626+5290+8224</f>
        <v>90140</v>
      </c>
      <c r="C20" s="635">
        <v>42548</v>
      </c>
      <c r="D20" s="636">
        <f>5832+4910+7563+4248+5861+4652</f>
        <v>33066</v>
      </c>
      <c r="E20" s="895">
        <v>4652</v>
      </c>
      <c r="F20" s="929"/>
      <c r="G20" s="929"/>
      <c r="H20" s="929"/>
      <c r="I20" s="929"/>
      <c r="J20" s="929"/>
      <c r="K20" s="270"/>
      <c r="L20" s="270"/>
      <c r="M20" s="270"/>
      <c r="N20" s="656"/>
      <c r="O20" s="844"/>
      <c r="P20" s="730"/>
    </row>
    <row r="21" spans="1:17" ht="15.6">
      <c r="A21" s="47" t="s">
        <v>32</v>
      </c>
      <c r="B21" s="635">
        <v>483790</v>
      </c>
      <c r="C21" s="635">
        <v>2258866</v>
      </c>
      <c r="D21" s="636">
        <f>116391+43437+35255+35847</f>
        <v>230930</v>
      </c>
      <c r="E21" s="895">
        <v>35847</v>
      </c>
      <c r="F21" s="929"/>
      <c r="G21" s="929"/>
      <c r="H21" s="929"/>
      <c r="I21" s="929"/>
      <c r="J21" s="929"/>
      <c r="K21" s="270"/>
      <c r="L21" s="270"/>
      <c r="M21" s="270"/>
      <c r="N21" s="656"/>
      <c r="O21" s="844"/>
      <c r="P21" s="730"/>
    </row>
    <row r="22" spans="1:17" ht="15.6">
      <c r="A22" s="47" t="s">
        <v>33</v>
      </c>
      <c r="B22" s="635">
        <f>159887+13631+13177</f>
        <v>186695</v>
      </c>
      <c r="C22" s="635">
        <v>92069</v>
      </c>
      <c r="D22" s="636">
        <f>62510+14297</f>
        <v>76807</v>
      </c>
      <c r="E22" s="895">
        <v>14297</v>
      </c>
      <c r="F22" s="929"/>
      <c r="G22" s="929"/>
      <c r="H22" s="929"/>
      <c r="I22" s="929"/>
      <c r="J22" s="929"/>
      <c r="K22" s="270"/>
      <c r="L22" s="270"/>
      <c r="M22" s="270"/>
      <c r="N22" s="656"/>
      <c r="O22" s="844"/>
      <c r="P22" s="730"/>
    </row>
    <row r="23" spans="1:17" ht="15.6">
      <c r="A23" s="47" t="s">
        <v>34</v>
      </c>
      <c r="B23" s="635">
        <f>199276+27729+38601</f>
        <v>265606</v>
      </c>
      <c r="C23" s="635">
        <v>107739</v>
      </c>
      <c r="D23" s="636">
        <f>78139+19970+30683+27955</f>
        <v>156747</v>
      </c>
      <c r="E23" s="895">
        <v>27955</v>
      </c>
      <c r="F23" s="929"/>
      <c r="G23" s="929"/>
      <c r="H23" s="929"/>
      <c r="I23" s="929"/>
      <c r="J23" s="929"/>
      <c r="K23" s="270"/>
      <c r="L23" s="270"/>
      <c r="M23" s="270"/>
      <c r="N23" s="656"/>
      <c r="O23" s="844"/>
      <c r="P23" s="730"/>
    </row>
    <row r="24" spans="1:17" ht="15.6">
      <c r="A24" s="53" t="s">
        <v>35</v>
      </c>
      <c r="B24" s="640">
        <v>169502</v>
      </c>
      <c r="C24" s="640">
        <v>52627</v>
      </c>
      <c r="D24" s="641">
        <f>66692+16226+6878</f>
        <v>89796</v>
      </c>
      <c r="E24" s="896">
        <v>6878</v>
      </c>
      <c r="F24" s="929"/>
      <c r="G24" s="929"/>
      <c r="H24" s="930"/>
      <c r="I24" s="929"/>
      <c r="J24" s="929"/>
      <c r="K24" s="270"/>
      <c r="L24" s="270"/>
      <c r="M24" s="270"/>
      <c r="N24" s="656"/>
      <c r="O24" s="844"/>
      <c r="P24" s="730"/>
    </row>
    <row r="25" spans="1:17" ht="15.6">
      <c r="A25" s="53" t="s">
        <v>121</v>
      </c>
      <c r="B25" s="931">
        <v>0</v>
      </c>
      <c r="C25" s="931"/>
      <c r="D25" s="641">
        <f>209628+72252</f>
        <v>281880</v>
      </c>
      <c r="E25" s="896">
        <v>72252</v>
      </c>
      <c r="F25" s="932"/>
      <c r="G25" s="932"/>
      <c r="H25" s="932"/>
      <c r="I25" s="932"/>
      <c r="J25" s="932"/>
      <c r="K25" s="941"/>
      <c r="L25" s="941"/>
      <c r="M25" s="941"/>
      <c r="N25" s="1003"/>
      <c r="O25" s="844"/>
      <c r="P25" s="730"/>
    </row>
    <row r="26" spans="1:17" ht="15.6">
      <c r="A26" s="53" t="s">
        <v>135</v>
      </c>
      <c r="B26" s="931">
        <v>0</v>
      </c>
      <c r="C26" s="931"/>
      <c r="D26" s="641">
        <f>16566+16386</f>
        <v>32952</v>
      </c>
      <c r="E26" s="897">
        <v>16386</v>
      </c>
      <c r="F26" s="932"/>
      <c r="G26" s="932"/>
      <c r="H26" s="932"/>
      <c r="I26" s="932"/>
      <c r="J26" s="932"/>
      <c r="K26" s="941"/>
      <c r="L26" s="941"/>
      <c r="M26" s="941"/>
      <c r="N26" s="1003"/>
      <c r="O26" s="844"/>
      <c r="P26" s="730"/>
    </row>
    <row r="27" spans="1:17" ht="15.6">
      <c r="A27" s="47" t="s">
        <v>142</v>
      </c>
      <c r="B27" s="57">
        <f>29509+14652+23209+24242+23009+26529+25218+28150+30612+24870+21148+23890</f>
        <v>295038</v>
      </c>
      <c r="C27" s="57">
        <v>141150</v>
      </c>
      <c r="D27" s="645">
        <f>38233+24856+23222+23965+22242</f>
        <v>132518</v>
      </c>
      <c r="E27" s="933">
        <v>22242</v>
      </c>
      <c r="F27" s="932"/>
      <c r="G27" s="932"/>
      <c r="H27" s="934">
        <v>10591</v>
      </c>
      <c r="I27" s="934">
        <v>11651</v>
      </c>
      <c r="J27" s="934"/>
      <c r="K27" s="1004">
        <f>2907+3088</f>
        <v>5995</v>
      </c>
      <c r="L27" s="1004">
        <f>156+129</f>
        <v>285</v>
      </c>
      <c r="M27" s="1005"/>
      <c r="N27" s="1006"/>
      <c r="O27" s="1007">
        <f>+D27/C27</f>
        <v>0.93884520014169326</v>
      </c>
      <c r="P27" s="730"/>
    </row>
    <row r="28" spans="1:17" ht="15.6">
      <c r="A28" s="259"/>
      <c r="B28" s="816">
        <f>SUM(B18:B27)</f>
        <v>2409171</v>
      </c>
      <c r="C28" s="816">
        <f t="shared" ref="C28:E28" si="2">SUM(C18:C27)</f>
        <v>3155527</v>
      </c>
      <c r="D28" s="935">
        <f t="shared" si="2"/>
        <v>1475843</v>
      </c>
      <c r="E28" s="936">
        <f t="shared" si="2"/>
        <v>276320</v>
      </c>
      <c r="F28" s="937"/>
      <c r="G28" s="937"/>
      <c r="H28" s="938"/>
      <c r="I28" s="938"/>
      <c r="J28" s="938"/>
      <c r="K28" s="1008"/>
      <c r="L28" s="1008"/>
      <c r="M28" s="270"/>
      <c r="N28" s="656"/>
      <c r="O28" s="844"/>
      <c r="P28" s="730"/>
    </row>
    <row r="29" spans="1:17" ht="15.6">
      <c r="A29" s="649"/>
      <c r="B29" s="820"/>
      <c r="C29" s="820"/>
      <c r="D29" s="939"/>
      <c r="E29" s="940"/>
      <c r="F29" s="941"/>
      <c r="G29" s="941"/>
      <c r="H29" s="941"/>
      <c r="I29" s="941"/>
      <c r="J29" s="941"/>
      <c r="K29" s="259"/>
      <c r="L29" s="259"/>
      <c r="M29" s="259"/>
      <c r="N29" s="1009"/>
      <c r="O29" s="849"/>
      <c r="P29" s="730"/>
    </row>
    <row r="30" spans="1:17" ht="15.6">
      <c r="A30" s="13" t="s">
        <v>37</v>
      </c>
      <c r="B30" s="14">
        <f>SUM(B31:B34)</f>
        <v>975868</v>
      </c>
      <c r="C30" s="14">
        <f>SUM(C31:C34)</f>
        <v>476708</v>
      </c>
      <c r="D30" s="923">
        <f>SUM(D31:D34)</f>
        <v>521059</v>
      </c>
      <c r="E30" s="924">
        <f t="shared" ref="E30:N30" si="3">SUM(E31:E34)</f>
        <v>83877</v>
      </c>
      <c r="F30" s="942">
        <f t="shared" si="3"/>
        <v>33464</v>
      </c>
      <c r="G30" s="942">
        <f t="shared" si="3"/>
        <v>33337</v>
      </c>
      <c r="H30" s="942">
        <f t="shared" si="3"/>
        <v>9038</v>
      </c>
      <c r="I30" s="942">
        <f t="shared" si="3"/>
        <v>8038</v>
      </c>
      <c r="J30" s="942"/>
      <c r="K30" s="1010">
        <f t="shared" si="3"/>
        <v>17476</v>
      </c>
      <c r="L30" s="1010">
        <f t="shared" si="3"/>
        <v>13253</v>
      </c>
      <c r="M30" s="1011">
        <f t="shared" si="3"/>
        <v>0</v>
      </c>
      <c r="N30" s="924">
        <f t="shared" si="3"/>
        <v>0</v>
      </c>
      <c r="O30" s="842">
        <f>+D30/C30</f>
        <v>1.0930359884877117</v>
      </c>
      <c r="P30" s="729"/>
    </row>
    <row r="31" spans="1:17" ht="15">
      <c r="A31" s="609" t="s">
        <v>38</v>
      </c>
      <c r="B31" s="656">
        <f>31848+3560+3666</f>
        <v>39074</v>
      </c>
      <c r="C31" s="656">
        <v>18710</v>
      </c>
      <c r="D31" s="943">
        <f>8241+5068+4596+5228+4204</f>
        <v>27337</v>
      </c>
      <c r="E31" s="620">
        <f t="shared" ref="E31:E33" si="4">SUM(F31:J31)</f>
        <v>4204</v>
      </c>
      <c r="F31" s="104"/>
      <c r="G31" s="104"/>
      <c r="H31" s="104">
        <v>1839</v>
      </c>
      <c r="I31" s="104">
        <v>2365</v>
      </c>
      <c r="J31" s="664"/>
      <c r="K31" s="298">
        <f>670+1117</f>
        <v>1787</v>
      </c>
      <c r="L31" s="298">
        <f>271+58</f>
        <v>329</v>
      </c>
      <c r="M31" s="270"/>
      <c r="N31" s="656"/>
      <c r="O31" s="849">
        <f>+D31/C31</f>
        <v>1.4610903260288615</v>
      </c>
      <c r="P31" s="733"/>
    </row>
    <row r="32" spans="1:17" ht="15.6">
      <c r="A32" s="87" t="s">
        <v>39</v>
      </c>
      <c r="B32" s="656">
        <f>64505+48073+62185+62452+59765+64280+67096+71165+61780+66528+63320+71042</f>
        <v>762191</v>
      </c>
      <c r="C32" s="656">
        <v>361260</v>
      </c>
      <c r="D32" s="668">
        <f>122864+65834+68474+77377+68757</f>
        <v>403306</v>
      </c>
      <c r="E32" s="620">
        <f t="shared" si="4"/>
        <v>68757</v>
      </c>
      <c r="F32" s="22">
        <v>29064</v>
      </c>
      <c r="G32" s="22">
        <v>27710</v>
      </c>
      <c r="H32" s="22">
        <v>6532</v>
      </c>
      <c r="I32" s="22">
        <v>5451</v>
      </c>
      <c r="J32" s="612"/>
      <c r="K32" s="467">
        <v>14137</v>
      </c>
      <c r="L32" s="467">
        <f>4031+3437+1266+3236</f>
        <v>11970</v>
      </c>
      <c r="M32" s="1012"/>
      <c r="N32" s="1013"/>
      <c r="O32" s="849">
        <f>+D32/C32</f>
        <v>1.1163870896307369</v>
      </c>
      <c r="P32" s="707"/>
    </row>
    <row r="33" spans="1:16" ht="15.6">
      <c r="A33" s="87" t="s">
        <v>40</v>
      </c>
      <c r="B33" s="659">
        <f>22490+11900+19473+16591+12914+13370+11563+9278+10032+11317+15030+20645</f>
        <v>174603</v>
      </c>
      <c r="C33" s="659">
        <v>96738</v>
      </c>
      <c r="D33" s="660">
        <f>35860+15843+15535+12262+10916</f>
        <v>90416</v>
      </c>
      <c r="E33" s="620">
        <f t="shared" si="4"/>
        <v>10916</v>
      </c>
      <c r="F33" s="22">
        <v>4400</v>
      </c>
      <c r="G33" s="22">
        <v>5627</v>
      </c>
      <c r="H33" s="22">
        <v>667</v>
      </c>
      <c r="I33" s="22">
        <v>222</v>
      </c>
      <c r="J33" s="664"/>
      <c r="K33" s="467">
        <f>162+1256+108+26</f>
        <v>1552</v>
      </c>
      <c r="L33" s="467">
        <f>806+1+21+126</f>
        <v>954</v>
      </c>
      <c r="M33" s="270"/>
      <c r="N33" s="656"/>
      <c r="O33" s="849">
        <f>+D33/C33</f>
        <v>0.93464822510285517</v>
      </c>
      <c r="P33" s="707"/>
    </row>
    <row r="34" spans="1:16" ht="15.6">
      <c r="A34" s="87" t="s">
        <v>41</v>
      </c>
      <c r="B34" s="618"/>
      <c r="C34" s="618">
        <v>0</v>
      </c>
      <c r="D34" s="662"/>
      <c r="E34" s="620"/>
      <c r="F34" s="104"/>
      <c r="G34" s="104"/>
      <c r="H34" s="104"/>
      <c r="I34" s="104"/>
      <c r="J34" s="104"/>
      <c r="K34" s="298"/>
      <c r="L34" s="298"/>
      <c r="M34" s="270"/>
      <c r="N34" s="656"/>
      <c r="O34" s="849"/>
      <c r="P34" s="707"/>
    </row>
    <row r="35" spans="1:16" ht="15.6">
      <c r="A35" s="87"/>
      <c r="B35" s="88"/>
      <c r="C35" s="88"/>
      <c r="D35" s="944"/>
      <c r="E35" s="945"/>
      <c r="F35" s="119"/>
      <c r="G35" s="119"/>
      <c r="H35" s="119"/>
      <c r="I35" s="119"/>
      <c r="J35" s="119"/>
      <c r="K35" s="1014"/>
      <c r="L35" s="1014"/>
      <c r="M35" s="1015"/>
      <c r="N35" s="1016"/>
      <c r="O35" s="849"/>
      <c r="P35" s="707"/>
    </row>
    <row r="36" spans="1:16" ht="15.6">
      <c r="A36" s="13" t="s">
        <v>42</v>
      </c>
      <c r="B36" s="14">
        <f t="shared" ref="B36:N36" si="5">SUM(B37:B47)</f>
        <v>8566129</v>
      </c>
      <c r="C36" s="14">
        <f t="shared" si="5"/>
        <v>4140096</v>
      </c>
      <c r="D36" s="923">
        <f t="shared" si="5"/>
        <v>4486709</v>
      </c>
      <c r="E36" s="924">
        <f t="shared" si="5"/>
        <v>807699</v>
      </c>
      <c r="F36" s="94">
        <f t="shared" si="5"/>
        <v>309543</v>
      </c>
      <c r="G36" s="94">
        <f t="shared" si="5"/>
        <v>241811</v>
      </c>
      <c r="H36" s="94">
        <f t="shared" si="5"/>
        <v>73531</v>
      </c>
      <c r="I36" s="94">
        <f t="shared" si="5"/>
        <v>157445</v>
      </c>
      <c r="J36" s="94">
        <f t="shared" si="5"/>
        <v>160</v>
      </c>
      <c r="K36" s="1017">
        <f t="shared" si="5"/>
        <v>159755</v>
      </c>
      <c r="L36" s="1017">
        <f t="shared" si="5"/>
        <v>45898</v>
      </c>
      <c r="M36" s="94">
        <f t="shared" si="5"/>
        <v>630</v>
      </c>
      <c r="N36" s="14">
        <f t="shared" si="5"/>
        <v>62411</v>
      </c>
      <c r="O36" s="842">
        <f>+D36/C36</f>
        <v>1.083721005503254</v>
      </c>
      <c r="P36" s="707"/>
    </row>
    <row r="37" spans="1:16" ht="15.6">
      <c r="A37" s="609" t="s">
        <v>43</v>
      </c>
      <c r="B37" s="618">
        <f>176793+71526+59980+65204+71423+79211+71917+76068+84439+81079</f>
        <v>837640</v>
      </c>
      <c r="C37" s="618">
        <v>373503</v>
      </c>
      <c r="D37" s="662">
        <f>141659+76024+81669+80656+83401</f>
        <v>463409</v>
      </c>
      <c r="E37" s="620">
        <f t="shared" ref="E37:E44" si="6">SUM(F37:J37)</f>
        <v>83401</v>
      </c>
      <c r="F37" s="104"/>
      <c r="G37" s="104"/>
      <c r="H37" s="104">
        <v>20671</v>
      </c>
      <c r="I37" s="104">
        <v>62730</v>
      </c>
      <c r="J37" s="104"/>
      <c r="K37" s="1018">
        <v>1819</v>
      </c>
      <c r="L37" s="1018">
        <f>16946+1</f>
        <v>16947</v>
      </c>
      <c r="M37" s="1018"/>
      <c r="N37" s="1019"/>
      <c r="O37" s="849">
        <f>+D37/C37</f>
        <v>1.2407102486459278</v>
      </c>
      <c r="P37" s="707"/>
    </row>
    <row r="38" spans="1:16" ht="15.6">
      <c r="A38" s="609" t="s">
        <v>44</v>
      </c>
      <c r="B38" s="618">
        <f>315296+56739+61665+55007+62647+65661+65065</f>
        <v>682080</v>
      </c>
      <c r="C38" s="618">
        <v>315296</v>
      </c>
      <c r="D38" s="662">
        <f>104618+64282+60352+64355+61155</f>
        <v>354762</v>
      </c>
      <c r="E38" s="620">
        <f t="shared" si="6"/>
        <v>61155</v>
      </c>
      <c r="F38" s="664"/>
      <c r="G38" s="664"/>
      <c r="H38" s="104">
        <v>9637</v>
      </c>
      <c r="I38" s="104">
        <v>51518</v>
      </c>
      <c r="J38" s="104"/>
      <c r="K38" s="497">
        <v>2315</v>
      </c>
      <c r="L38" s="497">
        <f>9339+4</f>
        <v>9343</v>
      </c>
      <c r="M38" s="497"/>
      <c r="N38" s="1020">
        <v>61155</v>
      </c>
      <c r="O38" s="849">
        <f>+D38/C38</f>
        <v>1.1251712676342231</v>
      </c>
      <c r="P38" s="707"/>
    </row>
    <row r="39" spans="1:16" ht="15.6">
      <c r="A39" s="609" t="s">
        <v>128</v>
      </c>
      <c r="B39" s="618">
        <v>0</v>
      </c>
      <c r="C39" s="618">
        <v>0</v>
      </c>
      <c r="D39" s="662">
        <f>10400+25209</f>
        <v>35609</v>
      </c>
      <c r="E39" s="620">
        <v>25209</v>
      </c>
      <c r="F39" s="612"/>
      <c r="G39" s="612"/>
      <c r="H39" s="104"/>
      <c r="I39" s="104"/>
      <c r="J39" s="104"/>
      <c r="K39" s="499"/>
      <c r="L39" s="499"/>
      <c r="M39" s="497"/>
      <c r="N39" s="1020"/>
      <c r="O39" s="849"/>
      <c r="P39" s="736"/>
    </row>
    <row r="40" spans="1:16" ht="15.6">
      <c r="A40" s="87" t="s">
        <v>45</v>
      </c>
      <c r="B40" s="665">
        <f>20214+11681+23581+25619+22301+21824+20127+19528+19926+20275+23052+20682</f>
        <v>248810</v>
      </c>
      <c r="C40" s="665">
        <v>125220</v>
      </c>
      <c r="D40" s="946">
        <f>35539+25020+25012+26281+22284</f>
        <v>134136</v>
      </c>
      <c r="E40" s="620">
        <f>SUM(F40:J40)</f>
        <v>22284</v>
      </c>
      <c r="F40" s="104"/>
      <c r="G40" s="104"/>
      <c r="H40" s="104">
        <v>11344</v>
      </c>
      <c r="I40" s="104">
        <v>10940</v>
      </c>
      <c r="J40" s="102"/>
      <c r="K40" s="1021">
        <f>3036+2145</f>
        <v>5181</v>
      </c>
      <c r="L40" s="497">
        <f>172+723</f>
        <v>895</v>
      </c>
      <c r="M40" s="497">
        <v>370</v>
      </c>
      <c r="N40" s="1020"/>
      <c r="O40" s="849">
        <f>+D40/C40</f>
        <v>1.0712026832774317</v>
      </c>
      <c r="P40" s="707"/>
    </row>
    <row r="41" spans="1:16" ht="15.6">
      <c r="A41" s="87" t="s">
        <v>46</v>
      </c>
      <c r="B41" s="666">
        <f>36191+20920+29070+23929+27875+30427+28473+27605+28149+32945+33352+27283</f>
        <v>346219</v>
      </c>
      <c r="C41" s="666">
        <v>168412</v>
      </c>
      <c r="D41" s="667">
        <f>42541+28883+28001+23533+23137</f>
        <v>146095</v>
      </c>
      <c r="E41" s="620">
        <f>SUM(H41:J41)</f>
        <v>23137</v>
      </c>
      <c r="F41" s="938"/>
      <c r="G41" s="932"/>
      <c r="H41" s="104">
        <v>11705</v>
      </c>
      <c r="I41" s="104">
        <v>11432</v>
      </c>
      <c r="J41" s="664"/>
      <c r="K41" s="298">
        <f>4013+3413</f>
        <v>7426</v>
      </c>
      <c r="L41" s="298">
        <f>76+683</f>
        <v>759</v>
      </c>
      <c r="M41" s="298">
        <v>260</v>
      </c>
      <c r="N41" s="1022"/>
      <c r="O41" s="849">
        <f>+D41/C41</f>
        <v>0.86748568985582974</v>
      </c>
      <c r="P41" s="707"/>
    </row>
    <row r="42" spans="1:16" ht="15.6">
      <c r="A42" s="87" t="s">
        <v>47</v>
      </c>
      <c r="B42" s="666">
        <f>12008+9467+14763+14113+14691+14606+10209+8082+10081+11470+13518+17152</f>
        <v>150160</v>
      </c>
      <c r="C42" s="666">
        <v>79648</v>
      </c>
      <c r="D42" s="667">
        <f>35287+23392+31491+27296+34444</f>
        <v>151910</v>
      </c>
      <c r="E42" s="620">
        <f>SUM(F42:J42)</f>
        <v>34444</v>
      </c>
      <c r="F42" s="104">
        <v>14908</v>
      </c>
      <c r="G42" s="104">
        <v>19376</v>
      </c>
      <c r="H42" s="104"/>
      <c r="I42" s="104"/>
      <c r="J42" s="104">
        <v>160</v>
      </c>
      <c r="K42" s="298">
        <f>4174+3911+96</f>
        <v>8181</v>
      </c>
      <c r="L42" s="298">
        <f>60+1096+60</f>
        <v>1216</v>
      </c>
      <c r="M42" s="497"/>
      <c r="N42" s="1020">
        <v>123</v>
      </c>
      <c r="O42" s="849">
        <f>+D42/C42</f>
        <v>1.9072669746886299</v>
      </c>
      <c r="P42" s="707"/>
    </row>
    <row r="43" spans="1:16" ht="15.6">
      <c r="A43" s="87" t="s">
        <v>48</v>
      </c>
      <c r="B43" s="666">
        <f>492323+373517+489518+501319+498148+483300+509517+496996+483525+491240+487179+505109</f>
        <v>5811691</v>
      </c>
      <c r="C43" s="666">
        <v>2838125</v>
      </c>
      <c r="D43" s="667">
        <f>890002+542749+505450+501865+511958</f>
        <v>2952024</v>
      </c>
      <c r="E43" s="620">
        <f t="shared" si="6"/>
        <v>511958</v>
      </c>
      <c r="F43" s="104">
        <v>292866</v>
      </c>
      <c r="G43" s="104">
        <v>219092</v>
      </c>
      <c r="H43" s="104"/>
      <c r="I43" s="664"/>
      <c r="J43" s="104"/>
      <c r="K43" s="467">
        <f>77954+56591</f>
        <v>134545</v>
      </c>
      <c r="L43" s="467">
        <f>3384+13243</f>
        <v>16627</v>
      </c>
      <c r="M43" s="497"/>
      <c r="N43" s="1020"/>
      <c r="O43" s="849">
        <f>+D43/C43</f>
        <v>1.0401317771415988</v>
      </c>
      <c r="P43" s="707"/>
    </row>
    <row r="44" spans="1:16" ht="15.6">
      <c r="A44" s="87" t="s">
        <v>49</v>
      </c>
      <c r="B44" s="666">
        <f>41444+27037+39698+37856+42480+38521+41958+41846+36877+41203+36023+42811</f>
        <v>467754</v>
      </c>
      <c r="C44" s="666">
        <v>227036</v>
      </c>
      <c r="D44" s="667">
        <f>72994+40474+40234+42273+44855</f>
        <v>240830</v>
      </c>
      <c r="E44" s="620">
        <f t="shared" si="6"/>
        <v>44855</v>
      </c>
      <c r="F44" s="102">
        <v>1420</v>
      </c>
      <c r="G44" s="102">
        <v>2436</v>
      </c>
      <c r="H44" s="102">
        <v>20174</v>
      </c>
      <c r="I44" s="102">
        <v>20825</v>
      </c>
      <c r="J44" s="104"/>
      <c r="K44" s="497"/>
      <c r="L44" s="497"/>
      <c r="M44" s="497"/>
      <c r="N44" s="1020"/>
      <c r="O44" s="849">
        <f>+D44/C44</f>
        <v>1.0607568843707607</v>
      </c>
      <c r="P44" s="707"/>
    </row>
    <row r="45" spans="1:16" ht="15.6">
      <c r="A45" s="87" t="s">
        <v>50</v>
      </c>
      <c r="B45" s="656"/>
      <c r="C45" s="656">
        <v>0</v>
      </c>
      <c r="D45" s="668"/>
      <c r="E45" s="620"/>
      <c r="F45" s="104"/>
      <c r="G45" s="104"/>
      <c r="H45" s="104"/>
      <c r="I45" s="104"/>
      <c r="J45" s="104"/>
      <c r="K45" s="497"/>
      <c r="L45" s="497"/>
      <c r="M45" s="497"/>
      <c r="N45" s="1020"/>
      <c r="O45" s="849"/>
      <c r="P45" s="736"/>
    </row>
    <row r="46" spans="1:16" ht="15.6">
      <c r="A46" s="87" t="s">
        <v>51</v>
      </c>
      <c r="B46" s="669">
        <f>1591+185+300+228+282+250+254+222+245+289+277+286</f>
        <v>4409</v>
      </c>
      <c r="C46" s="669">
        <v>2836</v>
      </c>
      <c r="D46" s="670">
        <f>571+277+257+232+206</f>
        <v>1543</v>
      </c>
      <c r="E46" s="620">
        <f>SUM(F46:J46)</f>
        <v>206</v>
      </c>
      <c r="F46" s="104">
        <v>105</v>
      </c>
      <c r="G46" s="104">
        <v>101</v>
      </c>
      <c r="H46" s="104"/>
      <c r="I46" s="104"/>
      <c r="J46" s="104"/>
      <c r="K46" s="497">
        <v>206</v>
      </c>
      <c r="L46" s="497">
        <f>105</f>
        <v>105</v>
      </c>
      <c r="M46" s="497"/>
      <c r="N46" s="1020">
        <v>83</v>
      </c>
      <c r="O46" s="849">
        <f>+D46/C46</f>
        <v>0.54407616361071931</v>
      </c>
      <c r="P46" s="707"/>
    </row>
    <row r="47" spans="1:16" ht="15.6">
      <c r="A47" s="671" t="s">
        <v>52</v>
      </c>
      <c r="B47" s="672">
        <f>5554+2707+1759+1797+950+1036+1570+888+1105</f>
        <v>17366</v>
      </c>
      <c r="C47" s="672">
        <v>10020</v>
      </c>
      <c r="D47" s="947">
        <f>2295+1345+583+1118+1050</f>
        <v>6391</v>
      </c>
      <c r="E47" s="925">
        <f>SUM(F47:F47:J47)</f>
        <v>1050</v>
      </c>
      <c r="F47" s="948">
        <v>244</v>
      </c>
      <c r="G47" s="948">
        <v>806</v>
      </c>
      <c r="H47" s="948"/>
      <c r="I47" s="948"/>
      <c r="J47" s="1023"/>
      <c r="K47" s="1024">
        <f>26+56</f>
        <v>82</v>
      </c>
      <c r="L47" s="1025">
        <f>4+2</f>
        <v>6</v>
      </c>
      <c r="M47" s="1025"/>
      <c r="N47" s="1026">
        <v>1050</v>
      </c>
      <c r="O47" s="997">
        <f>+D47/C47</f>
        <v>0.63782435129740522</v>
      </c>
      <c r="P47" s="707"/>
    </row>
    <row r="48" spans="1:16" ht="15.6">
      <c r="A48" s="112" t="s">
        <v>53</v>
      </c>
      <c r="B48" s="949">
        <f>43919+38655+49389+49920+41452+46211+54147+61115+45816+53985+53251+54204</f>
        <v>592064</v>
      </c>
      <c r="C48" s="949">
        <v>269546</v>
      </c>
      <c r="D48" s="950">
        <f>46498+25145+53554+45477+47222+51070</f>
        <v>268966</v>
      </c>
      <c r="E48" s="951">
        <f>SUM(F48:J48)</f>
        <v>51070</v>
      </c>
      <c r="F48" s="952">
        <v>28319</v>
      </c>
      <c r="G48" s="952">
        <v>21750</v>
      </c>
      <c r="H48" s="952"/>
      <c r="I48" s="1027"/>
      <c r="J48" s="952">
        <v>1001</v>
      </c>
      <c r="K48" s="1028">
        <f>4903+5223+47</f>
        <v>10173</v>
      </c>
      <c r="L48" s="1028">
        <f>500+135+29</f>
        <v>664</v>
      </c>
      <c r="M48" s="1029"/>
      <c r="N48" s="1030">
        <v>2004</v>
      </c>
      <c r="O48" s="1031">
        <f>+D48/C48</f>
        <v>0.99784823369666031</v>
      </c>
      <c r="P48" s="707"/>
    </row>
    <row r="49" spans="1:17" ht="15.6">
      <c r="A49" s="87"/>
      <c r="B49" s="118"/>
      <c r="C49" s="118"/>
      <c r="D49" s="953"/>
      <c r="E49" s="954"/>
      <c r="F49" s="955"/>
      <c r="G49" s="955"/>
      <c r="H49" s="955"/>
      <c r="I49" s="955"/>
      <c r="J49" s="955"/>
      <c r="K49" s="1032"/>
      <c r="L49" s="1032"/>
      <c r="M49" s="1032"/>
      <c r="N49" s="1033"/>
      <c r="O49" s="849"/>
      <c r="P49" s="707"/>
    </row>
    <row r="50" spans="1:17" ht="15.6">
      <c r="A50" s="13" t="s">
        <v>54</v>
      </c>
      <c r="B50" s="14">
        <f t="shared" ref="B50:I50" si="7">SUM(B51:B57)</f>
        <v>4719935</v>
      </c>
      <c r="C50" s="14">
        <f t="shared" si="7"/>
        <v>2167207</v>
      </c>
      <c r="D50" s="923">
        <f t="shared" si="7"/>
        <v>2729001</v>
      </c>
      <c r="E50" s="924">
        <f t="shared" si="7"/>
        <v>477359</v>
      </c>
      <c r="F50" s="14">
        <f t="shared" si="7"/>
        <v>174864</v>
      </c>
      <c r="G50" s="14">
        <f t="shared" si="7"/>
        <v>240232</v>
      </c>
      <c r="H50" s="14">
        <f t="shared" si="7"/>
        <v>4120</v>
      </c>
      <c r="I50" s="14">
        <f t="shared" si="7"/>
        <v>2491</v>
      </c>
      <c r="J50" s="94">
        <f>SUM(J51:J58)</f>
        <v>82323</v>
      </c>
      <c r="K50" s="94">
        <f>SUM(K51:K58)</f>
        <v>38394</v>
      </c>
      <c r="L50" s="94">
        <f>SUM(L51:L58)</f>
        <v>55878</v>
      </c>
      <c r="M50" s="94">
        <f>SUM(M51:M58)</f>
        <v>1966</v>
      </c>
      <c r="N50" s="14">
        <f>SUM(N51:N58)</f>
        <v>76839</v>
      </c>
      <c r="O50" s="842">
        <f>+D50/C50</f>
        <v>1.2592248917616085</v>
      </c>
      <c r="P50" s="707"/>
    </row>
    <row r="51" spans="1:17" ht="15.6">
      <c r="A51" s="87" t="s">
        <v>55</v>
      </c>
      <c r="B51" s="618"/>
      <c r="C51" s="618"/>
      <c r="D51" s="662"/>
      <c r="E51" s="620"/>
      <c r="F51" s="104"/>
      <c r="G51" s="104"/>
      <c r="H51" s="104"/>
      <c r="I51" s="104"/>
      <c r="J51" s="104"/>
      <c r="K51" s="1034"/>
      <c r="L51" s="1034"/>
      <c r="M51" s="1034"/>
      <c r="N51" s="118"/>
      <c r="O51" s="849"/>
      <c r="P51" s="707"/>
    </row>
    <row r="52" spans="1:17" ht="15">
      <c r="A52" s="680" t="s">
        <v>56</v>
      </c>
      <c r="B52" s="656">
        <f>152617+131920+130997+153389+149066+196349+174625+189556+159615+174414+174638+173536</f>
        <v>1960722</v>
      </c>
      <c r="C52" s="956">
        <v>914338</v>
      </c>
      <c r="D52" s="668">
        <f>209453+123222+177525+182527+179497+190574</f>
        <v>1062798</v>
      </c>
      <c r="E52" s="957">
        <f>SUM(F52:J53)</f>
        <v>190574</v>
      </c>
      <c r="F52" s="104">
        <v>69379</v>
      </c>
      <c r="G52" s="104">
        <v>104547</v>
      </c>
      <c r="H52" s="104">
        <v>3660</v>
      </c>
      <c r="I52" s="104">
        <v>1907</v>
      </c>
      <c r="J52" s="104">
        <v>11081</v>
      </c>
      <c r="K52" s="270">
        <f>3213+9141+610+129+475</f>
        <v>13568</v>
      </c>
      <c r="L52" s="270">
        <f>5404+2+110</f>
        <v>5516</v>
      </c>
      <c r="M52" s="270"/>
      <c r="N52" s="1022"/>
      <c r="O52" s="1035">
        <f>+D52/C52</f>
        <v>1.1623688395319893</v>
      </c>
      <c r="P52" s="745"/>
    </row>
    <row r="53" spans="1:17" ht="15">
      <c r="A53" s="682"/>
      <c r="B53" s="656"/>
      <c r="C53" s="958"/>
      <c r="D53" s="668"/>
      <c r="E53" s="959"/>
      <c r="F53" s="104"/>
      <c r="G53" s="104"/>
      <c r="H53" s="104"/>
      <c r="I53" s="104"/>
      <c r="J53" s="104"/>
      <c r="K53" s="270"/>
      <c r="L53" s="270"/>
      <c r="M53" s="270"/>
      <c r="N53" s="1022"/>
      <c r="O53" s="1036"/>
      <c r="P53" s="746"/>
    </row>
    <row r="54" spans="1:17" ht="15.6">
      <c r="A54" s="87" t="s">
        <v>57</v>
      </c>
      <c r="B54" s="684">
        <f>97537+55586+99611+80866+84077+87464+89817+110297+103108+86858+89238+102094</f>
        <v>1086553</v>
      </c>
      <c r="C54" s="684">
        <v>505141</v>
      </c>
      <c r="D54" s="960">
        <f>104773+79448+108729+100750+114908+101767</f>
        <v>610375</v>
      </c>
      <c r="E54" s="620">
        <f t="shared" ref="E54:E58" si="8">SUM(F54:J54)</f>
        <v>101767</v>
      </c>
      <c r="F54" s="961">
        <v>44525</v>
      </c>
      <c r="G54" s="22">
        <v>48487</v>
      </c>
      <c r="H54" s="962"/>
      <c r="I54" s="664"/>
      <c r="J54" s="22">
        <v>8755</v>
      </c>
      <c r="K54" s="51">
        <f>1287+3072+957</f>
        <v>5316</v>
      </c>
      <c r="L54" s="51">
        <f>1848+25+344</f>
        <v>2217</v>
      </c>
      <c r="M54" s="1034"/>
      <c r="N54" s="118"/>
      <c r="O54" s="849">
        <f>+D54/C54</f>
        <v>1.2083259921487268</v>
      </c>
      <c r="P54" s="747"/>
    </row>
    <row r="55" spans="1:17" ht="15.6">
      <c r="A55" s="68" t="s">
        <v>58</v>
      </c>
      <c r="B55" s="669">
        <f>59734+65037+69566+76869+85180+98871+84349+95878+74900+91720+96454+90939</f>
        <v>989497</v>
      </c>
      <c r="C55" s="669">
        <v>455257</v>
      </c>
      <c r="D55" s="670">
        <f>90832+90726+97425+112194+114431+98379</f>
        <v>603987</v>
      </c>
      <c r="E55" s="620">
        <f t="shared" si="8"/>
        <v>98379</v>
      </c>
      <c r="F55" s="104">
        <v>31004</v>
      </c>
      <c r="G55" s="104">
        <v>46584</v>
      </c>
      <c r="H55" s="104"/>
      <c r="I55" s="1037"/>
      <c r="J55" s="104">
        <v>20791</v>
      </c>
      <c r="K55" s="270">
        <v>9707</v>
      </c>
      <c r="L55" s="270">
        <f>11965+1610+7721</f>
        <v>21296</v>
      </c>
      <c r="M55" s="1034"/>
      <c r="N55" s="118"/>
      <c r="O55" s="849">
        <f>+D55/C55</f>
        <v>1.3266945922852367</v>
      </c>
      <c r="P55" s="707"/>
    </row>
    <row r="56" spans="1:17" ht="15.6">
      <c r="A56" s="68" t="s">
        <v>59</v>
      </c>
      <c r="B56" s="669">
        <f>47624+41548+39771+61527+61540+40461+59109+75205+60419+66567+64451+64941</f>
        <v>683163</v>
      </c>
      <c r="C56" s="669">
        <v>292471</v>
      </c>
      <c r="D56" s="670">
        <f>85962+38994+58375+82416+99455+86639</f>
        <v>451841</v>
      </c>
      <c r="E56" s="620">
        <f t="shared" si="8"/>
        <v>86639</v>
      </c>
      <c r="F56" s="104">
        <v>29956</v>
      </c>
      <c r="G56" s="104">
        <v>40614</v>
      </c>
      <c r="H56" s="104">
        <v>460</v>
      </c>
      <c r="I56" s="104">
        <v>584</v>
      </c>
      <c r="J56" s="104">
        <v>15025</v>
      </c>
      <c r="K56" s="199">
        <v>9803</v>
      </c>
      <c r="L56" s="199">
        <f>19546+1588+300+426+4989</f>
        <v>26849</v>
      </c>
      <c r="M56" s="199">
        <v>1966</v>
      </c>
      <c r="N56" s="1020">
        <v>76839</v>
      </c>
      <c r="O56" s="849">
        <f>+D56/C56</f>
        <v>1.5449087259933463</v>
      </c>
      <c r="P56" s="742"/>
    </row>
    <row r="57" spans="1:17" ht="15.6">
      <c r="A57" s="129" t="s">
        <v>113</v>
      </c>
      <c r="B57" s="686"/>
      <c r="C57" s="687"/>
      <c r="D57" s="908"/>
      <c r="E57" s="963"/>
      <c r="F57" s="686"/>
      <c r="G57" s="686"/>
      <c r="H57" s="686"/>
      <c r="I57" s="686"/>
      <c r="J57" s="686"/>
      <c r="K57" s="1038"/>
      <c r="L57" s="1038"/>
      <c r="M57" s="1038"/>
      <c r="N57" s="687"/>
      <c r="O57" s="908"/>
      <c r="P57" s="747"/>
      <c r="Q57" s="755"/>
    </row>
    <row r="58" spans="1:17" ht="15.6">
      <c r="A58" s="831" t="s">
        <v>61</v>
      </c>
      <c r="B58" s="964">
        <v>1755236</v>
      </c>
      <c r="C58" s="964">
        <v>734010</v>
      </c>
      <c r="D58" s="965">
        <v>726148</v>
      </c>
      <c r="E58" s="966">
        <f t="shared" si="8"/>
        <v>172626</v>
      </c>
      <c r="F58" s="967">
        <v>65032</v>
      </c>
      <c r="G58" s="967">
        <v>80923</v>
      </c>
      <c r="H58" s="968"/>
      <c r="I58" s="968"/>
      <c r="J58" s="952">
        <v>26671</v>
      </c>
      <c r="K58" s="1039"/>
      <c r="L58" s="1039"/>
      <c r="M58" s="1039"/>
      <c r="N58" s="1040"/>
      <c r="O58" s="1041">
        <f>+D58/C58</f>
        <v>0.98928897426465578</v>
      </c>
      <c r="P58" s="742"/>
      <c r="Q58" s="265"/>
    </row>
    <row r="59" spans="1:17" ht="15.6">
      <c r="A59" s="68"/>
      <c r="B59" s="693"/>
      <c r="C59" s="693"/>
      <c r="D59" s="694"/>
      <c r="E59" s="945"/>
      <c r="F59" s="696"/>
      <c r="G59" s="696"/>
      <c r="H59" s="260"/>
      <c r="I59" s="1042"/>
      <c r="J59" s="1043"/>
      <c r="K59" s="1034"/>
      <c r="L59" s="1034"/>
      <c r="M59" s="1034"/>
      <c r="N59" s="118"/>
      <c r="O59" s="849"/>
      <c r="P59" s="742"/>
      <c r="Q59" s="265"/>
    </row>
    <row r="60" spans="1:17" ht="15.6">
      <c r="A60" s="140" t="s">
        <v>62</v>
      </c>
      <c r="B60" s="141">
        <f>SUM(B61:B68)</f>
        <v>55955</v>
      </c>
      <c r="C60" s="141">
        <f>SUM(C61:C68)</f>
        <v>26875</v>
      </c>
      <c r="D60" s="969">
        <f>SUM(D61:D68)</f>
        <v>26797</v>
      </c>
      <c r="E60" s="970">
        <f t="shared" ref="E60" si="9">SUM(E61:E68)</f>
        <v>5385</v>
      </c>
      <c r="F60" s="142"/>
      <c r="G60" s="142"/>
      <c r="H60" s="970">
        <f t="shared" ref="H60:N60" si="10">SUM(H61:H68)</f>
        <v>1823</v>
      </c>
      <c r="I60" s="970">
        <f t="shared" si="10"/>
        <v>1825</v>
      </c>
      <c r="J60" s="142"/>
      <c r="K60" s="970">
        <f t="shared" si="10"/>
        <v>2024</v>
      </c>
      <c r="L60" s="970">
        <f t="shared" si="10"/>
        <v>1268</v>
      </c>
      <c r="M60" s="970">
        <f t="shared" si="10"/>
        <v>0</v>
      </c>
      <c r="N60" s="1044">
        <f t="shared" si="10"/>
        <v>2632</v>
      </c>
      <c r="O60" s="842">
        <f>+D60/C60</f>
        <v>0.99709767441860464</v>
      </c>
      <c r="P60" s="707"/>
      <c r="Q60" s="265"/>
    </row>
    <row r="61" spans="1:17" ht="15.6">
      <c r="A61" s="68" t="s">
        <v>122</v>
      </c>
      <c r="B61" s="669">
        <f>335+74+675+1816+624+522+232+273+655+1600+1480+1538</f>
        <v>9824</v>
      </c>
      <c r="C61" s="669">
        <v>4046</v>
      </c>
      <c r="D61" s="762">
        <f>1496+768+675+870+1016</f>
        <v>4825</v>
      </c>
      <c r="E61" s="620">
        <f t="shared" ref="E61:E68" si="11">SUM(F61:J61)</f>
        <v>1016</v>
      </c>
      <c r="F61" s="971"/>
      <c r="G61" s="104"/>
      <c r="H61" s="972">
        <v>561</v>
      </c>
      <c r="I61" s="104">
        <v>455</v>
      </c>
      <c r="J61" s="104"/>
      <c r="K61" s="1034">
        <f>68+71</f>
        <v>139</v>
      </c>
      <c r="L61" s="1034">
        <f>61+0</f>
        <v>61</v>
      </c>
      <c r="M61" s="1034"/>
      <c r="N61" s="118"/>
      <c r="O61" s="849">
        <f>+D61/C61</f>
        <v>1.1925358378645576</v>
      </c>
      <c r="P61" s="707"/>
    </row>
    <row r="62" spans="1:17" ht="15.6">
      <c r="A62" s="68" t="s">
        <v>64</v>
      </c>
      <c r="B62" s="618"/>
      <c r="C62" s="618">
        <v>0</v>
      </c>
      <c r="D62" s="973"/>
      <c r="E62" s="620"/>
      <c r="F62" s="974"/>
      <c r="G62" s="620"/>
      <c r="H62" s="104"/>
      <c r="I62" s="104"/>
      <c r="J62" s="104"/>
      <c r="K62" s="1034"/>
      <c r="L62" s="1034"/>
      <c r="M62" s="1034"/>
      <c r="N62" s="118"/>
      <c r="O62" s="849"/>
      <c r="P62" s="707"/>
    </row>
    <row r="63" spans="1:17" ht="15.6">
      <c r="A63" s="68" t="s">
        <v>65</v>
      </c>
      <c r="B63" s="669">
        <f>1670+1062+1129+1350+1391+1439+1192+1252+1332+1078+1196+1258</f>
        <v>15349</v>
      </c>
      <c r="C63" s="669">
        <v>8041</v>
      </c>
      <c r="D63" s="762">
        <f>1143+584+1068+1170+1018</f>
        <v>4983</v>
      </c>
      <c r="E63" s="620">
        <f t="shared" si="11"/>
        <v>1018</v>
      </c>
      <c r="F63" s="972"/>
      <c r="G63" s="620"/>
      <c r="H63" s="104">
        <v>559</v>
      </c>
      <c r="I63" s="104">
        <v>459</v>
      </c>
      <c r="J63" s="104"/>
      <c r="K63" s="1034">
        <f>183+312</f>
        <v>495</v>
      </c>
      <c r="L63" s="1034">
        <f>304+73</f>
        <v>377</v>
      </c>
      <c r="M63" s="1034"/>
      <c r="N63" s="118">
        <v>1018</v>
      </c>
      <c r="O63" s="849">
        <f>+D63/C63</f>
        <v>0.61969904240766072</v>
      </c>
      <c r="P63" s="707"/>
    </row>
    <row r="64" spans="1:17" ht="15.6">
      <c r="A64" s="68" t="s">
        <v>66</v>
      </c>
      <c r="B64" s="618">
        <f>1089+517+1381+2546+1336+1503+1713+1785+1646+1436+909+1418</f>
        <v>17279</v>
      </c>
      <c r="C64" s="618">
        <v>8372</v>
      </c>
      <c r="D64" s="973">
        <v>9020</v>
      </c>
      <c r="E64" s="620">
        <v>1737</v>
      </c>
      <c r="F64" s="974"/>
      <c r="G64" s="620"/>
      <c r="H64" s="104"/>
      <c r="I64" s="104"/>
      <c r="J64" s="104"/>
      <c r="K64" s="270"/>
      <c r="L64" s="270"/>
      <c r="M64" s="1034"/>
      <c r="N64" s="118"/>
      <c r="O64" s="849">
        <f>+D64/C64</f>
        <v>1.0774008600095557</v>
      </c>
      <c r="P64" s="707"/>
    </row>
    <row r="65" spans="1:17" ht="15.6">
      <c r="A65" s="758" t="s">
        <v>67</v>
      </c>
      <c r="B65" s="656"/>
      <c r="C65" s="656"/>
      <c r="D65" s="943"/>
      <c r="E65" s="620"/>
      <c r="F65" s="1045"/>
      <c r="G65" s="620"/>
      <c r="H65" s="104"/>
      <c r="I65" s="104"/>
      <c r="J65" s="104"/>
      <c r="K65" s="1034"/>
      <c r="L65" s="1034"/>
      <c r="M65" s="1034"/>
      <c r="N65" s="118"/>
      <c r="O65" s="849"/>
      <c r="P65" s="707"/>
    </row>
    <row r="66" spans="1:17" ht="15.6">
      <c r="A66" s="68" t="s">
        <v>68</v>
      </c>
      <c r="B66" s="618">
        <f>949+632+800+680+378+254+120+150+155+159+135+133</f>
        <v>4545</v>
      </c>
      <c r="C66" s="618">
        <v>3693</v>
      </c>
      <c r="D66" s="1046">
        <f>492+846+747+924+857</f>
        <v>3866</v>
      </c>
      <c r="E66" s="620">
        <f t="shared" si="11"/>
        <v>857</v>
      </c>
      <c r="F66" s="974"/>
      <c r="G66" s="620"/>
      <c r="H66" s="104">
        <v>375</v>
      </c>
      <c r="I66" s="104">
        <v>482</v>
      </c>
      <c r="J66" s="104"/>
      <c r="K66" s="270">
        <v>857</v>
      </c>
      <c r="L66" s="270">
        <f>375</f>
        <v>375</v>
      </c>
      <c r="M66" s="1034"/>
      <c r="N66" s="118">
        <v>857</v>
      </c>
      <c r="O66" s="849">
        <f>+D66/C66</f>
        <v>1.0468453831573246</v>
      </c>
      <c r="P66" s="707"/>
    </row>
    <row r="67" spans="1:17" ht="15.6">
      <c r="A67" s="614" t="s">
        <v>69</v>
      </c>
      <c r="B67" s="669"/>
      <c r="C67" s="760"/>
      <c r="D67" s="762"/>
      <c r="E67" s="620"/>
      <c r="F67" s="972"/>
      <c r="G67" s="1047"/>
      <c r="H67" s="664"/>
      <c r="I67" s="664"/>
      <c r="J67" s="664"/>
      <c r="K67" s="941"/>
      <c r="L67" s="941"/>
      <c r="M67" s="941"/>
      <c r="N67" s="1009"/>
      <c r="O67" s="849"/>
      <c r="P67" s="707"/>
    </row>
    <row r="68" spans="1:17" ht="15.6">
      <c r="A68" s="68" t="s">
        <v>70</v>
      </c>
      <c r="B68" s="669">
        <f>703+210+509+267+526+508+670+637+1462+1836+801+829</f>
        <v>8958</v>
      </c>
      <c r="C68" s="669">
        <v>2723</v>
      </c>
      <c r="D68" s="762">
        <f>1225+704+651+766+757</f>
        <v>4103</v>
      </c>
      <c r="E68" s="620">
        <f t="shared" si="11"/>
        <v>757</v>
      </c>
      <c r="F68" s="104"/>
      <c r="G68" s="104"/>
      <c r="H68" s="104">
        <v>328</v>
      </c>
      <c r="I68" s="104">
        <v>429</v>
      </c>
      <c r="J68" s="104"/>
      <c r="K68" s="270">
        <v>533</v>
      </c>
      <c r="L68" s="270">
        <f>54+401</f>
        <v>455</v>
      </c>
      <c r="M68" s="270"/>
      <c r="N68" s="1022">
        <v>757</v>
      </c>
      <c r="O68" s="849">
        <f>+D68/C68</f>
        <v>1.5067939772309953</v>
      </c>
      <c r="P68" s="707"/>
      <c r="Q68" s="754"/>
    </row>
    <row r="69" spans="1:17" ht="15.6">
      <c r="A69" s="231"/>
      <c r="B69" s="763"/>
      <c r="C69" s="764"/>
      <c r="D69" s="1048"/>
      <c r="E69" s="1049"/>
      <c r="F69" s="1050"/>
      <c r="G69" s="1051"/>
      <c r="H69" s="1050"/>
      <c r="I69" s="1050"/>
      <c r="J69" s="1050"/>
      <c r="K69" s="1060"/>
      <c r="L69" s="1060"/>
      <c r="M69" s="1060"/>
      <c r="N69" s="1061"/>
      <c r="O69" s="909"/>
      <c r="P69" s="707"/>
    </row>
    <row r="70" spans="1:17" ht="15">
      <c r="A70" s="235" t="s">
        <v>71</v>
      </c>
      <c r="B70" s="236">
        <f>B6+B30+B36+B50+B60</f>
        <v>19294570</v>
      </c>
      <c r="C70" s="867">
        <f>C6+C30+C36+C50+C60</f>
        <v>9222681</v>
      </c>
      <c r="D70" s="1052">
        <f>D6+D30+D36+D50+D60</f>
        <v>10159426</v>
      </c>
      <c r="E70" s="1053">
        <f>E6+E30+E36+E50+E60</f>
        <v>1788430</v>
      </c>
      <c r="F70" s="236">
        <f>F6+F30+F36+F50+F60</f>
        <v>704593</v>
      </c>
      <c r="G70" s="236">
        <f t="shared" ref="G70:N70" si="12">G6+G30+F36+G50+G60</f>
        <v>755824</v>
      </c>
      <c r="H70" s="236">
        <f t="shared" si="12"/>
        <v>278409</v>
      </c>
      <c r="I70" s="236">
        <f t="shared" si="12"/>
        <v>103935</v>
      </c>
      <c r="J70" s="236">
        <f t="shared" si="12"/>
        <v>240812</v>
      </c>
      <c r="K70" s="236">
        <f t="shared" si="12"/>
        <v>109915</v>
      </c>
      <c r="L70" s="236">
        <f t="shared" si="12"/>
        <v>258085</v>
      </c>
      <c r="M70" s="236">
        <f t="shared" si="12"/>
        <v>50357</v>
      </c>
      <c r="N70" s="867">
        <f t="shared" si="12"/>
        <v>81935</v>
      </c>
      <c r="O70" s="1062">
        <f>+D70/C70</f>
        <v>1.1015697062491916</v>
      </c>
      <c r="P70" s="783"/>
    </row>
    <row r="71" spans="1:17">
      <c r="A71" s="237" t="s">
        <v>72</v>
      </c>
      <c r="B71" s="238">
        <f>+B70+B28+B48+B58</f>
        <v>24051041</v>
      </c>
      <c r="C71" s="238">
        <f>+C70+C28+C48+C58</f>
        <v>13381764</v>
      </c>
      <c r="D71" s="238">
        <f>+D70+D28+D48+D58</f>
        <v>12630383</v>
      </c>
      <c r="E71" s="238">
        <f>+E70+E28+E48+E58</f>
        <v>2288446</v>
      </c>
      <c r="F71" s="1054"/>
      <c r="G71" s="1054"/>
      <c r="H71" s="151"/>
      <c r="I71" s="151"/>
      <c r="J71" s="151"/>
      <c r="K71" s="151"/>
      <c r="L71" s="1054"/>
      <c r="N71" s="1054"/>
      <c r="O71" s="911"/>
    </row>
    <row r="72" spans="1:17">
      <c r="A72" s="2"/>
      <c r="B72" s="241"/>
      <c r="C72" s="1055"/>
      <c r="D72" s="241"/>
      <c r="E72" s="241"/>
      <c r="F72" s="152"/>
      <c r="G72" s="152"/>
      <c r="H72" s="2"/>
      <c r="I72" s="2"/>
      <c r="J72" s="2"/>
      <c r="K72" s="2"/>
      <c r="L72" s="152"/>
      <c r="M72" s="152" t="s">
        <v>143</v>
      </c>
      <c r="N72" s="152"/>
      <c r="O72" s="2"/>
    </row>
    <row r="73" spans="1:17">
      <c r="B73" s="2"/>
      <c r="C73" s="2"/>
      <c r="D73" s="152"/>
      <c r="E73" s="2"/>
      <c r="F73" s="152"/>
      <c r="G73" s="2"/>
      <c r="H73" s="2"/>
      <c r="I73" s="2"/>
      <c r="J73" s="2"/>
      <c r="K73" s="2"/>
      <c r="L73" s="152"/>
      <c r="M73" s="152"/>
      <c r="N73" s="152"/>
      <c r="O73" s="2"/>
    </row>
    <row r="74" spans="1:17">
      <c r="B74" s="2"/>
      <c r="C74" s="2"/>
      <c r="D74" s="786" t="s">
        <v>74</v>
      </c>
      <c r="E74" s="786" t="s">
        <v>75</v>
      </c>
      <c r="F74" s="786" t="s">
        <v>76</v>
      </c>
      <c r="G74" s="786" t="s">
        <v>77</v>
      </c>
      <c r="H74" s="786" t="s">
        <v>78</v>
      </c>
      <c r="I74" s="786" t="s">
        <v>79</v>
      </c>
      <c r="J74" s="786" t="s">
        <v>80</v>
      </c>
      <c r="K74" s="786" t="s">
        <v>81</v>
      </c>
      <c r="L74" s="786" t="s">
        <v>82</v>
      </c>
      <c r="M74" s="786" t="s">
        <v>83</v>
      </c>
      <c r="N74" s="786" t="s">
        <v>84</v>
      </c>
      <c r="O74" s="786" t="s">
        <v>85</v>
      </c>
      <c r="P74" s="786" t="s">
        <v>86</v>
      </c>
    </row>
    <row r="75" spans="1:17">
      <c r="B75" s="246" t="s">
        <v>87</v>
      </c>
      <c r="C75" s="246"/>
      <c r="D75" s="1056">
        <v>1737613</v>
      </c>
      <c r="E75" s="1056">
        <v>1447754</v>
      </c>
      <c r="F75" s="1057">
        <f>E70</f>
        <v>1788430</v>
      </c>
      <c r="G75" s="1056">
        <v>1891960</v>
      </c>
      <c r="H75" s="1056">
        <v>1972368</v>
      </c>
      <c r="I75" s="314">
        <v>1788430</v>
      </c>
      <c r="J75" s="1056"/>
      <c r="K75" s="789"/>
      <c r="L75" s="1056"/>
      <c r="M75" s="789"/>
      <c r="N75" s="268"/>
      <c r="O75" s="789"/>
      <c r="P75" s="790">
        <v>10156932</v>
      </c>
    </row>
    <row r="76" spans="1:17">
      <c r="A76" s="2"/>
      <c r="B76" s="249" t="s">
        <v>88</v>
      </c>
      <c r="C76" s="249"/>
      <c r="D76" s="250"/>
      <c r="E76" s="271">
        <f>IF(D75&gt;0,E75/D75,0)*100</f>
        <v>83.318552520037542</v>
      </c>
      <c r="F76" s="271">
        <f t="shared" ref="F76:O76" si="13">IF(E75&gt;0,F75/E75,0)*100</f>
        <v>123.53134579493477</v>
      </c>
      <c r="G76" s="271">
        <f t="shared" si="13"/>
        <v>105.78887627695801</v>
      </c>
      <c r="H76" s="271">
        <f t="shared" si="13"/>
        <v>104.24998414342798</v>
      </c>
      <c r="I76" s="271">
        <f t="shared" si="13"/>
        <v>90.674255514183969</v>
      </c>
      <c r="J76" s="271">
        <f t="shared" si="13"/>
        <v>0</v>
      </c>
      <c r="K76" s="271">
        <f t="shared" si="13"/>
        <v>0</v>
      </c>
      <c r="L76" s="271">
        <f t="shared" si="13"/>
        <v>0</v>
      </c>
      <c r="M76" s="271">
        <f t="shared" si="13"/>
        <v>0</v>
      </c>
      <c r="N76" s="271">
        <f t="shared" si="13"/>
        <v>0</v>
      </c>
      <c r="O76" s="271">
        <f t="shared" si="13"/>
        <v>0</v>
      </c>
      <c r="P76" s="791">
        <f>P75/B70</f>
        <v>0.52641401181783265</v>
      </c>
    </row>
    <row r="77" spans="1:17">
      <c r="A77" s="2"/>
      <c r="B77" s="251"/>
      <c r="C77" s="251"/>
      <c r="D77" s="251"/>
      <c r="E77" s="268"/>
      <c r="F77" s="251"/>
      <c r="G77" s="2" t="s">
        <v>115</v>
      </c>
      <c r="H77" s="2"/>
      <c r="I77" s="2"/>
      <c r="J77" s="2"/>
      <c r="K77" s="2"/>
      <c r="L77" s="2"/>
      <c r="M77" s="152"/>
      <c r="N77" s="152"/>
      <c r="O77" s="152"/>
      <c r="P77" s="2"/>
    </row>
    <row r="78" spans="1:17">
      <c r="A78" s="1442" t="s">
        <v>89</v>
      </c>
      <c r="B78" s="152"/>
      <c r="C78" s="152"/>
      <c r="D78" s="152"/>
      <c r="E78" s="152"/>
      <c r="F78" s="2"/>
      <c r="G78" s="2"/>
      <c r="H78" s="2"/>
      <c r="I78" s="2"/>
      <c r="J78" s="2"/>
      <c r="K78" s="2"/>
      <c r="L78" s="2"/>
      <c r="M78" s="152"/>
      <c r="N78" s="152"/>
      <c r="O78" s="152"/>
      <c r="P78" s="2"/>
      <c r="Q78" s="3"/>
    </row>
    <row r="79" spans="1:17">
      <c r="A79" s="2" t="s">
        <v>90</v>
      </c>
      <c r="B79" s="152"/>
      <c r="C79" s="152"/>
      <c r="D79" s="152"/>
      <c r="E79" s="152"/>
      <c r="F79" s="2"/>
      <c r="G79" s="2"/>
      <c r="H79" s="2"/>
      <c r="I79" s="2"/>
      <c r="J79" s="2"/>
      <c r="K79" s="2"/>
      <c r="L79" s="2"/>
      <c r="M79" s="152"/>
      <c r="N79" s="152"/>
      <c r="O79" s="152"/>
      <c r="P79" s="2"/>
      <c r="Q79" s="3"/>
    </row>
    <row r="80" spans="1:17">
      <c r="A80" s="1442" t="s">
        <v>91</v>
      </c>
      <c r="B80" s="152"/>
      <c r="C80" s="152"/>
      <c r="D80" s="152"/>
      <c r="E80" s="152"/>
      <c r="F80" s="2"/>
      <c r="G80" s="2"/>
      <c r="H80" s="2"/>
      <c r="I80" s="2"/>
      <c r="J80" s="2"/>
      <c r="K80" s="2"/>
      <c r="L80" s="2"/>
      <c r="M80" s="152"/>
      <c r="N80" s="152"/>
      <c r="O80" s="152"/>
      <c r="P80" s="2"/>
      <c r="Q80" s="3"/>
    </row>
    <row r="81" spans="1:17">
      <c r="A81" s="1443" t="s">
        <v>92</v>
      </c>
      <c r="B81" s="152"/>
      <c r="C81" s="152"/>
      <c r="D81" s="152"/>
      <c r="E81" s="152"/>
      <c r="F81" s="2"/>
      <c r="G81" s="2"/>
      <c r="H81" s="2"/>
      <c r="I81" s="2"/>
      <c r="J81" s="2"/>
      <c r="K81" s="2"/>
      <c r="L81" s="2"/>
      <c r="M81" s="152"/>
      <c r="N81" s="152"/>
      <c r="O81" s="152"/>
      <c r="P81" s="2"/>
      <c r="Q81" s="281"/>
    </row>
    <row r="82" spans="1:17">
      <c r="A82" s="2" t="s">
        <v>93</v>
      </c>
      <c r="B82" s="2"/>
      <c r="C82" s="2"/>
      <c r="D82" s="2"/>
      <c r="E82" s="2"/>
      <c r="F82" s="2"/>
      <c r="G82" s="2"/>
      <c r="H82" s="2"/>
      <c r="I82" s="2"/>
      <c r="K82" s="2"/>
      <c r="M82" s="152"/>
      <c r="N82" s="152"/>
      <c r="O82" s="152"/>
      <c r="P82" s="2"/>
    </row>
    <row r="83" spans="1:17">
      <c r="A83" s="2" t="s">
        <v>94</v>
      </c>
      <c r="B83" s="2"/>
      <c r="C83" s="2"/>
      <c r="D83" s="2"/>
      <c r="E83" s="2"/>
      <c r="F83" s="2"/>
      <c r="G83" s="2"/>
      <c r="H83" s="2"/>
      <c r="I83" s="2"/>
      <c r="K83" s="2"/>
      <c r="M83" s="152"/>
      <c r="N83" s="152"/>
      <c r="O83" s="273"/>
      <c r="P83" s="2"/>
    </row>
    <row r="84" spans="1:17">
      <c r="A84" s="2" t="s">
        <v>95</v>
      </c>
      <c r="B84" s="2"/>
      <c r="C84" s="2"/>
      <c r="D84" s="2"/>
      <c r="E84" s="2"/>
      <c r="F84" s="2"/>
      <c r="G84" s="2"/>
      <c r="H84" s="2"/>
      <c r="I84" s="2"/>
      <c r="K84" s="2"/>
      <c r="L84" s="2"/>
      <c r="M84" s="152"/>
      <c r="N84" s="152"/>
      <c r="O84" s="152"/>
      <c r="P84" s="2"/>
    </row>
    <row r="86" spans="1:17" ht="15.6">
      <c r="B86" s="875" t="s">
        <v>96</v>
      </c>
      <c r="C86" s="875"/>
      <c r="D86" s="875"/>
      <c r="E86" s="875"/>
      <c r="F86" s="875"/>
      <c r="G86" s="875"/>
      <c r="H86" s="875"/>
      <c r="I86" s="875"/>
      <c r="J86" s="875"/>
      <c r="K86" s="875"/>
      <c r="L86" s="875"/>
      <c r="M86" s="875"/>
      <c r="N86" s="875"/>
      <c r="O86" s="875"/>
    </row>
    <row r="87" spans="1:17">
      <c r="A87" s="775" t="s">
        <v>97</v>
      </c>
      <c r="B87" s="776" t="s">
        <v>74</v>
      </c>
      <c r="C87" s="776" t="s">
        <v>75</v>
      </c>
      <c r="D87" s="776" t="s">
        <v>76</v>
      </c>
      <c r="E87" s="776" t="s">
        <v>77</v>
      </c>
      <c r="F87" s="776" t="s">
        <v>78</v>
      </c>
      <c r="G87" s="776" t="s">
        <v>79</v>
      </c>
      <c r="H87" s="776" t="s">
        <v>80</v>
      </c>
      <c r="I87" s="776" t="s">
        <v>81</v>
      </c>
      <c r="J87" s="776" t="s">
        <v>82</v>
      </c>
      <c r="K87" s="776" t="s">
        <v>83</v>
      </c>
      <c r="L87" s="776" t="s">
        <v>84</v>
      </c>
      <c r="M87" s="776" t="s">
        <v>85</v>
      </c>
      <c r="N87" s="776" t="s">
        <v>86</v>
      </c>
      <c r="O87" s="775" t="s">
        <v>98</v>
      </c>
    </row>
    <row r="88" spans="1:17">
      <c r="A88" s="876" t="s">
        <v>99</v>
      </c>
      <c r="B88" s="877">
        <v>5672894</v>
      </c>
      <c r="C88" s="878">
        <v>4899761</v>
      </c>
      <c r="D88" s="878">
        <v>6728359</v>
      </c>
      <c r="E88" s="878">
        <v>7366984</v>
      </c>
      <c r="F88" s="878">
        <v>7632844</v>
      </c>
      <c r="G88" s="878">
        <v>7369315</v>
      </c>
      <c r="H88" s="277"/>
      <c r="I88" s="277"/>
      <c r="J88" s="277"/>
      <c r="K88" s="277"/>
      <c r="L88" s="277"/>
      <c r="N88" s="878">
        <f>SUM(B88:M88)</f>
        <v>39670157</v>
      </c>
      <c r="O88" s="886">
        <v>100</v>
      </c>
    </row>
    <row r="89" spans="1:17">
      <c r="A89" s="259" t="s">
        <v>100</v>
      </c>
      <c r="B89" s="260">
        <v>1809898</v>
      </c>
      <c r="C89" s="260">
        <v>1730564</v>
      </c>
      <c r="D89" s="260">
        <v>2112389</v>
      </c>
      <c r="E89" s="260">
        <v>2570971</v>
      </c>
      <c r="F89" s="260">
        <v>2877822</v>
      </c>
      <c r="G89" s="260">
        <v>2522285</v>
      </c>
      <c r="H89" s="260"/>
      <c r="I89" s="260"/>
      <c r="J89" s="260"/>
      <c r="K89" s="260"/>
      <c r="L89" s="260"/>
      <c r="M89" s="259"/>
      <c r="N89" s="778">
        <f t="shared" ref="N89:N104" si="14">SUM(B89:M89)</f>
        <v>13623929</v>
      </c>
      <c r="O89" s="888">
        <v>32.673524222337498</v>
      </c>
    </row>
    <row r="90" spans="1:17">
      <c r="A90" s="259" t="s">
        <v>101</v>
      </c>
      <c r="B90" s="260">
        <v>216643</v>
      </c>
      <c r="C90" s="260">
        <v>165584</v>
      </c>
      <c r="D90" s="260">
        <v>464816</v>
      </c>
      <c r="E90" s="260">
        <v>179363</v>
      </c>
      <c r="F90" s="260">
        <v>325949</v>
      </c>
      <c r="G90" s="260">
        <v>301067</v>
      </c>
      <c r="H90" s="260"/>
      <c r="I90" s="260"/>
      <c r="J90" s="260"/>
      <c r="K90" s="260"/>
      <c r="L90" s="260"/>
      <c r="M90" s="259"/>
      <c r="N90" s="778">
        <f t="shared" si="14"/>
        <v>1653422</v>
      </c>
      <c r="O90" s="888">
        <v>4.8959153492390701</v>
      </c>
    </row>
    <row r="91" spans="1:17">
      <c r="A91" s="259" t="s">
        <v>102</v>
      </c>
      <c r="B91" s="260">
        <v>1371301</v>
      </c>
      <c r="C91" s="260">
        <v>870579</v>
      </c>
      <c r="D91" s="260">
        <v>1114225</v>
      </c>
      <c r="E91" s="260">
        <v>1074841</v>
      </c>
      <c r="F91" s="260">
        <v>1197562</v>
      </c>
      <c r="G91" s="260">
        <v>1270373</v>
      </c>
      <c r="H91" s="260"/>
      <c r="I91" s="260"/>
      <c r="J91" s="260"/>
      <c r="K91" s="260"/>
      <c r="L91" s="260"/>
      <c r="M91" s="259"/>
      <c r="N91" s="778">
        <f t="shared" si="14"/>
        <v>6898881</v>
      </c>
      <c r="O91" s="888">
        <v>19.3983138791749</v>
      </c>
    </row>
    <row r="92" spans="1:17">
      <c r="A92" s="259" t="s">
        <v>103</v>
      </c>
      <c r="B92" s="260">
        <v>758783</v>
      </c>
      <c r="C92" s="260">
        <v>620788</v>
      </c>
      <c r="D92" s="260">
        <v>832464</v>
      </c>
      <c r="E92" s="260">
        <v>805760</v>
      </c>
      <c r="F92" s="260">
        <v>873484</v>
      </c>
      <c r="G92" s="260">
        <v>767484</v>
      </c>
      <c r="H92" s="260"/>
      <c r="I92" s="260"/>
      <c r="J92" s="260"/>
      <c r="K92" s="260"/>
      <c r="L92" s="260"/>
      <c r="M92" s="259"/>
      <c r="N92" s="778">
        <f t="shared" si="14"/>
        <v>4658763</v>
      </c>
      <c r="O92" s="888">
        <v>12.785580082184801</v>
      </c>
    </row>
    <row r="93" spans="1:17">
      <c r="A93" s="259" t="s">
        <v>104</v>
      </c>
      <c r="B93" s="260">
        <v>663451</v>
      </c>
      <c r="C93" s="260">
        <v>687147</v>
      </c>
      <c r="D93" s="260">
        <v>1074747</v>
      </c>
      <c r="E93" s="260">
        <v>1431356</v>
      </c>
      <c r="F93" s="260">
        <v>1344265</v>
      </c>
      <c r="G93" s="260">
        <v>1186850</v>
      </c>
      <c r="H93" s="260"/>
      <c r="I93" s="260"/>
      <c r="J93" s="260"/>
      <c r="K93" s="260"/>
      <c r="L93" s="260"/>
      <c r="M93" s="259"/>
      <c r="N93" s="778">
        <f t="shared" si="14"/>
        <v>6387816</v>
      </c>
      <c r="O93" s="888">
        <v>14.018513596948701</v>
      </c>
    </row>
    <row r="94" spans="1:17">
      <c r="A94" s="259" t="s">
        <v>105</v>
      </c>
      <c r="B94" s="260">
        <v>94829</v>
      </c>
      <c r="C94" s="260">
        <v>74713</v>
      </c>
      <c r="D94" s="260">
        <v>126500</v>
      </c>
      <c r="E94" s="260">
        <v>117804</v>
      </c>
      <c r="F94" s="260">
        <v>116232</v>
      </c>
      <c r="G94" s="260">
        <v>117017</v>
      </c>
      <c r="H94" s="260"/>
      <c r="I94" s="260"/>
      <c r="J94" s="260"/>
      <c r="K94" s="260"/>
      <c r="L94" s="260"/>
      <c r="M94" s="259"/>
      <c r="N94" s="778">
        <f t="shared" si="14"/>
        <v>647095</v>
      </c>
      <c r="O94" s="888">
        <v>1.71112513983284</v>
      </c>
    </row>
    <row r="95" spans="1:17">
      <c r="A95" s="259" t="s">
        <v>58</v>
      </c>
      <c r="B95" s="260">
        <v>644996</v>
      </c>
      <c r="C95" s="260">
        <v>549797</v>
      </c>
      <c r="D95" s="260">
        <v>901148</v>
      </c>
      <c r="E95" s="260">
        <v>1109569</v>
      </c>
      <c r="F95" s="260">
        <v>817643</v>
      </c>
      <c r="G95" s="260">
        <v>972902</v>
      </c>
      <c r="H95" s="260"/>
      <c r="I95" s="260"/>
      <c r="J95" s="260"/>
      <c r="K95" s="260"/>
      <c r="L95" s="260"/>
      <c r="M95" s="259"/>
      <c r="N95" s="778">
        <f t="shared" si="14"/>
        <v>4996055</v>
      </c>
      <c r="O95" s="888">
        <v>12.1145558289242</v>
      </c>
    </row>
    <row r="96" spans="1:17">
      <c r="A96" s="879" t="s">
        <v>106</v>
      </c>
      <c r="B96" s="878">
        <v>6857452</v>
      </c>
      <c r="C96" s="878">
        <v>5513308</v>
      </c>
      <c r="D96" s="878">
        <v>8179988</v>
      </c>
      <c r="E96" s="878">
        <v>8794398</v>
      </c>
      <c r="F96" s="878">
        <v>8383395</v>
      </c>
      <c r="G96" s="878">
        <v>8308915</v>
      </c>
      <c r="H96" s="878"/>
      <c r="I96" s="878"/>
      <c r="J96" s="878"/>
      <c r="K96" s="878"/>
      <c r="L96" s="878"/>
      <c r="M96" s="889"/>
      <c r="N96" s="878">
        <f t="shared" si="14"/>
        <v>46037456</v>
      </c>
      <c r="O96" s="890">
        <f>N96/$N$96</f>
        <v>1</v>
      </c>
    </row>
    <row r="97" spans="1:15">
      <c r="A97" s="259" t="s">
        <v>100</v>
      </c>
      <c r="B97" s="260">
        <v>2135077</v>
      </c>
      <c r="C97" s="260">
        <v>1954967</v>
      </c>
      <c r="D97" s="260">
        <v>2573893</v>
      </c>
      <c r="E97" s="260">
        <v>3073887</v>
      </c>
      <c r="F97" s="260">
        <v>3261336</v>
      </c>
      <c r="G97" s="260">
        <v>3026937</v>
      </c>
      <c r="H97" s="260"/>
      <c r="I97" s="260"/>
      <c r="J97" s="260"/>
      <c r="K97" s="260"/>
      <c r="L97" s="260"/>
      <c r="M97" s="259"/>
      <c r="N97" s="778">
        <f t="shared" si="14"/>
        <v>16026097</v>
      </c>
      <c r="O97" s="583">
        <f t="shared" ref="O97:O103" si="15">N97/$N$96</f>
        <v>0.34810996072415468</v>
      </c>
    </row>
    <row r="98" spans="1:15">
      <c r="A98" s="259" t="s">
        <v>101</v>
      </c>
      <c r="B98" s="260">
        <v>263002</v>
      </c>
      <c r="C98" s="260">
        <v>221352</v>
      </c>
      <c r="D98" s="260">
        <v>387773</v>
      </c>
      <c r="E98" s="260">
        <v>258017</v>
      </c>
      <c r="F98" s="260">
        <v>388537</v>
      </c>
      <c r="G98" s="260">
        <v>292594</v>
      </c>
      <c r="H98" s="260"/>
      <c r="I98" s="260"/>
      <c r="J98" s="260"/>
      <c r="K98" s="260"/>
      <c r="L98" s="260"/>
      <c r="M98" s="259"/>
      <c r="N98" s="778">
        <f t="shared" si="14"/>
        <v>1811275</v>
      </c>
      <c r="O98" s="583">
        <f t="shared" si="15"/>
        <v>3.934350759955111E-2</v>
      </c>
    </row>
    <row r="99" spans="1:15">
      <c r="A99" s="259" t="s">
        <v>102</v>
      </c>
      <c r="B99" s="260">
        <v>1600519</v>
      </c>
      <c r="C99" s="260">
        <v>975825</v>
      </c>
      <c r="D99" s="260">
        <v>1500811</v>
      </c>
      <c r="E99" s="260">
        <v>1431201</v>
      </c>
      <c r="F99" s="260">
        <v>1312883</v>
      </c>
      <c r="G99" s="260">
        <v>1628844</v>
      </c>
      <c r="H99" s="260"/>
      <c r="I99" s="260"/>
      <c r="J99" s="260"/>
      <c r="K99" s="260"/>
      <c r="L99" s="260"/>
      <c r="M99" s="259"/>
      <c r="N99" s="778">
        <f t="shared" si="14"/>
        <v>8450083</v>
      </c>
      <c r="O99" s="583">
        <f t="shared" si="15"/>
        <v>0.18354800056719034</v>
      </c>
    </row>
    <row r="100" spans="1:15">
      <c r="A100" s="259" t="s">
        <v>103</v>
      </c>
      <c r="B100" s="260">
        <v>906127</v>
      </c>
      <c r="C100" s="260">
        <v>684506</v>
      </c>
      <c r="D100" s="260">
        <v>1019356</v>
      </c>
      <c r="E100" s="260">
        <v>936276</v>
      </c>
      <c r="F100" s="260">
        <v>1009873</v>
      </c>
      <c r="G100" s="260">
        <v>790066</v>
      </c>
      <c r="H100" s="260"/>
      <c r="I100" s="260"/>
      <c r="J100" s="260"/>
      <c r="K100" s="260"/>
      <c r="L100" s="260"/>
      <c r="M100" s="259"/>
      <c r="N100" s="778">
        <f t="shared" si="14"/>
        <v>5346204</v>
      </c>
      <c r="O100" s="583">
        <f t="shared" si="15"/>
        <v>0.11612726819657454</v>
      </c>
    </row>
    <row r="101" spans="1:15">
      <c r="A101" s="259" t="s">
        <v>104</v>
      </c>
      <c r="B101" s="260">
        <v>910303</v>
      </c>
      <c r="C101" s="260">
        <v>843503</v>
      </c>
      <c r="D101" s="260">
        <v>1350561</v>
      </c>
      <c r="E101" s="260">
        <v>1603712</v>
      </c>
      <c r="F101" s="260">
        <v>1322029</v>
      </c>
      <c r="G101" s="260">
        <v>1326834</v>
      </c>
      <c r="H101" s="260"/>
      <c r="I101" s="260"/>
      <c r="J101" s="260"/>
      <c r="K101" s="260"/>
      <c r="L101" s="260"/>
      <c r="M101" s="259"/>
      <c r="N101" s="778">
        <f t="shared" si="14"/>
        <v>7356942</v>
      </c>
      <c r="O101" s="583">
        <f t="shared" si="15"/>
        <v>0.15980340008361887</v>
      </c>
    </row>
    <row r="102" spans="1:15">
      <c r="A102" s="259" t="s">
        <v>105</v>
      </c>
      <c r="B102" s="260">
        <v>73110</v>
      </c>
      <c r="C102" s="260">
        <v>87700</v>
      </c>
      <c r="D102" s="260">
        <v>119850</v>
      </c>
      <c r="E102" s="260">
        <v>120063</v>
      </c>
      <c r="F102" s="260">
        <v>106070</v>
      </c>
      <c r="G102" s="260">
        <v>105910</v>
      </c>
      <c r="H102" s="260"/>
      <c r="I102" s="260"/>
      <c r="J102" s="260"/>
      <c r="K102" s="260"/>
      <c r="L102" s="260"/>
      <c r="M102" s="259"/>
      <c r="N102" s="778">
        <f t="shared" si="14"/>
        <v>612703</v>
      </c>
      <c r="O102" s="583">
        <f t="shared" si="15"/>
        <v>1.3308793604928995E-2</v>
      </c>
    </row>
    <row r="103" spans="1:15">
      <c r="A103" s="259" t="s">
        <v>58</v>
      </c>
      <c r="B103" s="260">
        <v>917981</v>
      </c>
      <c r="C103" s="260">
        <v>744638</v>
      </c>
      <c r="D103" s="260">
        <v>1226864</v>
      </c>
      <c r="E103" s="260">
        <v>1342688</v>
      </c>
      <c r="F103" s="260">
        <v>975567</v>
      </c>
      <c r="G103" s="260">
        <v>1028078</v>
      </c>
      <c r="H103" s="260"/>
      <c r="I103" s="260"/>
      <c r="J103" s="260"/>
      <c r="K103" s="260"/>
      <c r="L103" s="260"/>
      <c r="M103" s="259"/>
      <c r="N103" s="778">
        <f t="shared" si="14"/>
        <v>6235816</v>
      </c>
      <c r="O103" s="583">
        <f t="shared" si="15"/>
        <v>0.13545092500332773</v>
      </c>
    </row>
    <row r="104" spans="1:15">
      <c r="A104" s="879" t="s">
        <v>107</v>
      </c>
      <c r="B104" s="1058">
        <f>B88+B96</f>
        <v>12530346</v>
      </c>
      <c r="C104" s="1058">
        <f>C88+C96</f>
        <v>10413069</v>
      </c>
      <c r="D104" s="1058">
        <f>D88+D96</f>
        <v>14908347</v>
      </c>
      <c r="E104" s="1058">
        <f>E88+E96</f>
        <v>16161382</v>
      </c>
      <c r="F104" s="1058">
        <f t="shared" ref="F104:L104" si="16">F88+F96</f>
        <v>16016239</v>
      </c>
      <c r="G104" s="1058">
        <f t="shared" si="16"/>
        <v>15678230</v>
      </c>
      <c r="H104" s="1058">
        <f t="shared" si="16"/>
        <v>0</v>
      </c>
      <c r="I104" s="1058">
        <f t="shared" si="16"/>
        <v>0</v>
      </c>
      <c r="J104" s="1058">
        <f t="shared" si="16"/>
        <v>0</v>
      </c>
      <c r="K104" s="1058">
        <f t="shared" si="16"/>
        <v>0</v>
      </c>
      <c r="L104" s="1058">
        <f t="shared" si="16"/>
        <v>0</v>
      </c>
      <c r="M104" s="889"/>
      <c r="N104" s="878">
        <f t="shared" si="14"/>
        <v>85707613</v>
      </c>
      <c r="O104" s="259"/>
    </row>
    <row r="105" spans="1:15">
      <c r="H105" s="105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05"/>
  <sheetViews>
    <sheetView workbookViewId="0">
      <selection activeCell="D15" sqref="D15"/>
    </sheetView>
  </sheetViews>
  <sheetFormatPr defaultColWidth="9" defaultRowHeight="14.4"/>
  <cols>
    <col min="4" max="4" width="9.77734375"/>
  </cols>
  <sheetData>
    <row r="1" spans="1:17" ht="15.6">
      <c r="A1" s="1" t="s">
        <v>144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51"/>
      <c r="Q1" s="221"/>
    </row>
    <row r="2" spans="1:17">
      <c r="A2" s="2"/>
      <c r="B2" s="2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152"/>
      <c r="P2" s="2"/>
    </row>
    <row r="3" spans="1:17" ht="41.4">
      <c r="A3" s="797" t="s">
        <v>1</v>
      </c>
      <c r="B3" s="798" t="s">
        <v>2</v>
      </c>
      <c r="C3" s="4" t="s">
        <v>145</v>
      </c>
      <c r="D3" s="799" t="s">
        <v>146</v>
      </c>
      <c r="E3" s="800" t="s">
        <v>147</v>
      </c>
      <c r="F3" s="801"/>
      <c r="G3" s="801"/>
      <c r="H3" s="801"/>
      <c r="I3" s="801"/>
      <c r="J3" s="801"/>
      <c r="K3" s="801"/>
      <c r="L3" s="801"/>
      <c r="M3" s="801"/>
      <c r="N3" s="840"/>
      <c r="O3" s="153" t="s">
        <v>148</v>
      </c>
      <c r="P3" s="707"/>
    </row>
    <row r="4" spans="1:17" ht="27.6">
      <c r="A4" s="802"/>
      <c r="B4" s="803"/>
      <c r="C4" s="5"/>
      <c r="D4" s="804"/>
      <c r="E4" s="805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155" t="s">
        <v>12</v>
      </c>
      <c r="K4" s="156" t="s">
        <v>13</v>
      </c>
      <c r="L4" s="156" t="s">
        <v>14</v>
      </c>
      <c r="M4" s="157" t="s">
        <v>15</v>
      </c>
      <c r="N4" s="841" t="s">
        <v>16</v>
      </c>
      <c r="O4" s="159"/>
      <c r="P4" s="707"/>
    </row>
    <row r="5" spans="1:17" ht="15.6">
      <c r="A5" s="599"/>
      <c r="B5" s="600"/>
      <c r="C5" s="600"/>
      <c r="D5" s="601"/>
      <c r="E5" s="602"/>
      <c r="F5" s="603"/>
      <c r="G5" s="603"/>
      <c r="H5" s="603"/>
      <c r="I5" s="603"/>
      <c r="J5" s="713"/>
      <c r="K5" s="603"/>
      <c r="L5" s="603"/>
      <c r="M5" s="713"/>
      <c r="N5" s="714"/>
      <c r="O5" s="715"/>
      <c r="P5" s="707"/>
    </row>
    <row r="6" spans="1:17" ht="15">
      <c r="A6" s="13" t="s">
        <v>17</v>
      </c>
      <c r="B6" s="14">
        <f>SUM(B8:B17)</f>
        <v>4976683</v>
      </c>
      <c r="C6" s="14">
        <f>SUM(C8:C17)</f>
        <v>2847197</v>
      </c>
      <c r="D6" s="806">
        <f>SUM(D9:D17)</f>
        <v>2798373</v>
      </c>
      <c r="E6" s="807">
        <f t="shared" ref="E6:N6" si="0">SUM(E8:E17)</f>
        <v>402513</v>
      </c>
      <c r="F6" s="17">
        <f t="shared" si="0"/>
        <v>180145</v>
      </c>
      <c r="G6" s="17">
        <f t="shared" si="0"/>
        <v>159431</v>
      </c>
      <c r="H6" s="17">
        <f t="shared" si="0"/>
        <v>25431</v>
      </c>
      <c r="I6" s="17">
        <f t="shared" si="0"/>
        <v>20678</v>
      </c>
      <c r="J6" s="17">
        <f t="shared" si="0"/>
        <v>12</v>
      </c>
      <c r="K6" s="17">
        <f t="shared" si="0"/>
        <v>57032</v>
      </c>
      <c r="L6" s="17">
        <f t="shared" si="0"/>
        <v>68733</v>
      </c>
      <c r="M6" s="17">
        <f t="shared" si="0"/>
        <v>3019</v>
      </c>
      <c r="N6" s="807">
        <f t="shared" si="0"/>
        <v>6380</v>
      </c>
      <c r="O6" s="842">
        <f>+D6/C6</f>
        <v>0.98285190662957289</v>
      </c>
      <c r="P6" s="717"/>
    </row>
    <row r="7" spans="1:17" ht="15">
      <c r="A7" s="609" t="s">
        <v>18</v>
      </c>
      <c r="B7" s="618"/>
      <c r="C7" s="618"/>
      <c r="D7" s="624"/>
      <c r="E7" s="150">
        <f>SUM(F7:J7)</f>
        <v>0</v>
      </c>
      <c r="F7" s="612"/>
      <c r="G7" s="612"/>
      <c r="H7" s="612"/>
      <c r="I7" s="612"/>
      <c r="J7" s="644"/>
      <c r="K7" s="654"/>
      <c r="L7" s="654"/>
      <c r="M7" s="654"/>
      <c r="N7" s="718"/>
      <c r="O7" s="903"/>
      <c r="P7" s="717"/>
    </row>
    <row r="8" spans="1:17">
      <c r="A8" s="609" t="s">
        <v>19</v>
      </c>
      <c r="B8" s="618"/>
      <c r="C8" s="618"/>
      <c r="D8" s="624"/>
      <c r="E8" s="150">
        <f>SUM(F8:J8)</f>
        <v>0</v>
      </c>
      <c r="F8" s="24"/>
      <c r="G8" s="24"/>
      <c r="H8" s="24"/>
      <c r="I8" s="24"/>
      <c r="J8" s="167"/>
      <c r="K8" s="168"/>
      <c r="L8" s="168"/>
      <c r="M8" s="168"/>
      <c r="N8" s="719"/>
      <c r="O8" s="903"/>
      <c r="P8" s="170"/>
    </row>
    <row r="9" spans="1:17">
      <c r="A9" s="609" t="s">
        <v>20</v>
      </c>
      <c r="B9" s="618">
        <f>108077+85467+113186+113042+116756+109995+110509+101300+92745+107226+101895+113016</f>
        <v>1273214</v>
      </c>
      <c r="C9" s="618">
        <v>757032</v>
      </c>
      <c r="D9" s="624">
        <f>195272+119565+111251+124577+111240+113765</f>
        <v>775670</v>
      </c>
      <c r="E9" s="150">
        <f t="shared" ref="E9:E15" si="1">SUM(F9:J9)</f>
        <v>113765</v>
      </c>
      <c r="F9" s="24">
        <v>40831</v>
      </c>
      <c r="G9" s="24">
        <v>36055</v>
      </c>
      <c r="H9" s="24">
        <v>20042</v>
      </c>
      <c r="I9" s="24">
        <v>16837</v>
      </c>
      <c r="J9" s="644"/>
      <c r="K9" s="654"/>
      <c r="L9" s="654"/>
      <c r="M9" s="168"/>
      <c r="N9" s="719"/>
      <c r="O9" s="903">
        <f t="shared" ref="O9:O34" si="2">+D9/C9</f>
        <v>1.0246198311299919</v>
      </c>
      <c r="P9" s="172"/>
      <c r="Q9" s="222"/>
    </row>
    <row r="10" spans="1:17">
      <c r="A10" s="609" t="s">
        <v>21</v>
      </c>
      <c r="B10" s="618">
        <f>148719+103732+138638+114388+149772+144287+154524+162231+134683+114242+101779+138292</f>
        <v>1605287</v>
      </c>
      <c r="C10" s="618">
        <v>954060</v>
      </c>
      <c r="D10" s="619">
        <f>131015+78250+105874+111968+99207+123596+111773</f>
        <v>761683</v>
      </c>
      <c r="E10" s="620">
        <f t="shared" si="1"/>
        <v>111773</v>
      </c>
      <c r="F10" s="33">
        <v>58989</v>
      </c>
      <c r="G10" s="33">
        <v>52772</v>
      </c>
      <c r="H10" s="621"/>
      <c r="I10" s="621"/>
      <c r="J10" s="167">
        <v>12</v>
      </c>
      <c r="K10" s="168">
        <v>13961</v>
      </c>
      <c r="L10" s="168">
        <f>39632+1579</f>
        <v>41211</v>
      </c>
      <c r="M10" s="168"/>
      <c r="N10" s="656">
        <v>25</v>
      </c>
      <c r="O10" s="903">
        <f t="shared" si="2"/>
        <v>0.79835964195123998</v>
      </c>
      <c r="P10" s="172"/>
      <c r="Q10" s="222"/>
    </row>
    <row r="11" spans="1:17">
      <c r="A11" s="609" t="s">
        <v>22</v>
      </c>
      <c r="B11" s="618"/>
      <c r="C11" s="618"/>
      <c r="D11" s="622"/>
      <c r="E11" s="150"/>
      <c r="F11" s="24"/>
      <c r="G11" s="24"/>
      <c r="H11" s="24"/>
      <c r="I11" s="24"/>
      <c r="J11" s="167"/>
      <c r="K11" s="168"/>
      <c r="L11" s="168"/>
      <c r="M11" s="168"/>
      <c r="N11" s="719"/>
      <c r="O11" s="903"/>
      <c r="P11" s="170"/>
      <c r="Q11" s="222"/>
    </row>
    <row r="12" spans="1:17">
      <c r="A12" s="609" t="s">
        <v>23</v>
      </c>
      <c r="B12" s="618">
        <f>39231+38035+45839+55212+55252+51874+53719+51193+43893+46338+47055+45738</f>
        <v>573379</v>
      </c>
      <c r="C12" s="618">
        <v>339162</v>
      </c>
      <c r="D12" s="622">
        <f>74332+41587+36538+49878+32546+31277</f>
        <v>266158</v>
      </c>
      <c r="E12" s="150">
        <f t="shared" si="1"/>
        <v>31277</v>
      </c>
      <c r="F12" s="24">
        <v>14860</v>
      </c>
      <c r="G12" s="24">
        <v>12032</v>
      </c>
      <c r="H12" s="24">
        <v>2998</v>
      </c>
      <c r="I12" s="24">
        <v>1387</v>
      </c>
      <c r="J12" s="167"/>
      <c r="K12" s="168">
        <v>10363</v>
      </c>
      <c r="L12" s="168">
        <f>278+6119+935+112</f>
        <v>7444</v>
      </c>
      <c r="M12" s="168"/>
      <c r="N12" s="719"/>
      <c r="O12" s="903">
        <f t="shared" si="2"/>
        <v>0.78475182950920208</v>
      </c>
      <c r="P12" s="172"/>
      <c r="Q12" s="222"/>
    </row>
    <row r="13" spans="1:17">
      <c r="A13" s="623" t="s">
        <v>24</v>
      </c>
      <c r="B13" s="618">
        <v>0</v>
      </c>
      <c r="C13" s="618"/>
      <c r="D13" s="622"/>
      <c r="E13" s="150"/>
      <c r="F13" s="24"/>
      <c r="G13" s="24"/>
      <c r="H13" s="24"/>
      <c r="I13" s="24"/>
      <c r="J13" s="167"/>
      <c r="K13" s="168"/>
      <c r="L13" s="168"/>
      <c r="M13" s="168"/>
      <c r="N13" s="719"/>
      <c r="O13" s="903"/>
      <c r="P13" s="170"/>
      <c r="Q13" s="222"/>
    </row>
    <row r="14" spans="1:17">
      <c r="A14" s="68" t="s">
        <v>25</v>
      </c>
      <c r="B14" s="618">
        <f>107401+71667+97692+112321+100543+91682+100061+119410+112186+136804+148168+145637</f>
        <v>1343572</v>
      </c>
      <c r="C14" s="618">
        <v>681367</v>
      </c>
      <c r="D14" s="624">
        <f>230133+126813+134655+119860+132763+128882</f>
        <v>873106</v>
      </c>
      <c r="E14" s="150">
        <f t="shared" si="1"/>
        <v>128882</v>
      </c>
      <c r="F14" s="36">
        <v>65465</v>
      </c>
      <c r="G14" s="36">
        <v>58572</v>
      </c>
      <c r="H14" s="36">
        <v>2391</v>
      </c>
      <c r="I14" s="36">
        <v>2454</v>
      </c>
      <c r="J14" s="723"/>
      <c r="K14" s="176">
        <v>32708</v>
      </c>
      <c r="L14" s="176">
        <f>7287+12380+385+26</f>
        <v>20078</v>
      </c>
      <c r="M14" s="176">
        <v>3019</v>
      </c>
      <c r="N14" s="659">
        <v>6355</v>
      </c>
      <c r="O14" s="903">
        <f t="shared" si="2"/>
        <v>1.2814034140191704</v>
      </c>
      <c r="P14" s="172"/>
      <c r="Q14" s="222"/>
    </row>
    <row r="15" spans="1:17">
      <c r="A15" s="623" t="s">
        <v>26</v>
      </c>
      <c r="B15" s="618">
        <f>5818+3471+4879+3146+1868+3203+3535+2520+3649+3073+2995+3507</f>
        <v>41664</v>
      </c>
      <c r="C15" s="618">
        <v>25920</v>
      </c>
      <c r="D15" s="624">
        <f>19932</f>
        <v>19932</v>
      </c>
      <c r="E15" s="150">
        <f t="shared" si="1"/>
        <v>0</v>
      </c>
      <c r="F15" s="24"/>
      <c r="G15" s="24"/>
      <c r="H15" s="24"/>
      <c r="I15" s="24"/>
      <c r="J15" s="167"/>
      <c r="K15" s="51"/>
      <c r="L15" s="168"/>
      <c r="M15" s="168"/>
      <c r="N15" s="719"/>
      <c r="O15" s="903">
        <f t="shared" si="2"/>
        <v>0.76898148148148149</v>
      </c>
      <c r="P15" s="170"/>
      <c r="Q15" s="222"/>
    </row>
    <row r="16" spans="1:17">
      <c r="A16" s="609" t="s">
        <v>27</v>
      </c>
      <c r="B16" s="618">
        <f>528</f>
        <v>528</v>
      </c>
      <c r="C16" s="618">
        <v>528</v>
      </c>
      <c r="D16" s="624">
        <v>0</v>
      </c>
      <c r="E16" s="150">
        <v>0</v>
      </c>
      <c r="F16" s="24"/>
      <c r="G16" s="24"/>
      <c r="H16" s="24"/>
      <c r="I16" s="24"/>
      <c r="J16" s="167"/>
      <c r="K16" s="654"/>
      <c r="L16" s="51"/>
      <c r="M16" s="168"/>
      <c r="N16" s="719"/>
      <c r="O16" s="903">
        <f t="shared" si="2"/>
        <v>0</v>
      </c>
      <c r="P16" s="178"/>
      <c r="Q16" s="222"/>
    </row>
    <row r="17" spans="1:17">
      <c r="A17" s="625" t="s">
        <v>28</v>
      </c>
      <c r="B17" s="626">
        <f>127397+11642</f>
        <v>139039</v>
      </c>
      <c r="C17" s="627">
        <v>89128</v>
      </c>
      <c r="D17" s="628">
        <f>19907+16036+17100+18000+13965+16816</f>
        <v>101824</v>
      </c>
      <c r="E17" s="629">
        <v>16816</v>
      </c>
      <c r="F17" s="630"/>
      <c r="G17" s="630"/>
      <c r="H17" s="630"/>
      <c r="I17" s="630"/>
      <c r="J17" s="630"/>
      <c r="K17" s="205"/>
      <c r="L17" s="205"/>
      <c r="M17" s="205"/>
      <c r="N17" s="724"/>
      <c r="O17" s="903">
        <f t="shared" si="2"/>
        <v>1.1424468180594201</v>
      </c>
      <c r="P17" s="182"/>
      <c r="Q17" s="223"/>
    </row>
    <row r="18" spans="1:17" ht="15.6">
      <c r="A18" s="42" t="s">
        <v>29</v>
      </c>
      <c r="B18" s="631">
        <f>534688+54911+55025</f>
        <v>644624</v>
      </c>
      <c r="C18" s="631">
        <v>390003</v>
      </c>
      <c r="D18" s="808">
        <f>196486+59577+56533+93550</f>
        <v>406146</v>
      </c>
      <c r="E18" s="893">
        <v>93550</v>
      </c>
      <c r="F18" s="810"/>
      <c r="G18" s="810"/>
      <c r="H18" s="810"/>
      <c r="I18" s="810"/>
      <c r="J18" s="810"/>
      <c r="K18" s="845"/>
      <c r="L18" s="845"/>
      <c r="M18" s="845"/>
      <c r="N18" s="846"/>
      <c r="O18" s="903">
        <f t="shared" si="2"/>
        <v>1.04139198929239</v>
      </c>
      <c r="P18" s="727"/>
      <c r="Q18" s="727"/>
    </row>
    <row r="19" spans="1:17" ht="15.6">
      <c r="A19" s="47" t="s">
        <v>30</v>
      </c>
      <c r="B19" s="635">
        <f>228437+18717+26622</f>
        <v>273776</v>
      </c>
      <c r="C19" s="635">
        <v>152201</v>
      </c>
      <c r="D19" s="636">
        <f>65069+22682+21522+19278+14196</f>
        <v>142747</v>
      </c>
      <c r="E19" s="894">
        <v>14196</v>
      </c>
      <c r="F19" s="638"/>
      <c r="G19" s="638"/>
      <c r="H19" s="638"/>
      <c r="I19" s="638"/>
      <c r="J19" s="638"/>
      <c r="K19" s="198"/>
      <c r="L19" s="198"/>
      <c r="M19" s="198"/>
      <c r="N19" s="847"/>
      <c r="O19" s="903">
        <f t="shared" si="2"/>
        <v>0.93788477079651256</v>
      </c>
      <c r="P19" s="729"/>
      <c r="Q19" s="754"/>
    </row>
    <row r="20" spans="1:17" ht="15.6">
      <c r="A20" s="47" t="s">
        <v>31</v>
      </c>
      <c r="B20" s="635">
        <f>76626+5290+8224</f>
        <v>90140</v>
      </c>
      <c r="C20" s="635">
        <v>54984</v>
      </c>
      <c r="D20" s="636">
        <f>5832+4910+7563+4248+5861+4652+8589</f>
        <v>41655</v>
      </c>
      <c r="E20" s="895">
        <v>8589</v>
      </c>
      <c r="F20" s="167"/>
      <c r="G20" s="167"/>
      <c r="H20" s="167"/>
      <c r="I20" s="167"/>
      <c r="J20" s="167"/>
      <c r="K20" s="168"/>
      <c r="L20" s="168"/>
      <c r="M20" s="168"/>
      <c r="N20" s="719"/>
      <c r="O20" s="903">
        <f t="shared" si="2"/>
        <v>0.7575840244434745</v>
      </c>
      <c r="P20" s="730"/>
    </row>
    <row r="21" spans="1:17" ht="15.6">
      <c r="A21" s="47" t="s">
        <v>32</v>
      </c>
      <c r="B21" s="635">
        <v>483790</v>
      </c>
      <c r="C21" s="635">
        <v>267628</v>
      </c>
      <c r="D21" s="636">
        <f>116391+43437+35255+35847+29018</f>
        <v>259948</v>
      </c>
      <c r="E21" s="895">
        <v>29018</v>
      </c>
      <c r="F21" s="167"/>
      <c r="G21" s="167"/>
      <c r="H21" s="167"/>
      <c r="I21" s="167"/>
      <c r="J21" s="167"/>
      <c r="K21" s="168"/>
      <c r="L21" s="168"/>
      <c r="M21" s="168"/>
      <c r="N21" s="719"/>
      <c r="O21" s="903">
        <f t="shared" si="2"/>
        <v>0.97130345105893257</v>
      </c>
      <c r="P21" s="730"/>
    </row>
    <row r="22" spans="1:17" ht="15.6">
      <c r="A22" s="47" t="s">
        <v>33</v>
      </c>
      <c r="B22" s="635">
        <f>159887+13631+13177</f>
        <v>186695</v>
      </c>
      <c r="C22" s="635">
        <v>109016</v>
      </c>
      <c r="D22" s="636">
        <f>62510+14297+9173</f>
        <v>85980</v>
      </c>
      <c r="E22" s="895">
        <v>9173</v>
      </c>
      <c r="F22" s="167"/>
      <c r="G22" s="167"/>
      <c r="H22" s="167"/>
      <c r="I22" s="167"/>
      <c r="J22" s="167"/>
      <c r="K22" s="168"/>
      <c r="L22" s="168"/>
      <c r="M22" s="168"/>
      <c r="N22" s="719"/>
      <c r="O22" s="903">
        <f t="shared" si="2"/>
        <v>0.78869156821017095</v>
      </c>
      <c r="P22" s="730"/>
    </row>
    <row r="23" spans="1:17" ht="15.6">
      <c r="A23" s="47" t="s">
        <v>34</v>
      </c>
      <c r="B23" s="635">
        <f>199276+27729+38601</f>
        <v>265606</v>
      </c>
      <c r="C23" s="635">
        <v>119326</v>
      </c>
      <c r="D23" s="636">
        <f>78139+19970+30683+27955+43022</f>
        <v>199769</v>
      </c>
      <c r="E23" s="895">
        <v>43022</v>
      </c>
      <c r="F23" s="167"/>
      <c r="G23" s="167"/>
      <c r="H23" s="167"/>
      <c r="I23" s="167"/>
      <c r="J23" s="167"/>
      <c r="K23" s="168"/>
      <c r="L23" s="168"/>
      <c r="M23" s="168"/>
      <c r="N23" s="719"/>
      <c r="O23" s="903">
        <f t="shared" si="2"/>
        <v>1.6741447798468063</v>
      </c>
      <c r="P23" s="730"/>
    </row>
    <row r="24" spans="1:17" ht="15.6">
      <c r="A24" s="53" t="s">
        <v>35</v>
      </c>
      <c r="B24" s="640">
        <v>169502</v>
      </c>
      <c r="C24" s="640">
        <v>72187</v>
      </c>
      <c r="D24" s="641">
        <f>66692+16226+6878+8473</f>
        <v>98269</v>
      </c>
      <c r="E24" s="896">
        <v>8473</v>
      </c>
      <c r="F24" s="167"/>
      <c r="G24" s="167"/>
      <c r="H24" s="167"/>
      <c r="I24" s="167"/>
      <c r="J24" s="167"/>
      <c r="K24" s="168"/>
      <c r="L24" s="168"/>
      <c r="M24" s="168"/>
      <c r="N24" s="719"/>
      <c r="O24" s="903">
        <f t="shared" si="2"/>
        <v>1.3613115935002147</v>
      </c>
      <c r="P24" s="730"/>
    </row>
    <row r="25" spans="1:17" ht="15.6">
      <c r="A25" s="53" t="s">
        <v>121</v>
      </c>
      <c r="B25" s="643">
        <v>0</v>
      </c>
      <c r="C25" s="643"/>
      <c r="D25" s="641">
        <f>209628+72252+79123</f>
        <v>361003</v>
      </c>
      <c r="E25" s="896">
        <v>79123</v>
      </c>
      <c r="F25" s="644"/>
      <c r="G25" s="644"/>
      <c r="H25" s="644"/>
      <c r="I25" s="644"/>
      <c r="J25" s="644"/>
      <c r="K25" s="654"/>
      <c r="L25" s="654"/>
      <c r="M25" s="654"/>
      <c r="N25" s="718"/>
      <c r="O25" s="903"/>
      <c r="P25" s="730"/>
    </row>
    <row r="26" spans="1:17" ht="15.6">
      <c r="A26" s="53" t="s">
        <v>135</v>
      </c>
      <c r="B26" s="643">
        <v>0</v>
      </c>
      <c r="C26" s="643"/>
      <c r="D26" s="641">
        <f>16566+16386+14200</f>
        <v>47152</v>
      </c>
      <c r="E26" s="897">
        <v>14200</v>
      </c>
      <c r="F26" s="644"/>
      <c r="G26" s="644"/>
      <c r="H26" s="644"/>
      <c r="I26" s="644"/>
      <c r="J26" s="644"/>
      <c r="K26" s="654"/>
      <c r="L26" s="654"/>
      <c r="M26" s="654"/>
      <c r="N26" s="718"/>
      <c r="O26" s="903"/>
      <c r="P26" s="730"/>
    </row>
    <row r="27" spans="1:17" ht="15.6">
      <c r="A27" s="47" t="s">
        <v>142</v>
      </c>
      <c r="B27" s="57">
        <f>29509+14652+23209+24242+23009+26529+25218+28150+30612+24870+21148+23890</f>
        <v>295038</v>
      </c>
      <c r="C27" s="57">
        <v>166368</v>
      </c>
      <c r="D27" s="645">
        <f>38233+24856+23222+23965+22242</f>
        <v>132518</v>
      </c>
      <c r="E27" s="898">
        <v>23808</v>
      </c>
      <c r="F27" s="644"/>
      <c r="G27" s="644"/>
      <c r="H27" s="61">
        <v>11381</v>
      </c>
      <c r="I27" s="61">
        <v>12427</v>
      </c>
      <c r="J27" s="61"/>
      <c r="K27" s="188">
        <v>6456</v>
      </c>
      <c r="L27" s="188">
        <v>1322</v>
      </c>
      <c r="M27" s="654"/>
      <c r="N27" s="718"/>
      <c r="O27" s="903">
        <f>+D27/C27</f>
        <v>0.79653539142142715</v>
      </c>
      <c r="P27" s="730"/>
    </row>
    <row r="28" spans="1:17" ht="15.6">
      <c r="A28" s="259"/>
      <c r="B28" s="816">
        <f>SUM(B18:B27)</f>
        <v>2409171</v>
      </c>
      <c r="C28" s="816">
        <f>SUM(C18:C27)</f>
        <v>1331713</v>
      </c>
      <c r="D28" s="818">
        <f>SUM(D18:D27)</f>
        <v>1775187</v>
      </c>
      <c r="E28" s="899">
        <f>SUM(E18:E27)</f>
        <v>323152</v>
      </c>
      <c r="F28" s="67"/>
      <c r="G28" s="67"/>
      <c r="H28" s="67"/>
      <c r="I28" s="67"/>
      <c r="J28" s="67"/>
      <c r="K28" s="191"/>
      <c r="L28" s="191"/>
      <c r="M28" s="654"/>
      <c r="N28" s="718"/>
      <c r="O28" s="903">
        <f>+D28/C28</f>
        <v>1.3330101906341683</v>
      </c>
      <c r="P28" s="730"/>
    </row>
    <row r="29" spans="1:17" ht="15.6">
      <c r="A29" s="649"/>
      <c r="B29" s="820"/>
      <c r="C29" s="820"/>
      <c r="D29" s="821"/>
      <c r="E29" s="822"/>
      <c r="F29" s="654"/>
      <c r="G29" s="654"/>
      <c r="H29" s="654"/>
      <c r="I29" s="654"/>
      <c r="J29" s="654"/>
      <c r="K29" s="654"/>
      <c r="L29" s="654"/>
      <c r="M29" s="654"/>
      <c r="N29" s="718"/>
      <c r="O29" s="849"/>
      <c r="P29" s="730"/>
    </row>
    <row r="30" spans="1:17" ht="15.6">
      <c r="A30" s="13" t="s">
        <v>37</v>
      </c>
      <c r="B30" s="14">
        <f>SUM(B31:B35)</f>
        <v>975868</v>
      </c>
      <c r="C30" s="14">
        <f>SUM(C31:C35)</f>
        <v>559117</v>
      </c>
      <c r="D30" s="806">
        <f>SUM(D31:D35)</f>
        <v>645224</v>
      </c>
      <c r="E30" s="807">
        <f t="shared" ref="E30:N30" si="3">SUM(E31:E35)</f>
        <v>94566</v>
      </c>
      <c r="F30" s="163">
        <f t="shared" si="3"/>
        <v>33178</v>
      </c>
      <c r="G30" s="163">
        <f t="shared" si="3"/>
        <v>34973</v>
      </c>
      <c r="H30" s="163">
        <f t="shared" si="3"/>
        <v>11774</v>
      </c>
      <c r="I30" s="163">
        <f t="shared" si="3"/>
        <v>14641</v>
      </c>
      <c r="J30" s="163"/>
      <c r="K30" s="163">
        <f t="shared" si="3"/>
        <v>21512</v>
      </c>
      <c r="L30" s="163">
        <f t="shared" si="3"/>
        <v>20631</v>
      </c>
      <c r="M30" s="732">
        <f t="shared" si="3"/>
        <v>0</v>
      </c>
      <c r="N30" s="807">
        <f t="shared" si="3"/>
        <v>4162</v>
      </c>
      <c r="O30" s="842">
        <f t="shared" si="2"/>
        <v>1.1540053334096441</v>
      </c>
      <c r="P30" s="729"/>
    </row>
    <row r="31" spans="1:17" ht="15">
      <c r="A31" s="609" t="s">
        <v>38</v>
      </c>
      <c r="B31" s="656">
        <f>31848+3560+3666</f>
        <v>39074</v>
      </c>
      <c r="C31" s="656">
        <v>22460</v>
      </c>
      <c r="D31" s="657">
        <f>8241+5068+4596+5228+4204+4697</f>
        <v>32034</v>
      </c>
      <c r="E31" s="150">
        <f t="shared" ref="E31:E34" si="4">SUM(F31:J31)</f>
        <v>4697</v>
      </c>
      <c r="F31" s="24"/>
      <c r="G31" s="24"/>
      <c r="H31" s="24">
        <v>2356</v>
      </c>
      <c r="I31" s="24">
        <v>2341</v>
      </c>
      <c r="J31" s="612"/>
      <c r="K31" s="168">
        <v>2321</v>
      </c>
      <c r="L31" s="168">
        <f>1347+9</f>
        <v>1356</v>
      </c>
      <c r="M31" s="168"/>
      <c r="N31" s="719"/>
      <c r="O31" s="903">
        <f t="shared" si="2"/>
        <v>1.4262689225289404</v>
      </c>
      <c r="P31" s="733"/>
    </row>
    <row r="32" spans="1:17" ht="15">
      <c r="A32" s="609" t="s">
        <v>149</v>
      </c>
      <c r="B32" s="656"/>
      <c r="C32" s="656"/>
      <c r="D32" s="657">
        <f>4773+4679+4770+4758+5054+5565+4162</f>
        <v>33761</v>
      </c>
      <c r="E32" s="150">
        <f t="shared" si="4"/>
        <v>4162</v>
      </c>
      <c r="F32" s="24"/>
      <c r="G32" s="24"/>
      <c r="H32" s="24">
        <v>2021</v>
      </c>
      <c r="I32" s="24">
        <v>2141</v>
      </c>
      <c r="J32" s="612"/>
      <c r="K32" s="168">
        <v>2210</v>
      </c>
      <c r="L32" s="168">
        <f>940</f>
        <v>940</v>
      </c>
      <c r="M32" s="168"/>
      <c r="N32" s="719">
        <v>4162</v>
      </c>
      <c r="O32" s="903"/>
      <c r="P32" s="733"/>
    </row>
    <row r="33" spans="1:16" ht="15.6">
      <c r="A33" s="87" t="s">
        <v>39</v>
      </c>
      <c r="B33" s="656">
        <f>64505+48073+62185+62452+59765+64280+67096+71165+61780+66528+63320+71042</f>
        <v>762191</v>
      </c>
      <c r="C33" s="656">
        <v>428356</v>
      </c>
      <c r="D33" s="658">
        <f>122864+65834+68474+77377+68757+73572</f>
        <v>476878</v>
      </c>
      <c r="E33" s="150">
        <f t="shared" si="4"/>
        <v>73572</v>
      </c>
      <c r="F33" s="22">
        <v>27526</v>
      </c>
      <c r="G33" s="22">
        <v>29322</v>
      </c>
      <c r="H33" s="22">
        <v>6954</v>
      </c>
      <c r="I33" s="22">
        <v>9770</v>
      </c>
      <c r="J33" s="612"/>
      <c r="K33" s="51">
        <v>14594</v>
      </c>
      <c r="L33" s="51">
        <f>1802+3777+1430+7671</f>
        <v>14680</v>
      </c>
      <c r="M33" s="51"/>
      <c r="N33" s="744"/>
      <c r="O33" s="903">
        <f t="shared" si="2"/>
        <v>1.1132749395362735</v>
      </c>
      <c r="P33" s="707"/>
    </row>
    <row r="34" spans="1:16" ht="15.6">
      <c r="A34" s="87" t="s">
        <v>40</v>
      </c>
      <c r="B34" s="659">
        <f>22490+11900+19473+16591+12914+13370+11563+9278+10032+11317+15030+20645</f>
        <v>174603</v>
      </c>
      <c r="C34" s="659">
        <v>108301</v>
      </c>
      <c r="D34" s="660">
        <f>35860+15843+15535+12262+10916+12135</f>
        <v>102551</v>
      </c>
      <c r="E34" s="620">
        <f t="shared" si="4"/>
        <v>12135</v>
      </c>
      <c r="F34" s="22">
        <v>5652</v>
      </c>
      <c r="G34" s="22">
        <v>5651</v>
      </c>
      <c r="H34" s="22">
        <v>443</v>
      </c>
      <c r="I34" s="22">
        <v>389</v>
      </c>
      <c r="J34" s="664"/>
      <c r="K34" s="51">
        <v>2387</v>
      </c>
      <c r="L34" s="51">
        <f>2833+206+306+310</f>
        <v>3655</v>
      </c>
      <c r="M34" s="270"/>
      <c r="N34" s="656"/>
      <c r="O34" s="903">
        <f t="shared" si="2"/>
        <v>0.94690723077349237</v>
      </c>
      <c r="P34" s="707"/>
    </row>
    <row r="35" spans="1:16" ht="15.6">
      <c r="A35" s="87" t="s">
        <v>41</v>
      </c>
      <c r="B35" s="618"/>
      <c r="C35" s="618"/>
      <c r="D35" s="624"/>
      <c r="E35" s="150"/>
      <c r="F35" s="24"/>
      <c r="G35" s="24"/>
      <c r="H35" s="24"/>
      <c r="I35" s="24"/>
      <c r="J35" s="24"/>
      <c r="K35" s="168"/>
      <c r="L35" s="168"/>
      <c r="M35" s="168"/>
      <c r="N35" s="719"/>
      <c r="O35" s="849"/>
      <c r="P35" s="707"/>
    </row>
    <row r="36" spans="1:16" ht="15.6">
      <c r="A36" s="87"/>
      <c r="B36" s="88"/>
      <c r="C36" s="88"/>
      <c r="D36" s="661"/>
      <c r="E36" s="695"/>
      <c r="F36" s="92"/>
      <c r="G36" s="92"/>
      <c r="H36" s="92"/>
      <c r="I36" s="92"/>
      <c r="J36" s="92"/>
      <c r="K36" s="194"/>
      <c r="L36" s="194"/>
      <c r="M36" s="194"/>
      <c r="N36" s="850"/>
      <c r="O36" s="849"/>
      <c r="P36" s="707"/>
    </row>
    <row r="37" spans="1:16" ht="15.6">
      <c r="A37" s="13" t="s">
        <v>42</v>
      </c>
      <c r="B37" s="14">
        <f t="shared" ref="B37:N37" si="5">SUM(B38:B48)</f>
        <v>8566129</v>
      </c>
      <c r="C37" s="14">
        <f t="shared" si="5"/>
        <v>4880593</v>
      </c>
      <c r="D37" s="806">
        <f t="shared" si="5"/>
        <v>5302702</v>
      </c>
      <c r="E37" s="807">
        <f t="shared" si="5"/>
        <v>815993</v>
      </c>
      <c r="F37" s="17">
        <f t="shared" si="5"/>
        <v>313464</v>
      </c>
      <c r="G37" s="17">
        <f t="shared" si="5"/>
        <v>260841</v>
      </c>
      <c r="H37" s="17">
        <f t="shared" si="5"/>
        <v>69471</v>
      </c>
      <c r="I37" s="17">
        <f t="shared" si="5"/>
        <v>170242</v>
      </c>
      <c r="J37" s="17">
        <f t="shared" si="5"/>
        <v>1975</v>
      </c>
      <c r="K37" s="17">
        <f t="shared" si="5"/>
        <v>193492</v>
      </c>
      <c r="L37" s="17">
        <f t="shared" si="5"/>
        <v>77533</v>
      </c>
      <c r="M37" s="17">
        <f t="shared" si="5"/>
        <v>1703</v>
      </c>
      <c r="N37" s="15">
        <f t="shared" si="5"/>
        <v>96173</v>
      </c>
      <c r="O37" s="842">
        <f t="shared" ref="O37:O51" si="6">+D37/C37</f>
        <v>1.0864872362846072</v>
      </c>
      <c r="P37" s="707"/>
    </row>
    <row r="38" spans="1:16" ht="15.6">
      <c r="A38" s="609" t="s">
        <v>43</v>
      </c>
      <c r="B38" s="618">
        <f>176793+71526+59980+65204+71423+79211+71917+76068+84439+81079</f>
        <v>837640</v>
      </c>
      <c r="C38" s="618">
        <v>444926</v>
      </c>
      <c r="D38" s="624">
        <f>141659+76024+81669+80656+83401+82771</f>
        <v>546180</v>
      </c>
      <c r="E38" s="150">
        <f t="shared" ref="E38:E41" si="7">SUM(F38:J38)</f>
        <v>82771</v>
      </c>
      <c r="F38" s="24"/>
      <c r="G38" s="24"/>
      <c r="H38" s="24">
        <v>18797</v>
      </c>
      <c r="I38" s="24">
        <v>63974</v>
      </c>
      <c r="J38" s="24"/>
      <c r="K38" s="198">
        <f>30+1134</f>
        <v>1164</v>
      </c>
      <c r="L38" s="198">
        <f>225</f>
        <v>225</v>
      </c>
      <c r="M38" s="198"/>
      <c r="N38" s="847"/>
      <c r="O38" s="903">
        <f t="shared" si="6"/>
        <v>1.2275749225713939</v>
      </c>
      <c r="P38" s="707"/>
    </row>
    <row r="39" spans="1:16" ht="15.6">
      <c r="A39" s="609" t="s">
        <v>44</v>
      </c>
      <c r="B39" s="618">
        <f>315296+56739+61665+55007+62647+65661+65065</f>
        <v>682080</v>
      </c>
      <c r="C39" s="618">
        <v>372035</v>
      </c>
      <c r="D39" s="662">
        <f>104618+64282+60352+64355+61155+69820</f>
        <v>424582</v>
      </c>
      <c r="E39" s="620">
        <f t="shared" si="7"/>
        <v>69820</v>
      </c>
      <c r="F39" s="664"/>
      <c r="G39" s="664"/>
      <c r="H39" s="104">
        <v>7615</v>
      </c>
      <c r="I39" s="104">
        <v>62205</v>
      </c>
      <c r="J39" s="104"/>
      <c r="K39" s="199">
        <v>2016</v>
      </c>
      <c r="L39" s="199">
        <f>7414</f>
        <v>7414</v>
      </c>
      <c r="M39" s="199"/>
      <c r="N39" s="851">
        <v>69820</v>
      </c>
      <c r="O39" s="903">
        <f t="shared" si="6"/>
        <v>1.1412420874380098</v>
      </c>
      <c r="P39" s="707"/>
    </row>
    <row r="40" spans="1:16" ht="15.6">
      <c r="A40" s="609" t="s">
        <v>128</v>
      </c>
      <c r="B40" s="618">
        <v>0</v>
      </c>
      <c r="C40" s="618">
        <v>0</v>
      </c>
      <c r="D40" s="662">
        <f>10400+25209+29133</f>
        <v>64742</v>
      </c>
      <c r="E40" s="620">
        <f t="shared" si="7"/>
        <v>29133</v>
      </c>
      <c r="F40" s="612">
        <v>14578</v>
      </c>
      <c r="G40" s="612">
        <v>12636</v>
      </c>
      <c r="H40" s="104"/>
      <c r="I40" s="104"/>
      <c r="J40" s="104">
        <v>1919</v>
      </c>
      <c r="K40" s="201">
        <f>3100+4999</f>
        <v>8099</v>
      </c>
      <c r="L40" s="201">
        <f>220+415</f>
        <v>635</v>
      </c>
      <c r="M40" s="199">
        <v>887</v>
      </c>
      <c r="N40" s="851">
        <v>25332</v>
      </c>
      <c r="O40" s="903"/>
      <c r="P40" s="736"/>
    </row>
    <row r="41" spans="1:16" ht="15.6">
      <c r="A41" s="87" t="s">
        <v>45</v>
      </c>
      <c r="B41" s="665">
        <f>20214+11681+23581+25619+22301+21824+20127+19528+19926+20275+23052+20682</f>
        <v>248810</v>
      </c>
      <c r="C41" s="665">
        <v>145347</v>
      </c>
      <c r="D41" s="660">
        <f>35539+25020+25012+26281+22284+23157</f>
        <v>157293</v>
      </c>
      <c r="E41" s="150">
        <f t="shared" si="7"/>
        <v>23157</v>
      </c>
      <c r="F41" s="24"/>
      <c r="G41" s="24"/>
      <c r="H41" s="24">
        <v>11732</v>
      </c>
      <c r="I41" s="24">
        <v>11425</v>
      </c>
      <c r="J41" s="737"/>
      <c r="K41" s="203">
        <v>6795</v>
      </c>
      <c r="L41" s="168">
        <f>2190+2214</f>
        <v>4404</v>
      </c>
      <c r="M41" s="168">
        <v>476</v>
      </c>
      <c r="N41" s="719"/>
      <c r="O41" s="903">
        <f t="shared" si="6"/>
        <v>1.0821895188755186</v>
      </c>
      <c r="P41" s="707"/>
    </row>
    <row r="42" spans="1:16" ht="15.6">
      <c r="A42" s="87" t="s">
        <v>46</v>
      </c>
      <c r="B42" s="666">
        <f>36191+20920+29070+23929+27875+30427+28473+27605+28149+32945+33352+27283</f>
        <v>346219</v>
      </c>
      <c r="C42" s="666">
        <v>196885</v>
      </c>
      <c r="D42" s="100">
        <f>42541+28883+28001+23533+23137+31624</f>
        <v>177719</v>
      </c>
      <c r="E42" s="150">
        <f>SUM(H42:J42)</f>
        <v>31624</v>
      </c>
      <c r="F42" s="685"/>
      <c r="G42" s="644"/>
      <c r="H42" s="24">
        <v>15661</v>
      </c>
      <c r="I42" s="24">
        <v>15963</v>
      </c>
      <c r="J42" s="612"/>
      <c r="K42" s="168">
        <f>5014+4485</f>
        <v>9499</v>
      </c>
      <c r="L42" s="168">
        <f>99+846</f>
        <v>945</v>
      </c>
      <c r="M42" s="168">
        <v>340</v>
      </c>
      <c r="N42" s="719"/>
      <c r="O42" s="903">
        <f t="shared" si="6"/>
        <v>0.90265383345607841</v>
      </c>
      <c r="P42" s="707"/>
    </row>
    <row r="43" spans="1:16" ht="15.6">
      <c r="A43" s="87" t="s">
        <v>47</v>
      </c>
      <c r="B43" s="666">
        <f>12008+9467+14763+14113+14691+14606+10209+8082+10081+11470+13518+17152</f>
        <v>150160</v>
      </c>
      <c r="C43" s="666">
        <v>89857</v>
      </c>
      <c r="D43" s="100">
        <f>35287+23392+31491+27296+34444+33654</f>
        <v>185564</v>
      </c>
      <c r="E43" s="150">
        <f>SUM(F43:J43)</f>
        <v>33654</v>
      </c>
      <c r="F43" s="24">
        <v>14989</v>
      </c>
      <c r="G43" s="24">
        <v>18609</v>
      </c>
      <c r="H43" s="24"/>
      <c r="I43" s="24"/>
      <c r="J43" s="24">
        <v>56</v>
      </c>
      <c r="K43" s="168">
        <v>10966</v>
      </c>
      <c r="L43" s="168">
        <f>2276+5693</f>
        <v>7969</v>
      </c>
      <c r="M43" s="168"/>
      <c r="N43" s="719">
        <v>19</v>
      </c>
      <c r="O43" s="903">
        <f t="shared" si="6"/>
        <v>2.0651034421358379</v>
      </c>
      <c r="P43" s="707"/>
    </row>
    <row r="44" spans="1:16" ht="15.6">
      <c r="A44" s="87" t="s">
        <v>48</v>
      </c>
      <c r="B44" s="666">
        <f>492323+373517+489518+501319+498148+483300+509517+496996+483525+491240+487179+505109</f>
        <v>5811691</v>
      </c>
      <c r="C44" s="666">
        <v>3347642</v>
      </c>
      <c r="D44" s="100">
        <f>890002+542749+505450+501865+511958+508971</f>
        <v>3460995</v>
      </c>
      <c r="E44" s="150">
        <f>SUM(F44:J44)</f>
        <v>508971</v>
      </c>
      <c r="F44" s="24">
        <v>282483</v>
      </c>
      <c r="G44" s="24">
        <v>226488</v>
      </c>
      <c r="H44" s="24"/>
      <c r="I44" s="612"/>
      <c r="J44" s="24"/>
      <c r="K44" s="51">
        <v>154513</v>
      </c>
      <c r="L44" s="51">
        <f>16625+39136</f>
        <v>55761</v>
      </c>
      <c r="M44" s="168"/>
      <c r="N44" s="719"/>
      <c r="O44" s="903">
        <f t="shared" si="6"/>
        <v>1.033860550202202</v>
      </c>
      <c r="P44" s="707"/>
    </row>
    <row r="45" spans="1:16" ht="15.6">
      <c r="A45" s="87" t="s">
        <v>49</v>
      </c>
      <c r="B45" s="666">
        <f>41444+27037+39698+37856+42480+38521+41958+41846+36877+41203+36023+42811</f>
        <v>467754</v>
      </c>
      <c r="C45" s="666">
        <v>268994</v>
      </c>
      <c r="D45" s="667">
        <f>72994+40474+40234+42273+44855+35607</f>
        <v>276437</v>
      </c>
      <c r="E45" s="620">
        <f>SUM(F45:J45)</f>
        <v>35607</v>
      </c>
      <c r="F45" s="102">
        <v>914</v>
      </c>
      <c r="G45" s="102">
        <v>2352</v>
      </c>
      <c r="H45" s="102">
        <v>15666</v>
      </c>
      <c r="I45" s="102">
        <v>16675</v>
      </c>
      <c r="J45" s="104"/>
      <c r="K45" s="199"/>
      <c r="L45" s="199"/>
      <c r="M45" s="199"/>
      <c r="N45" s="851"/>
      <c r="O45" s="903">
        <f t="shared" si="6"/>
        <v>1.0276697621508286</v>
      </c>
      <c r="P45" s="707"/>
    </row>
    <row r="46" spans="1:16" ht="15.6">
      <c r="A46" s="87" t="s">
        <v>50</v>
      </c>
      <c r="B46" s="656"/>
      <c r="C46" s="656"/>
      <c r="D46" s="668"/>
      <c r="E46" s="620"/>
      <c r="F46" s="104"/>
      <c r="G46" s="104"/>
      <c r="H46" s="104"/>
      <c r="I46" s="104"/>
      <c r="J46" s="104"/>
      <c r="K46" s="199"/>
      <c r="L46" s="199"/>
      <c r="M46" s="199"/>
      <c r="N46" s="851"/>
      <c r="O46" s="903"/>
      <c r="P46" s="736"/>
    </row>
    <row r="47" spans="1:16" ht="15.6">
      <c r="A47" s="87" t="s">
        <v>51</v>
      </c>
      <c r="B47" s="669">
        <f>1591+185+300+228+282+250+254+222+245+289+277+286</f>
        <v>4409</v>
      </c>
      <c r="C47" s="669">
        <v>3090</v>
      </c>
      <c r="D47" s="670">
        <f>571+277+257+232+206+265</f>
        <v>1808</v>
      </c>
      <c r="E47" s="620">
        <f>SUM(F47:J47)</f>
        <v>265</v>
      </c>
      <c r="F47" s="104">
        <v>120</v>
      </c>
      <c r="G47" s="104">
        <v>145</v>
      </c>
      <c r="H47" s="104"/>
      <c r="I47" s="104"/>
      <c r="J47" s="104"/>
      <c r="K47" s="199">
        <v>265</v>
      </c>
      <c r="L47" s="199">
        <f>120</f>
        <v>120</v>
      </c>
      <c r="M47" s="199"/>
      <c r="N47" s="851">
        <v>11</v>
      </c>
      <c r="O47" s="903">
        <f t="shared" si="6"/>
        <v>0.58511326860841428</v>
      </c>
      <c r="P47" s="707"/>
    </row>
    <row r="48" spans="1:16" ht="15.6">
      <c r="A48" s="671" t="s">
        <v>52</v>
      </c>
      <c r="B48" s="672">
        <f>5554+2707+1759+1797+950+1036+1570+888+1105</f>
        <v>17366</v>
      </c>
      <c r="C48" s="672">
        <v>11817</v>
      </c>
      <c r="D48" s="673">
        <f>2295+1345+583+1118+1050+991</f>
        <v>7382</v>
      </c>
      <c r="E48" s="629">
        <f>SUM(F48:F48:J48)</f>
        <v>991</v>
      </c>
      <c r="F48" s="110">
        <v>380</v>
      </c>
      <c r="G48" s="110">
        <v>611</v>
      </c>
      <c r="H48" s="110"/>
      <c r="I48" s="110"/>
      <c r="J48" s="738"/>
      <c r="K48" s="739">
        <f>26+149</f>
        <v>175</v>
      </c>
      <c r="L48" s="205">
        <f>60</f>
        <v>60</v>
      </c>
      <c r="M48" s="205"/>
      <c r="N48" s="724">
        <v>991</v>
      </c>
      <c r="O48" s="903">
        <f t="shared" si="6"/>
        <v>0.62469323855462466</v>
      </c>
      <c r="P48" s="707"/>
    </row>
    <row r="49" spans="1:17" ht="15.6">
      <c r="A49" s="112" t="s">
        <v>53</v>
      </c>
      <c r="B49" s="113">
        <f>43919+38655+49389+49920+41452+46211+54147+61115+45816+53985+53251+54204</f>
        <v>592064</v>
      </c>
      <c r="C49" s="113">
        <v>323693</v>
      </c>
      <c r="D49" s="823">
        <f>46498+25145+53554+45477+47222+51070+47167</f>
        <v>316133</v>
      </c>
      <c r="E49" s="824">
        <f>SUM(F49:J49)</f>
        <v>47167</v>
      </c>
      <c r="F49" s="825">
        <v>26169</v>
      </c>
      <c r="G49" s="825">
        <v>19646</v>
      </c>
      <c r="H49" s="825"/>
      <c r="I49" s="852"/>
      <c r="J49" s="825">
        <v>1352</v>
      </c>
      <c r="K49" s="853">
        <f>4903+5223+47</f>
        <v>10173</v>
      </c>
      <c r="L49" s="853">
        <f>500+135+29</f>
        <v>664</v>
      </c>
      <c r="M49" s="854"/>
      <c r="N49" s="855">
        <v>2004</v>
      </c>
      <c r="O49" s="904">
        <f t="shared" si="6"/>
        <v>0.97664453664428952</v>
      </c>
      <c r="P49" s="856"/>
    </row>
    <row r="50" spans="1:17">
      <c r="A50" s="87"/>
      <c r="B50" s="118"/>
      <c r="C50" s="118"/>
      <c r="D50" s="676"/>
      <c r="E50" s="677"/>
      <c r="F50" s="121"/>
      <c r="G50" s="121"/>
      <c r="H50" s="121"/>
      <c r="I50" s="121"/>
      <c r="J50" s="121"/>
      <c r="K50" s="212"/>
      <c r="L50" s="212"/>
      <c r="M50" s="212"/>
      <c r="N50" s="743"/>
      <c r="O50" s="849"/>
      <c r="P50" s="905"/>
    </row>
    <row r="51" spans="1:17" ht="15.6">
      <c r="A51" s="13" t="s">
        <v>54</v>
      </c>
      <c r="B51" s="14">
        <f t="shared" ref="B51:I51" si="8">SUM(B52:B58)</f>
        <v>4719935</v>
      </c>
      <c r="C51" s="14">
        <f t="shared" si="8"/>
        <v>2575107</v>
      </c>
      <c r="D51" s="806">
        <f t="shared" si="8"/>
        <v>3218235</v>
      </c>
      <c r="E51" s="826">
        <f t="shared" si="8"/>
        <v>489234</v>
      </c>
      <c r="F51" s="15">
        <f t="shared" si="8"/>
        <v>190811</v>
      </c>
      <c r="G51" s="15">
        <f t="shared" si="8"/>
        <v>224673</v>
      </c>
      <c r="H51" s="15">
        <f t="shared" si="8"/>
        <v>9206</v>
      </c>
      <c r="I51" s="15">
        <f t="shared" si="8"/>
        <v>5484</v>
      </c>
      <c r="J51" s="17">
        <f>SUM(J52:J59)</f>
        <v>78075</v>
      </c>
      <c r="K51" s="17">
        <f>SUM(K52:K59)</f>
        <v>50835</v>
      </c>
      <c r="L51" s="17">
        <f>SUM(L52:L59)</f>
        <v>152618</v>
      </c>
      <c r="M51" s="17">
        <f>SUM(M52:M59)</f>
        <v>1854</v>
      </c>
      <c r="N51" s="15">
        <f>SUM(N52:N59)</f>
        <v>68667</v>
      </c>
      <c r="O51" s="842">
        <f t="shared" si="6"/>
        <v>1.2497480687210278</v>
      </c>
      <c r="P51" s="707"/>
    </row>
    <row r="52" spans="1:17" ht="15.6">
      <c r="A52" s="87" t="s">
        <v>55</v>
      </c>
      <c r="B52" s="618"/>
      <c r="C52" s="618"/>
      <c r="D52" s="624"/>
      <c r="E52" s="150">
        <f t="shared" ref="E52:E57" si="9">SUM(F52:J52)</f>
        <v>0</v>
      </c>
      <c r="F52" s="24"/>
      <c r="G52" s="24"/>
      <c r="H52" s="24"/>
      <c r="I52" s="24"/>
      <c r="J52" s="24"/>
      <c r="K52" s="51"/>
      <c r="L52" s="51"/>
      <c r="M52" s="51"/>
      <c r="N52" s="744"/>
      <c r="O52" s="849"/>
      <c r="P52" s="707"/>
    </row>
    <row r="53" spans="1:17" ht="15">
      <c r="A53" s="680" t="s">
        <v>56</v>
      </c>
      <c r="B53" s="656">
        <f>152617+131920+130997+153389+149066+196349+174625+189556+159615+174414+174638+173536</f>
        <v>1960722</v>
      </c>
      <c r="C53" s="900">
        <v>1088963</v>
      </c>
      <c r="D53" s="658">
        <f>209453+123222+177525+182527+179497+190574+195216</f>
        <v>1258014</v>
      </c>
      <c r="E53" s="828">
        <f t="shared" si="9"/>
        <v>195216</v>
      </c>
      <c r="F53" s="24">
        <v>78890</v>
      </c>
      <c r="G53" s="24">
        <v>90924</v>
      </c>
      <c r="H53" s="24">
        <v>8125</v>
      </c>
      <c r="I53" s="24">
        <v>3922</v>
      </c>
      <c r="J53" s="24">
        <v>13355</v>
      </c>
      <c r="K53" s="168">
        <v>20536</v>
      </c>
      <c r="L53" s="168">
        <f>58634+898+1640+729+5894</f>
        <v>67795</v>
      </c>
      <c r="M53" s="168"/>
      <c r="N53" s="719"/>
      <c r="O53" s="906">
        <v>0.83092930647249097</v>
      </c>
      <c r="P53" s="745"/>
    </row>
    <row r="54" spans="1:17" ht="15">
      <c r="A54" s="682"/>
      <c r="B54" s="656"/>
      <c r="C54" s="901"/>
      <c r="D54" s="658"/>
      <c r="E54" s="830"/>
      <c r="F54" s="24"/>
      <c r="G54" s="24"/>
      <c r="H54" s="24"/>
      <c r="I54" s="24"/>
      <c r="J54" s="24"/>
      <c r="K54" s="168"/>
      <c r="L54" s="168"/>
      <c r="M54" s="168"/>
      <c r="N54" s="719"/>
      <c r="O54" s="907"/>
      <c r="P54" s="746"/>
    </row>
    <row r="55" spans="1:17" ht="15.6">
      <c r="A55" s="87" t="s">
        <v>57</v>
      </c>
      <c r="B55" s="684">
        <f>97537+55586+99611+80866+84077+87464+89817+110297+103108+86858+89238+102094</f>
        <v>1086553</v>
      </c>
      <c r="C55" s="684">
        <v>594958</v>
      </c>
      <c r="D55" s="660">
        <f>104773+79448+108729+100750+114908+101767+109538</f>
        <v>719913</v>
      </c>
      <c r="E55" s="150">
        <f t="shared" si="9"/>
        <v>109538</v>
      </c>
      <c r="F55" s="22">
        <v>51243</v>
      </c>
      <c r="G55" s="22">
        <v>47390</v>
      </c>
      <c r="H55" s="22"/>
      <c r="I55" s="612"/>
      <c r="J55" s="22">
        <v>10905</v>
      </c>
      <c r="K55" s="51">
        <v>7970</v>
      </c>
      <c r="L55" s="51">
        <f>37013+3154+4096</f>
        <v>44263</v>
      </c>
      <c r="M55" s="51"/>
      <c r="N55" s="744"/>
      <c r="O55" s="903">
        <f t="shared" ref="O55:O57" si="10">+D55/C55</f>
        <v>1.2100232285304173</v>
      </c>
      <c r="P55" s="747"/>
    </row>
    <row r="56" spans="1:17" ht="15.6">
      <c r="A56" s="68" t="s">
        <v>58</v>
      </c>
      <c r="B56" s="669">
        <f>59734+65037+69566+76869+85180+98871+84349+95878+74900+91720+96454+90939</f>
        <v>989497</v>
      </c>
      <c r="C56" s="669">
        <v>539606</v>
      </c>
      <c r="D56" s="100">
        <f>90832+90726+97425+112194+114431+98379+101821</f>
        <v>705808</v>
      </c>
      <c r="E56" s="150">
        <f t="shared" si="9"/>
        <v>101821</v>
      </c>
      <c r="F56" s="24">
        <v>32344</v>
      </c>
      <c r="G56" s="24">
        <v>49209</v>
      </c>
      <c r="H56" s="24"/>
      <c r="I56" s="748"/>
      <c r="J56" s="24">
        <v>20268</v>
      </c>
      <c r="K56" s="168">
        <v>9911</v>
      </c>
      <c r="L56" s="168">
        <f>14502+252+4946</f>
        <v>19700</v>
      </c>
      <c r="M56" s="51"/>
      <c r="N56" s="744"/>
      <c r="O56" s="903">
        <f t="shared" si="10"/>
        <v>1.3080062119398228</v>
      </c>
      <c r="P56" s="707"/>
    </row>
    <row r="57" spans="1:17" ht="15.6">
      <c r="A57" s="68" t="s">
        <v>59</v>
      </c>
      <c r="B57" s="669">
        <f>47624+41548+39771+61527+61540+40461+59109+75205+60419+66567+64451+64941</f>
        <v>683163</v>
      </c>
      <c r="C57" s="669">
        <v>351580</v>
      </c>
      <c r="D57" s="100">
        <f>85962+38994+58375+82416+99455+86639+82659</f>
        <v>534500</v>
      </c>
      <c r="E57" s="150">
        <f t="shared" si="9"/>
        <v>82659</v>
      </c>
      <c r="F57" s="24">
        <v>28334</v>
      </c>
      <c r="G57" s="24">
        <v>37150</v>
      </c>
      <c r="H57" s="24">
        <v>1081</v>
      </c>
      <c r="I57" s="748">
        <v>1562</v>
      </c>
      <c r="J57" s="24">
        <v>14532</v>
      </c>
      <c r="K57" s="168">
        <v>12418</v>
      </c>
      <c r="L57" s="168">
        <f>15284+1758+806+1218+1794</f>
        <v>20860</v>
      </c>
      <c r="M57" s="51">
        <v>1854</v>
      </c>
      <c r="N57" s="744">
        <v>68667</v>
      </c>
      <c r="O57" s="903">
        <f t="shared" si="10"/>
        <v>1.5202798794015586</v>
      </c>
      <c r="P57" s="742"/>
    </row>
    <row r="58" spans="1:17" ht="15.6">
      <c r="A58" s="129" t="s">
        <v>113</v>
      </c>
      <c r="B58" s="686"/>
      <c r="C58" s="687"/>
      <c r="D58" s="688"/>
      <c r="E58" s="689"/>
      <c r="F58" s="690"/>
      <c r="G58" s="690"/>
      <c r="H58" s="690"/>
      <c r="I58" s="690"/>
      <c r="J58" s="690"/>
      <c r="K58" s="749"/>
      <c r="L58" s="749"/>
      <c r="M58" s="749"/>
      <c r="N58" s="750"/>
      <c r="O58" s="908"/>
      <c r="P58" s="747"/>
      <c r="Q58" s="755"/>
    </row>
    <row r="59" spans="1:17" ht="15.6">
      <c r="A59" s="831" t="s">
        <v>61</v>
      </c>
      <c r="B59" s="832">
        <v>1755236</v>
      </c>
      <c r="C59" s="832">
        <v>1365986</v>
      </c>
      <c r="D59" s="833">
        <f>160453+128740+156241+124079+160453+172626+174404</f>
        <v>1076996</v>
      </c>
      <c r="E59" s="902">
        <f t="shared" ref="E59" si="11">SUM(F59:J59)</f>
        <v>174404</v>
      </c>
      <c r="F59" s="835">
        <v>66185</v>
      </c>
      <c r="G59" s="835">
        <v>89204</v>
      </c>
      <c r="H59" s="836"/>
      <c r="I59" s="836"/>
      <c r="J59" s="825">
        <f>22835-3820</f>
        <v>19015</v>
      </c>
      <c r="K59" s="861"/>
      <c r="L59" s="861"/>
      <c r="M59" s="861"/>
      <c r="N59" s="862"/>
      <c r="O59" s="904">
        <f t="shared" ref="O59" si="12">+D59/C59</f>
        <v>0.78843853450913848</v>
      </c>
      <c r="P59" s="863"/>
      <c r="Q59" s="265"/>
    </row>
    <row r="60" spans="1:17" ht="15.6">
      <c r="A60" s="68"/>
      <c r="B60" s="693"/>
      <c r="C60" s="693"/>
      <c r="D60" s="694"/>
      <c r="E60" s="695"/>
      <c r="F60" s="696"/>
      <c r="G60" s="696"/>
      <c r="H60" s="260"/>
      <c r="I60" s="696"/>
      <c r="J60" s="212"/>
      <c r="K60" s="51"/>
      <c r="L60" s="51"/>
      <c r="M60" s="51"/>
      <c r="N60" s="744"/>
      <c r="O60" s="849"/>
      <c r="P60" s="742"/>
      <c r="Q60" s="265"/>
    </row>
    <row r="61" spans="1:17" ht="15.6">
      <c r="A61" s="140" t="s">
        <v>62</v>
      </c>
      <c r="B61" s="141">
        <f>SUM(B62:B69)</f>
        <v>55955</v>
      </c>
      <c r="C61" s="141">
        <f>SUM(C62:C69)</f>
        <v>30802</v>
      </c>
      <c r="D61" s="837">
        <f>SUM(D62:D69)</f>
        <v>32591</v>
      </c>
      <c r="E61" s="838">
        <f t="shared" ref="E61" si="13">SUM(E62:E69)</f>
        <v>5794</v>
      </c>
      <c r="F61" s="839"/>
      <c r="G61" s="838">
        <f t="shared" ref="G61:N61" si="14">SUM(G62:G69)</f>
        <v>1063</v>
      </c>
      <c r="H61" s="838">
        <f t="shared" si="14"/>
        <v>2697</v>
      </c>
      <c r="I61" s="838">
        <f t="shared" si="14"/>
        <v>2034</v>
      </c>
      <c r="J61" s="839"/>
      <c r="K61" s="838">
        <f t="shared" si="14"/>
        <v>2949</v>
      </c>
      <c r="L61" s="838">
        <f t="shared" si="14"/>
        <v>1639</v>
      </c>
      <c r="M61" s="838">
        <f t="shared" si="14"/>
        <v>0</v>
      </c>
      <c r="N61" s="864">
        <f t="shared" si="14"/>
        <v>4249</v>
      </c>
      <c r="O61" s="842">
        <f t="shared" ref="O61:O62" si="15">+D61/C61</f>
        <v>1.0580806441140185</v>
      </c>
      <c r="P61" s="707"/>
      <c r="Q61" s="265"/>
    </row>
    <row r="62" spans="1:17" ht="15.6">
      <c r="A62" s="68" t="s">
        <v>122</v>
      </c>
      <c r="B62" s="669">
        <f>335+74+675+1816+624+522+232+273+655+1600+1480+1538</f>
        <v>9824</v>
      </c>
      <c r="C62" s="669">
        <v>4278</v>
      </c>
      <c r="D62" s="702">
        <f>1496+768+675+870+1016+1247</f>
        <v>6072</v>
      </c>
      <c r="E62" s="150">
        <f t="shared" ref="E62:E69" si="16">SUM(F62:J62)</f>
        <v>1247</v>
      </c>
      <c r="F62" s="703"/>
      <c r="G62" s="24"/>
      <c r="H62" s="33">
        <v>706</v>
      </c>
      <c r="I62" s="24">
        <v>541</v>
      </c>
      <c r="J62" s="24"/>
      <c r="K62" s="51">
        <v>297</v>
      </c>
      <c r="L62" s="51">
        <f>11+376</f>
        <v>387</v>
      </c>
      <c r="M62" s="51"/>
      <c r="N62" s="744"/>
      <c r="O62" s="903">
        <f t="shared" si="15"/>
        <v>1.4193548387096775</v>
      </c>
      <c r="P62" s="707"/>
    </row>
    <row r="63" spans="1:17" ht="15.6">
      <c r="A63" s="68" t="s">
        <v>64</v>
      </c>
      <c r="B63" s="618"/>
      <c r="C63" s="618"/>
      <c r="D63" s="704"/>
      <c r="E63" s="150">
        <f t="shared" si="16"/>
        <v>0</v>
      </c>
      <c r="F63" s="149"/>
      <c r="G63" s="150"/>
      <c r="H63" s="24"/>
      <c r="I63" s="24"/>
      <c r="J63" s="24"/>
      <c r="K63" s="51"/>
      <c r="L63" s="51"/>
      <c r="M63" s="51"/>
      <c r="N63" s="744"/>
      <c r="O63" s="903"/>
      <c r="P63" s="707"/>
    </row>
    <row r="64" spans="1:17" ht="15.6">
      <c r="A64" s="68" t="s">
        <v>65</v>
      </c>
      <c r="B64" s="669">
        <f>1670+1062+1129+1350+1391+1439+1192+1252+1332+1078+1196+1258</f>
        <v>15349</v>
      </c>
      <c r="C64" s="669">
        <v>9233</v>
      </c>
      <c r="D64" s="702">
        <f>1143+584+1068+1170+1018+1940</f>
        <v>6923</v>
      </c>
      <c r="E64" s="150">
        <f t="shared" si="16"/>
        <v>1940</v>
      </c>
      <c r="F64" s="33"/>
      <c r="G64" s="150">
        <v>1063</v>
      </c>
      <c r="H64" s="24">
        <v>877</v>
      </c>
      <c r="I64" s="24"/>
      <c r="J64" s="24"/>
      <c r="K64" s="51">
        <f>322+467</f>
        <v>789</v>
      </c>
      <c r="L64" s="51"/>
      <c r="M64" s="51"/>
      <c r="N64" s="744">
        <v>1940</v>
      </c>
      <c r="O64" s="903">
        <f t="shared" ref="O64:O65" si="17">+D64/C64</f>
        <v>0.74981046247156935</v>
      </c>
      <c r="P64" s="707"/>
    </row>
    <row r="65" spans="1:17" ht="15.6">
      <c r="A65" s="68" t="s">
        <v>66</v>
      </c>
      <c r="B65" s="618">
        <f>1089+517+1381+2546+1336+1503+1713+1785+1646+1436+909+1418</f>
        <v>17279</v>
      </c>
      <c r="C65" s="618">
        <v>10085</v>
      </c>
      <c r="D65" s="704">
        <f>9020+1300</f>
        <v>10320</v>
      </c>
      <c r="E65" s="150">
        <f t="shared" si="16"/>
        <v>1300</v>
      </c>
      <c r="F65" s="149"/>
      <c r="G65" s="150"/>
      <c r="H65" s="24">
        <v>624</v>
      </c>
      <c r="I65" s="24">
        <v>676</v>
      </c>
      <c r="J65" s="24"/>
      <c r="K65" s="168">
        <v>1002</v>
      </c>
      <c r="L65" s="168">
        <f>623+1</f>
        <v>624</v>
      </c>
      <c r="M65" s="51"/>
      <c r="N65" s="744">
        <v>1002</v>
      </c>
      <c r="O65" s="903">
        <f t="shared" si="17"/>
        <v>1.0233019335647</v>
      </c>
      <c r="P65" s="707"/>
    </row>
    <row r="66" spans="1:17" ht="15.6">
      <c r="A66" s="758" t="s">
        <v>67</v>
      </c>
      <c r="B66" s="656"/>
      <c r="C66" s="656">
        <v>0</v>
      </c>
      <c r="D66" s="657"/>
      <c r="E66" s="150">
        <f t="shared" si="16"/>
        <v>0</v>
      </c>
      <c r="F66" s="227"/>
      <c r="G66" s="150"/>
      <c r="H66" s="24"/>
      <c r="I66" s="24"/>
      <c r="J66" s="24"/>
      <c r="K66" s="51"/>
      <c r="L66" s="51"/>
      <c r="M66" s="51"/>
      <c r="N66" s="744"/>
      <c r="O66" s="903"/>
      <c r="P66" s="707"/>
    </row>
    <row r="67" spans="1:17" ht="15.6">
      <c r="A67" s="68" t="s">
        <v>68</v>
      </c>
      <c r="B67" s="618">
        <f>949+632+800+680+378+254+120+150+155+159+135+133</f>
        <v>4545</v>
      </c>
      <c r="C67" s="618">
        <v>3813</v>
      </c>
      <c r="D67" s="759">
        <f>492+846+747+924+857+985</f>
        <v>4851</v>
      </c>
      <c r="E67" s="150">
        <f t="shared" si="16"/>
        <v>985</v>
      </c>
      <c r="F67" s="149"/>
      <c r="G67" s="150"/>
      <c r="H67" s="24">
        <v>398</v>
      </c>
      <c r="I67" s="24">
        <v>587</v>
      </c>
      <c r="J67" s="24"/>
      <c r="K67" s="168">
        <f>0+587</f>
        <v>587</v>
      </c>
      <c r="L67" s="168">
        <f>398+0</f>
        <v>398</v>
      </c>
      <c r="M67" s="51"/>
      <c r="N67" s="744">
        <v>985</v>
      </c>
      <c r="O67" s="903">
        <f t="shared" ref="O67" si="18">+D67/C67</f>
        <v>1.2722265932336743</v>
      </c>
      <c r="P67" s="707"/>
    </row>
    <row r="68" spans="1:17" ht="15.6">
      <c r="A68" s="614" t="s">
        <v>69</v>
      </c>
      <c r="B68" s="669"/>
      <c r="C68" s="760"/>
      <c r="D68" s="702"/>
      <c r="E68" s="150">
        <f t="shared" si="16"/>
        <v>0</v>
      </c>
      <c r="F68" s="33"/>
      <c r="G68" s="761"/>
      <c r="H68" s="612"/>
      <c r="I68" s="612"/>
      <c r="J68" s="612"/>
      <c r="K68" s="654"/>
      <c r="L68" s="654"/>
      <c r="M68" s="654"/>
      <c r="N68" s="718"/>
      <c r="O68" s="903"/>
      <c r="P68" s="707"/>
    </row>
    <row r="69" spans="1:17" ht="15.6">
      <c r="A69" s="68" t="s">
        <v>70</v>
      </c>
      <c r="B69" s="669">
        <f>703+210+509+267+526+508+670+637+1462+1836+801+829</f>
        <v>8958</v>
      </c>
      <c r="C69" s="669">
        <v>3393</v>
      </c>
      <c r="D69" s="762">
        <f>1225+704+651+766+757+322</f>
        <v>4425</v>
      </c>
      <c r="E69" s="150">
        <f t="shared" si="16"/>
        <v>322</v>
      </c>
      <c r="F69" s="24"/>
      <c r="G69" s="24"/>
      <c r="H69" s="24">
        <v>92</v>
      </c>
      <c r="I69" s="24">
        <v>230</v>
      </c>
      <c r="J69" s="24"/>
      <c r="K69" s="168">
        <v>274</v>
      </c>
      <c r="L69" s="168">
        <f>230</f>
        <v>230</v>
      </c>
      <c r="M69" s="168"/>
      <c r="N69" s="719">
        <v>322</v>
      </c>
      <c r="O69" s="903">
        <f t="shared" ref="O69" si="19">+D69/C69</f>
        <v>1.304155614500442</v>
      </c>
      <c r="P69" s="707"/>
      <c r="Q69" s="754"/>
    </row>
    <row r="70" spans="1:17" ht="15.6">
      <c r="A70" s="231"/>
      <c r="B70" s="763"/>
      <c r="C70" s="764"/>
      <c r="D70" s="866"/>
      <c r="E70" s="765"/>
      <c r="F70" s="766"/>
      <c r="G70" s="766"/>
      <c r="H70" s="766"/>
      <c r="I70" s="766"/>
      <c r="J70" s="766"/>
      <c r="K70" s="780"/>
      <c r="L70" s="780"/>
      <c r="M70" s="780"/>
      <c r="N70" s="781"/>
      <c r="O70" s="909"/>
      <c r="P70" s="707"/>
    </row>
    <row r="71" spans="1:17" ht="15">
      <c r="A71" s="235" t="s">
        <v>71</v>
      </c>
      <c r="B71" s="236">
        <f>B6+B30+B37+B51+B61</f>
        <v>19294570</v>
      </c>
      <c r="C71" s="867">
        <f>C6+C30+C37+C51+C61</f>
        <v>10892816</v>
      </c>
      <c r="D71" s="868">
        <f>D6+D30+D37+D51+D61</f>
        <v>11997125</v>
      </c>
      <c r="E71" s="869">
        <f>E6+E30+E37+E51+E61</f>
        <v>1808100</v>
      </c>
      <c r="F71" s="870">
        <f>F6+F30+F37+F51+F61</f>
        <v>717598</v>
      </c>
      <c r="G71" s="870">
        <f t="shared" ref="G71:N71" si="20">G6+G30+F37+G51+G61</f>
        <v>733604</v>
      </c>
      <c r="H71" s="870">
        <f t="shared" si="20"/>
        <v>309949</v>
      </c>
      <c r="I71" s="870">
        <f t="shared" si="20"/>
        <v>112308</v>
      </c>
      <c r="J71" s="870">
        <f t="shared" si="20"/>
        <v>248329</v>
      </c>
      <c r="K71" s="870">
        <f t="shared" si="20"/>
        <v>134303</v>
      </c>
      <c r="L71" s="870">
        <f t="shared" si="20"/>
        <v>437113</v>
      </c>
      <c r="M71" s="870">
        <f t="shared" si="20"/>
        <v>82406</v>
      </c>
      <c r="N71" s="883">
        <f t="shared" si="20"/>
        <v>85161</v>
      </c>
      <c r="O71" s="910">
        <f t="shared" ref="O71" si="21">+D71/C71</f>
        <v>1.1013795698008668</v>
      </c>
      <c r="P71" s="783"/>
    </row>
    <row r="72" spans="1:17">
      <c r="A72" s="871" t="s">
        <v>72</v>
      </c>
      <c r="B72" s="872">
        <f>+B71+B28+B49+B59</f>
        <v>24051041</v>
      </c>
      <c r="C72" s="872">
        <f>+C71+C28+C49+C59</f>
        <v>13914208</v>
      </c>
      <c r="D72" s="873">
        <f>+D71+D28+D49+D59</f>
        <v>15165441</v>
      </c>
      <c r="E72" s="873">
        <f>+E71+E28+E49+E59</f>
        <v>2352823</v>
      </c>
      <c r="F72" s="772"/>
      <c r="G72" s="772"/>
      <c r="H72" s="772"/>
      <c r="I72" s="772"/>
      <c r="J72" s="772"/>
      <c r="K72" s="772"/>
      <c r="L72" s="772"/>
      <c r="M72" s="784"/>
      <c r="N72" s="772"/>
      <c r="O72" s="911"/>
    </row>
    <row r="73" spans="1:17">
      <c r="A73" s="2"/>
      <c r="B73" s="241"/>
      <c r="C73" s="241"/>
      <c r="D73" s="242"/>
      <c r="E73" s="242"/>
      <c r="F73" s="3"/>
      <c r="G73" s="3"/>
      <c r="H73" s="3"/>
      <c r="I73" s="3"/>
      <c r="J73" s="3"/>
      <c r="K73" s="3"/>
      <c r="L73" s="3"/>
      <c r="M73" s="3" t="s">
        <v>150</v>
      </c>
      <c r="N73" s="3"/>
      <c r="O73" s="2"/>
    </row>
    <row r="74" spans="1:17">
      <c r="B74" s="2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2"/>
    </row>
    <row r="75" spans="1:17">
      <c r="B75" s="2"/>
      <c r="C75" s="2"/>
      <c r="D75" s="773" t="s">
        <v>74</v>
      </c>
      <c r="E75" s="773" t="s">
        <v>75</v>
      </c>
      <c r="F75" s="773" t="s">
        <v>76</v>
      </c>
      <c r="G75" s="773" t="s">
        <v>77</v>
      </c>
      <c r="H75" s="773" t="s">
        <v>78</v>
      </c>
      <c r="I75" s="773" t="s">
        <v>79</v>
      </c>
      <c r="J75" s="773" t="s">
        <v>80</v>
      </c>
      <c r="K75" s="773" t="s">
        <v>81</v>
      </c>
      <c r="L75" s="773" t="s">
        <v>82</v>
      </c>
      <c r="M75" s="773" t="s">
        <v>83</v>
      </c>
      <c r="N75" s="773" t="s">
        <v>84</v>
      </c>
      <c r="O75" s="786" t="s">
        <v>85</v>
      </c>
      <c r="P75" s="786" t="s">
        <v>86</v>
      </c>
    </row>
    <row r="76" spans="1:17">
      <c r="B76" s="246" t="s">
        <v>87</v>
      </c>
      <c r="C76" s="246"/>
      <c r="D76" s="248">
        <v>1737613</v>
      </c>
      <c r="E76" s="248">
        <v>1447754</v>
      </c>
      <c r="F76" s="774">
        <f>E71</f>
        <v>1808100</v>
      </c>
      <c r="G76" s="248">
        <v>1891960</v>
      </c>
      <c r="H76" s="248">
        <v>1972368</v>
      </c>
      <c r="I76" s="3">
        <v>1787673</v>
      </c>
      <c r="J76" s="248">
        <v>1808050</v>
      </c>
      <c r="K76" s="787"/>
      <c r="L76" s="248"/>
      <c r="M76" s="787"/>
      <c r="N76" s="252"/>
      <c r="O76" s="789"/>
      <c r="P76" s="790">
        <v>10156932</v>
      </c>
    </row>
    <row r="77" spans="1:17">
      <c r="A77" s="2"/>
      <c r="B77" s="249" t="s">
        <v>88</v>
      </c>
      <c r="C77" s="249"/>
      <c r="D77" s="250"/>
      <c r="E77" s="250">
        <f>IF(D76&gt;0,E76/D76,0)*100</f>
        <v>83.318552520037542</v>
      </c>
      <c r="F77" s="250">
        <f t="shared" ref="F77:O77" si="22">IF(E76&gt;0,F76/E76,0)*100</f>
        <v>124.89000203073175</v>
      </c>
      <c r="G77" s="250">
        <f t="shared" si="22"/>
        <v>104.63801780874951</v>
      </c>
      <c r="H77" s="250">
        <f t="shared" si="22"/>
        <v>104.24998414342798</v>
      </c>
      <c r="I77" s="250">
        <f t="shared" si="22"/>
        <v>90.63587525248839</v>
      </c>
      <c r="J77" s="250">
        <f t="shared" si="22"/>
        <v>101.13986170848919</v>
      </c>
      <c r="K77" s="250">
        <f t="shared" si="22"/>
        <v>0</v>
      </c>
      <c r="L77" s="250">
        <f t="shared" si="22"/>
        <v>0</v>
      </c>
      <c r="M77" s="250">
        <f t="shared" si="22"/>
        <v>0</v>
      </c>
      <c r="N77" s="250">
        <f t="shared" si="22"/>
        <v>0</v>
      </c>
      <c r="O77" s="271">
        <f t="shared" si="22"/>
        <v>0</v>
      </c>
      <c r="P77" s="791">
        <f>P76/B71</f>
        <v>0.52641401181783265</v>
      </c>
    </row>
    <row r="78" spans="1:17">
      <c r="A78" s="2"/>
      <c r="B78" s="251"/>
      <c r="C78" s="251"/>
      <c r="D78" s="253"/>
      <c r="E78" s="252"/>
      <c r="F78" s="253"/>
      <c r="G78" s="3" t="s">
        <v>115</v>
      </c>
      <c r="H78" s="3"/>
      <c r="I78" s="3"/>
      <c r="J78" s="3"/>
      <c r="K78" s="3"/>
      <c r="L78" s="3"/>
      <c r="M78" s="3"/>
      <c r="N78" s="3"/>
      <c r="O78" s="152"/>
      <c r="P78" s="2"/>
    </row>
    <row r="79" spans="1:17">
      <c r="A79" s="1442" t="s">
        <v>89</v>
      </c>
      <c r="B79" s="152"/>
      <c r="C79" s="15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152"/>
      <c r="P79" s="2"/>
      <c r="Q79" s="3"/>
    </row>
    <row r="80" spans="1:17">
      <c r="A80" s="2" t="s">
        <v>90</v>
      </c>
      <c r="B80" s="152"/>
      <c r="C80" s="15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152"/>
      <c r="P80" s="2"/>
      <c r="Q80" s="3"/>
    </row>
    <row r="81" spans="1:17">
      <c r="A81" s="1442" t="s">
        <v>91</v>
      </c>
      <c r="B81" s="152"/>
      <c r="C81" s="15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152"/>
      <c r="P81" s="2"/>
      <c r="Q81" s="3"/>
    </row>
    <row r="82" spans="1:17">
      <c r="A82" s="1443" t="s">
        <v>92</v>
      </c>
      <c r="B82" s="152"/>
      <c r="C82" s="15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152"/>
      <c r="P82" s="2"/>
      <c r="Q82" s="281"/>
    </row>
    <row r="83" spans="1:17">
      <c r="A83" s="2" t="s">
        <v>93</v>
      </c>
      <c r="B83" s="2"/>
      <c r="C83" s="2"/>
      <c r="D83" s="3"/>
      <c r="E83" s="3"/>
      <c r="F83" s="3"/>
      <c r="G83" s="3"/>
      <c r="H83" s="3"/>
      <c r="I83" s="3"/>
      <c r="K83" s="3"/>
      <c r="M83" s="3"/>
      <c r="N83" s="3"/>
      <c r="O83" s="152"/>
      <c r="P83" s="2"/>
    </row>
    <row r="84" spans="1:17">
      <c r="A84" s="2" t="s">
        <v>94</v>
      </c>
      <c r="B84" s="2"/>
      <c r="C84" s="2"/>
      <c r="D84" s="3"/>
      <c r="E84" s="3"/>
      <c r="F84" s="3"/>
      <c r="G84" s="3"/>
      <c r="H84" s="3"/>
      <c r="I84" s="3"/>
      <c r="K84" s="3"/>
      <c r="M84" s="3"/>
      <c r="N84" s="3"/>
      <c r="O84" s="273"/>
      <c r="P84" s="2"/>
    </row>
    <row r="85" spans="1:17">
      <c r="A85" s="2" t="s">
        <v>95</v>
      </c>
      <c r="B85" s="2"/>
      <c r="C85" s="2"/>
      <c r="D85" s="3"/>
      <c r="E85" s="3"/>
      <c r="F85" s="3"/>
      <c r="G85" s="3"/>
      <c r="H85" s="3"/>
      <c r="I85" s="3"/>
      <c r="K85" s="3"/>
      <c r="L85" s="3"/>
      <c r="M85" s="3"/>
      <c r="N85" s="3"/>
      <c r="O85" s="152"/>
      <c r="P85" s="2"/>
    </row>
    <row r="87" spans="1:17" ht="15.6">
      <c r="B87" s="875" t="s">
        <v>96</v>
      </c>
      <c r="C87" s="875"/>
      <c r="D87" s="875"/>
      <c r="E87" s="875"/>
      <c r="F87" s="875"/>
      <c r="G87" s="875"/>
      <c r="H87" s="875"/>
      <c r="I87" s="875"/>
      <c r="J87" s="875"/>
      <c r="K87" s="875"/>
      <c r="L87" s="875"/>
      <c r="M87" s="875"/>
      <c r="N87" s="875"/>
      <c r="O87" s="875"/>
    </row>
    <row r="88" spans="1:17">
      <c r="A88" s="775" t="s">
        <v>97</v>
      </c>
      <c r="B88" s="776" t="s">
        <v>74</v>
      </c>
      <c r="C88" s="776" t="s">
        <v>75</v>
      </c>
      <c r="D88" s="776" t="s">
        <v>76</v>
      </c>
      <c r="E88" s="776" t="s">
        <v>77</v>
      </c>
      <c r="F88" s="776" t="s">
        <v>78</v>
      </c>
      <c r="G88" s="776" t="s">
        <v>79</v>
      </c>
      <c r="H88" s="776" t="s">
        <v>80</v>
      </c>
      <c r="I88" s="776" t="s">
        <v>81</v>
      </c>
      <c r="J88" s="776" t="s">
        <v>82</v>
      </c>
      <c r="K88" s="776" t="s">
        <v>83</v>
      </c>
      <c r="L88" s="776" t="s">
        <v>84</v>
      </c>
      <c r="M88" s="776" t="s">
        <v>85</v>
      </c>
      <c r="N88" s="776" t="s">
        <v>86</v>
      </c>
      <c r="O88" s="775" t="s">
        <v>98</v>
      </c>
    </row>
    <row r="89" spans="1:17">
      <c r="A89" s="876" t="s">
        <v>99</v>
      </c>
      <c r="B89" s="877">
        <v>5672894</v>
      </c>
      <c r="C89" s="878">
        <v>4899761</v>
      </c>
      <c r="D89" s="878">
        <v>6728359</v>
      </c>
      <c r="E89" s="878">
        <v>7366984</v>
      </c>
      <c r="F89" s="878">
        <v>7632844</v>
      </c>
      <c r="G89" s="878">
        <v>7369315</v>
      </c>
      <c r="H89" s="878">
        <v>7406809</v>
      </c>
      <c r="I89" s="277"/>
      <c r="J89" s="277"/>
      <c r="K89" s="277"/>
      <c r="L89" s="277"/>
      <c r="N89" s="878">
        <f>SUM(B89:M89)</f>
        <v>47076966</v>
      </c>
      <c r="O89" s="886">
        <v>100</v>
      </c>
    </row>
    <row r="90" spans="1:17">
      <c r="A90" s="259" t="s">
        <v>100</v>
      </c>
      <c r="B90" s="260">
        <v>1809898</v>
      </c>
      <c r="C90" s="260">
        <v>1730564</v>
      </c>
      <c r="D90" s="260">
        <v>2112389</v>
      </c>
      <c r="E90" s="260">
        <v>2570971</v>
      </c>
      <c r="F90" s="260">
        <v>2877822</v>
      </c>
      <c r="G90" s="260">
        <v>2522285</v>
      </c>
      <c r="H90" s="260">
        <v>2379861</v>
      </c>
      <c r="I90" s="260"/>
      <c r="J90" s="260"/>
      <c r="K90" s="260"/>
      <c r="L90" s="260"/>
      <c r="M90" s="260"/>
      <c r="N90" s="887">
        <f t="shared" ref="N90:N105" si="23">SUM(B90:M90)</f>
        <v>16003790</v>
      </c>
      <c r="O90" s="888">
        <v>32.673524222337498</v>
      </c>
    </row>
    <row r="91" spans="1:17">
      <c r="A91" s="259" t="s">
        <v>101</v>
      </c>
      <c r="B91" s="260">
        <v>216643</v>
      </c>
      <c r="C91" s="260">
        <v>165584</v>
      </c>
      <c r="D91" s="260">
        <v>464816</v>
      </c>
      <c r="E91" s="260">
        <v>179363</v>
      </c>
      <c r="F91" s="260">
        <v>325949</v>
      </c>
      <c r="G91" s="260">
        <v>301067</v>
      </c>
      <c r="H91" s="260">
        <v>208263</v>
      </c>
      <c r="I91" s="260"/>
      <c r="J91" s="260"/>
      <c r="K91" s="260"/>
      <c r="L91" s="260"/>
      <c r="M91" s="260"/>
      <c r="N91" s="887">
        <f t="shared" si="23"/>
        <v>1861685</v>
      </c>
      <c r="O91" s="888">
        <v>4.8959153492390701</v>
      </c>
    </row>
    <row r="92" spans="1:17">
      <c r="A92" s="259" t="s">
        <v>102</v>
      </c>
      <c r="B92" s="260">
        <v>1371301</v>
      </c>
      <c r="C92" s="260">
        <v>870579</v>
      </c>
      <c r="D92" s="260">
        <v>1114225</v>
      </c>
      <c r="E92" s="260">
        <v>1074841</v>
      </c>
      <c r="F92" s="260">
        <v>1197562</v>
      </c>
      <c r="G92" s="260">
        <v>1270373</v>
      </c>
      <c r="H92" s="260">
        <v>1356812</v>
      </c>
      <c r="I92" s="260"/>
      <c r="J92" s="260"/>
      <c r="K92" s="260"/>
      <c r="L92" s="260"/>
      <c r="M92" s="260"/>
      <c r="N92" s="887">
        <f t="shared" si="23"/>
        <v>8255693</v>
      </c>
      <c r="O92" s="888">
        <v>19.3983138791749</v>
      </c>
    </row>
    <row r="93" spans="1:17">
      <c r="A93" s="259" t="s">
        <v>103</v>
      </c>
      <c r="B93" s="260">
        <v>758783</v>
      </c>
      <c r="C93" s="260">
        <v>620788</v>
      </c>
      <c r="D93" s="260">
        <v>832464</v>
      </c>
      <c r="E93" s="260">
        <v>805760</v>
      </c>
      <c r="F93" s="260">
        <v>873484</v>
      </c>
      <c r="G93" s="260">
        <v>767484</v>
      </c>
      <c r="H93" s="260">
        <v>901143</v>
      </c>
      <c r="I93" s="260"/>
      <c r="J93" s="260"/>
      <c r="K93" s="260"/>
      <c r="L93" s="260"/>
      <c r="M93" s="260"/>
      <c r="N93" s="887">
        <f t="shared" si="23"/>
        <v>5559906</v>
      </c>
      <c r="O93" s="888">
        <v>12.785580082184801</v>
      </c>
    </row>
    <row r="94" spans="1:17">
      <c r="A94" s="259" t="s">
        <v>104</v>
      </c>
      <c r="B94" s="260">
        <v>663451</v>
      </c>
      <c r="C94" s="260">
        <v>687147</v>
      </c>
      <c r="D94" s="260">
        <v>1074747</v>
      </c>
      <c r="E94" s="260">
        <v>1431356</v>
      </c>
      <c r="F94" s="260">
        <v>1344265</v>
      </c>
      <c r="G94" s="260">
        <v>1186850</v>
      </c>
      <c r="H94" s="260">
        <v>1525557</v>
      </c>
      <c r="I94" s="260"/>
      <c r="J94" s="260"/>
      <c r="K94" s="260"/>
      <c r="L94" s="260"/>
      <c r="M94" s="260"/>
      <c r="N94" s="887">
        <f t="shared" si="23"/>
        <v>7913373</v>
      </c>
      <c r="O94" s="888">
        <v>14.018513596948701</v>
      </c>
    </row>
    <row r="95" spans="1:17">
      <c r="A95" s="259" t="s">
        <v>105</v>
      </c>
      <c r="B95" s="260">
        <v>94829</v>
      </c>
      <c r="C95" s="260">
        <v>74713</v>
      </c>
      <c r="D95" s="260">
        <v>126500</v>
      </c>
      <c r="E95" s="260">
        <v>117804</v>
      </c>
      <c r="F95" s="260">
        <v>116232</v>
      </c>
      <c r="G95" s="260">
        <v>117017</v>
      </c>
      <c r="H95" s="260">
        <v>119409</v>
      </c>
      <c r="I95" s="260"/>
      <c r="J95" s="260"/>
      <c r="K95" s="260"/>
      <c r="L95" s="260"/>
      <c r="M95" s="260"/>
      <c r="N95" s="887">
        <f t="shared" si="23"/>
        <v>766504</v>
      </c>
      <c r="O95" s="888">
        <v>1.71112513983284</v>
      </c>
    </row>
    <row r="96" spans="1:17">
      <c r="A96" s="259" t="s">
        <v>58</v>
      </c>
      <c r="B96" s="260">
        <v>644996</v>
      </c>
      <c r="C96" s="260">
        <v>549797</v>
      </c>
      <c r="D96" s="260">
        <v>901148</v>
      </c>
      <c r="E96" s="260">
        <v>1109569</v>
      </c>
      <c r="F96" s="260">
        <v>817643</v>
      </c>
      <c r="G96" s="260">
        <v>972902</v>
      </c>
      <c r="H96" s="260">
        <v>770532</v>
      </c>
      <c r="I96" s="260"/>
      <c r="J96" s="260"/>
      <c r="K96" s="260"/>
      <c r="L96" s="260"/>
      <c r="M96" s="260"/>
      <c r="N96" s="887">
        <f t="shared" si="23"/>
        <v>5766587</v>
      </c>
      <c r="O96" s="888">
        <v>12.1145558289242</v>
      </c>
    </row>
    <row r="97" spans="1:15">
      <c r="A97" s="879" t="s">
        <v>106</v>
      </c>
      <c r="B97" s="878">
        <v>6857452</v>
      </c>
      <c r="C97" s="878">
        <v>5513308</v>
      </c>
      <c r="D97" s="878">
        <v>8179988</v>
      </c>
      <c r="E97" s="878">
        <v>8794398</v>
      </c>
      <c r="F97" s="878">
        <v>8383395</v>
      </c>
      <c r="G97" s="878">
        <v>8308915</v>
      </c>
      <c r="H97" s="878">
        <v>8411698</v>
      </c>
      <c r="I97" s="878"/>
      <c r="J97" s="878"/>
      <c r="K97" s="878"/>
      <c r="L97" s="878"/>
      <c r="M97" s="889"/>
      <c r="N97" s="878">
        <f t="shared" si="23"/>
        <v>54449154</v>
      </c>
      <c r="O97" s="890">
        <f>N97/$N$97</f>
        <v>1</v>
      </c>
    </row>
    <row r="98" spans="1:15">
      <c r="A98" s="259" t="s">
        <v>100</v>
      </c>
      <c r="B98" s="260">
        <v>2135077</v>
      </c>
      <c r="C98" s="260">
        <v>1954967</v>
      </c>
      <c r="D98" s="260">
        <v>2573893</v>
      </c>
      <c r="E98" s="260">
        <v>3073887</v>
      </c>
      <c r="F98" s="260">
        <v>3261336</v>
      </c>
      <c r="G98" s="260">
        <v>3026937</v>
      </c>
      <c r="H98" s="260">
        <v>2813170</v>
      </c>
      <c r="I98" s="260"/>
      <c r="J98" s="260"/>
      <c r="K98" s="260"/>
      <c r="L98" s="260"/>
      <c r="M98" s="260"/>
      <c r="N98" s="887">
        <f t="shared" si="23"/>
        <v>18839267</v>
      </c>
      <c r="O98" s="583">
        <f t="shared" ref="O98:O104" si="24">N98/$N$97</f>
        <v>0.34599742357796781</v>
      </c>
    </row>
    <row r="99" spans="1:15">
      <c r="A99" s="259" t="s">
        <v>101</v>
      </c>
      <c r="B99" s="260">
        <v>263002</v>
      </c>
      <c r="C99" s="260">
        <v>221352</v>
      </c>
      <c r="D99" s="260">
        <v>387773</v>
      </c>
      <c r="E99" s="260">
        <v>258017</v>
      </c>
      <c r="F99" s="260">
        <v>388537</v>
      </c>
      <c r="G99" s="260">
        <v>292594</v>
      </c>
      <c r="H99" s="260">
        <v>286187</v>
      </c>
      <c r="I99" s="260"/>
      <c r="J99" s="260"/>
      <c r="K99" s="260"/>
      <c r="L99" s="260"/>
      <c r="M99" s="260"/>
      <c r="N99" s="887">
        <f t="shared" si="23"/>
        <v>2097462</v>
      </c>
      <c r="O99" s="583">
        <f t="shared" si="24"/>
        <v>3.8521480058257652E-2</v>
      </c>
    </row>
    <row r="100" spans="1:15">
      <c r="A100" s="259" t="s">
        <v>102</v>
      </c>
      <c r="B100" s="260">
        <v>1600519</v>
      </c>
      <c r="C100" s="260">
        <v>975825</v>
      </c>
      <c r="D100" s="260">
        <v>1500811</v>
      </c>
      <c r="E100" s="260">
        <v>1431201</v>
      </c>
      <c r="F100" s="260">
        <v>1312883</v>
      </c>
      <c r="G100" s="260">
        <v>1628844</v>
      </c>
      <c r="H100" s="260">
        <v>1563650</v>
      </c>
      <c r="I100" s="260"/>
      <c r="J100" s="260"/>
      <c r="K100" s="260"/>
      <c r="L100" s="260"/>
      <c r="M100" s="260"/>
      <c r="N100" s="887">
        <f t="shared" si="23"/>
        <v>10013733</v>
      </c>
      <c r="O100" s="583">
        <f t="shared" si="24"/>
        <v>0.18390979959027462</v>
      </c>
    </row>
    <row r="101" spans="1:15">
      <c r="A101" s="259" t="s">
        <v>103</v>
      </c>
      <c r="B101" s="260">
        <v>906127</v>
      </c>
      <c r="C101" s="260">
        <v>684506</v>
      </c>
      <c r="D101" s="260">
        <v>1019356</v>
      </c>
      <c r="E101" s="260">
        <v>936276</v>
      </c>
      <c r="F101" s="260">
        <v>1009873</v>
      </c>
      <c r="G101" s="260">
        <v>790066</v>
      </c>
      <c r="H101" s="260">
        <v>1001312</v>
      </c>
      <c r="I101" s="260"/>
      <c r="J101" s="260"/>
      <c r="K101" s="260"/>
      <c r="L101" s="260"/>
      <c r="M101" s="260"/>
      <c r="N101" s="887">
        <f t="shared" si="23"/>
        <v>6347516</v>
      </c>
      <c r="O101" s="583">
        <f t="shared" si="24"/>
        <v>0.11657694442782343</v>
      </c>
    </row>
    <row r="102" spans="1:15">
      <c r="A102" s="259" t="s">
        <v>104</v>
      </c>
      <c r="B102" s="260">
        <v>910303</v>
      </c>
      <c r="C102" s="260">
        <v>843503</v>
      </c>
      <c r="D102" s="260">
        <v>1350561</v>
      </c>
      <c r="E102" s="260">
        <v>1603712</v>
      </c>
      <c r="F102" s="260">
        <v>1322029</v>
      </c>
      <c r="G102" s="260">
        <v>1326834</v>
      </c>
      <c r="H102" s="260">
        <v>1615435</v>
      </c>
      <c r="I102" s="260"/>
      <c r="J102" s="260"/>
      <c r="K102" s="260"/>
      <c r="L102" s="260"/>
      <c r="M102" s="260"/>
      <c r="N102" s="887">
        <f t="shared" si="23"/>
        <v>8972377</v>
      </c>
      <c r="O102" s="583">
        <f t="shared" si="24"/>
        <v>0.16478450702833694</v>
      </c>
    </row>
    <row r="103" spans="1:15">
      <c r="A103" s="259" t="s">
        <v>105</v>
      </c>
      <c r="B103" s="260">
        <v>73110</v>
      </c>
      <c r="C103" s="260">
        <v>87700</v>
      </c>
      <c r="D103" s="260">
        <v>119850</v>
      </c>
      <c r="E103" s="260">
        <v>120063</v>
      </c>
      <c r="F103" s="260">
        <v>106070</v>
      </c>
      <c r="G103" s="260">
        <v>105910</v>
      </c>
      <c r="H103" s="260">
        <v>116555</v>
      </c>
      <c r="I103" s="260"/>
      <c r="J103" s="260"/>
      <c r="K103" s="260"/>
      <c r="L103" s="260"/>
      <c r="M103" s="260"/>
      <c r="N103" s="887">
        <f t="shared" si="23"/>
        <v>729258</v>
      </c>
      <c r="O103" s="583">
        <f t="shared" si="24"/>
        <v>1.3393376139508063E-2</v>
      </c>
    </row>
    <row r="104" spans="1:15">
      <c r="A104" s="259" t="s">
        <v>58</v>
      </c>
      <c r="B104" s="260">
        <v>917981</v>
      </c>
      <c r="C104" s="260">
        <v>744638</v>
      </c>
      <c r="D104" s="260">
        <v>1226864</v>
      </c>
      <c r="E104" s="260">
        <v>1342688</v>
      </c>
      <c r="F104" s="260">
        <v>975567</v>
      </c>
      <c r="G104" s="260">
        <v>1028078</v>
      </c>
      <c r="H104" s="260">
        <v>1009484</v>
      </c>
      <c r="I104" s="260"/>
      <c r="J104" s="260"/>
      <c r="K104" s="260"/>
      <c r="L104" s="260"/>
      <c r="M104" s="260"/>
      <c r="N104" s="887">
        <f t="shared" si="23"/>
        <v>7245300</v>
      </c>
      <c r="O104" s="583">
        <f t="shared" si="24"/>
        <v>0.1330654283443963</v>
      </c>
    </row>
    <row r="105" spans="1:15">
      <c r="A105" s="880" t="s">
        <v>107</v>
      </c>
      <c r="B105" s="881">
        <f>B89+B97</f>
        <v>12530346</v>
      </c>
      <c r="C105" s="881">
        <f>C89+C97</f>
        <v>10413069</v>
      </c>
      <c r="D105" s="881">
        <f>D89+D97</f>
        <v>14908347</v>
      </c>
      <c r="E105" s="881">
        <f>E89+E97</f>
        <v>16161382</v>
      </c>
      <c r="F105" s="881">
        <f t="shared" ref="F105:L105" si="25">F89+F97</f>
        <v>16016239</v>
      </c>
      <c r="G105" s="881">
        <f t="shared" si="25"/>
        <v>15678230</v>
      </c>
      <c r="H105" s="881">
        <f t="shared" si="25"/>
        <v>15818507</v>
      </c>
      <c r="I105" s="881">
        <f t="shared" si="25"/>
        <v>0</v>
      </c>
      <c r="J105" s="881">
        <f t="shared" si="25"/>
        <v>0</v>
      </c>
      <c r="K105" s="881">
        <f t="shared" si="25"/>
        <v>0</v>
      </c>
      <c r="L105" s="881">
        <f t="shared" si="25"/>
        <v>0</v>
      </c>
      <c r="M105" s="255"/>
      <c r="N105" s="892">
        <f t="shared" si="23"/>
        <v>101526120</v>
      </c>
      <c r="O105" s="25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06"/>
  <sheetViews>
    <sheetView workbookViewId="0">
      <selection activeCell="D13" sqref="D13"/>
    </sheetView>
  </sheetViews>
  <sheetFormatPr defaultColWidth="9" defaultRowHeight="14.4"/>
  <cols>
    <col min="4" max="4" width="9.77734375"/>
  </cols>
  <sheetData>
    <row r="1" spans="1:17" ht="15.6">
      <c r="A1" s="1" t="s">
        <v>151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51"/>
      <c r="Q1" s="221"/>
    </row>
    <row r="2" spans="1:17">
      <c r="A2" s="2"/>
      <c r="B2" s="2"/>
      <c r="C2" s="2"/>
      <c r="D2" s="3"/>
      <c r="E2" s="796"/>
      <c r="F2" s="3"/>
      <c r="G2" s="3"/>
      <c r="H2" s="3"/>
      <c r="I2" s="3"/>
      <c r="J2" s="3"/>
      <c r="K2" s="3"/>
      <c r="L2" s="3"/>
      <c r="M2" s="3"/>
      <c r="N2" s="3"/>
      <c r="O2" s="152"/>
      <c r="P2" s="2"/>
    </row>
    <row r="3" spans="1:17" ht="41.4">
      <c r="A3" s="797" t="s">
        <v>1</v>
      </c>
      <c r="B3" s="798" t="s">
        <v>2</v>
      </c>
      <c r="C3" s="4" t="s">
        <v>152</v>
      </c>
      <c r="D3" s="799" t="s">
        <v>153</v>
      </c>
      <c r="E3" s="800" t="s">
        <v>154</v>
      </c>
      <c r="F3" s="801"/>
      <c r="G3" s="801"/>
      <c r="H3" s="801"/>
      <c r="I3" s="801"/>
      <c r="J3" s="801"/>
      <c r="K3" s="801"/>
      <c r="L3" s="801"/>
      <c r="M3" s="801"/>
      <c r="N3" s="840"/>
      <c r="O3" s="153" t="s">
        <v>155</v>
      </c>
      <c r="P3" s="707"/>
    </row>
    <row r="4" spans="1:17" ht="27.6">
      <c r="A4" s="802"/>
      <c r="B4" s="803"/>
      <c r="C4" s="5"/>
      <c r="D4" s="804"/>
      <c r="E4" s="805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155" t="s">
        <v>12</v>
      </c>
      <c r="K4" s="156" t="s">
        <v>13</v>
      </c>
      <c r="L4" s="156" t="s">
        <v>14</v>
      </c>
      <c r="M4" s="157" t="s">
        <v>15</v>
      </c>
      <c r="N4" s="841" t="s">
        <v>16</v>
      </c>
      <c r="O4" s="159"/>
      <c r="P4" s="707"/>
    </row>
    <row r="5" spans="1:17" ht="15.6">
      <c r="A5" s="599"/>
      <c r="B5" s="600"/>
      <c r="C5" s="600"/>
      <c r="D5" s="601"/>
      <c r="E5" s="602"/>
      <c r="F5" s="603"/>
      <c r="G5" s="603"/>
      <c r="H5" s="603"/>
      <c r="I5" s="603"/>
      <c r="J5" s="713"/>
      <c r="K5" s="603"/>
      <c r="L5" s="603"/>
      <c r="M5" s="713"/>
      <c r="N5" s="714"/>
      <c r="O5" s="715"/>
      <c r="P5" s="707"/>
    </row>
    <row r="6" spans="1:17" ht="15">
      <c r="A6" s="13" t="s">
        <v>17</v>
      </c>
      <c r="B6" s="14">
        <f>SUM(B8:B17)</f>
        <v>4976683</v>
      </c>
      <c r="C6" s="14">
        <v>3296000</v>
      </c>
      <c r="D6" s="806">
        <f>SUM(D9:D17)</f>
        <v>3441595</v>
      </c>
      <c r="E6" s="807">
        <f t="shared" ref="E6:N6" si="0">SUM(E8:E17)</f>
        <v>467638</v>
      </c>
      <c r="F6" s="17">
        <f t="shared" si="0"/>
        <v>177261</v>
      </c>
      <c r="G6" s="17">
        <f t="shared" si="0"/>
        <v>175189</v>
      </c>
      <c r="H6" s="17">
        <f t="shared" si="0"/>
        <v>25775</v>
      </c>
      <c r="I6" s="17">
        <f t="shared" si="0"/>
        <v>21790</v>
      </c>
      <c r="J6" s="17">
        <f t="shared" si="0"/>
        <v>0</v>
      </c>
      <c r="K6" s="17">
        <f t="shared" si="0"/>
        <v>44406</v>
      </c>
      <c r="L6" s="17">
        <f t="shared" si="0"/>
        <v>10670</v>
      </c>
      <c r="M6" s="17">
        <f t="shared" si="0"/>
        <v>3173</v>
      </c>
      <c r="N6" s="807">
        <f t="shared" si="0"/>
        <v>1447</v>
      </c>
      <c r="O6" s="842">
        <f>+D6/C6</f>
        <v>1.0441732402912622</v>
      </c>
      <c r="P6" s="717"/>
    </row>
    <row r="7" spans="1:17" ht="15">
      <c r="A7" s="609" t="s">
        <v>18</v>
      </c>
      <c r="B7" s="618"/>
      <c r="C7" s="618"/>
      <c r="D7" s="624"/>
      <c r="E7" s="150">
        <f>SUM(F7:J7)</f>
        <v>0</v>
      </c>
      <c r="F7" s="612"/>
      <c r="G7" s="612"/>
      <c r="H7" s="612"/>
      <c r="I7" s="612"/>
      <c r="J7" s="644"/>
      <c r="K7" s="654"/>
      <c r="L7" s="654"/>
      <c r="M7" s="654"/>
      <c r="N7" s="718"/>
      <c r="O7" s="843"/>
      <c r="P7" s="717"/>
    </row>
    <row r="8" spans="1:17">
      <c r="A8" s="609" t="s">
        <v>19</v>
      </c>
      <c r="B8" s="618"/>
      <c r="C8" s="618"/>
      <c r="D8" s="624"/>
      <c r="E8" s="150">
        <f>SUM(F8:J8)</f>
        <v>0</v>
      </c>
      <c r="F8" s="24"/>
      <c r="G8" s="24"/>
      <c r="H8" s="24"/>
      <c r="I8" s="24"/>
      <c r="J8" s="167"/>
      <c r="K8" s="168"/>
      <c r="L8" s="168"/>
      <c r="M8" s="168"/>
      <c r="N8" s="719"/>
      <c r="O8" s="844"/>
      <c r="P8" s="170"/>
    </row>
    <row r="9" spans="1:17">
      <c r="A9" s="609" t="s">
        <v>20</v>
      </c>
      <c r="B9" s="618">
        <f>108077+85467+113186+113042+116756+109995+110509+101300+92745+107226+101895+113016</f>
        <v>1273214</v>
      </c>
      <c r="C9" s="618">
        <v>858332</v>
      </c>
      <c r="D9" s="624">
        <f>195272+119565+111251+124577+111240+113765+121727</f>
        <v>897397</v>
      </c>
      <c r="E9" s="150">
        <f t="shared" ref="E9:E14" si="1">SUM(F9:J9)</f>
        <v>121727</v>
      </c>
      <c r="F9" s="24">
        <f>42792</f>
        <v>42792</v>
      </c>
      <c r="G9" s="24">
        <v>42096</v>
      </c>
      <c r="H9" s="24">
        <v>20911</v>
      </c>
      <c r="I9" s="24">
        <v>15928</v>
      </c>
      <c r="J9" s="644"/>
      <c r="K9" s="654"/>
      <c r="L9" s="654"/>
      <c r="M9" s="168"/>
      <c r="N9" s="719"/>
      <c r="O9" s="844">
        <f t="shared" ref="O9:O34" si="2">+D9/C9</f>
        <v>1.0455126920585507</v>
      </c>
      <c r="P9" s="172"/>
      <c r="Q9" s="222"/>
    </row>
    <row r="10" spans="1:17">
      <c r="A10" s="609" t="s">
        <v>21</v>
      </c>
      <c r="B10" s="618">
        <f>148719+103732+138638+114388+149772+144287+154524+162231+134683+114242+101779+138292</f>
        <v>1605287</v>
      </c>
      <c r="C10" s="618">
        <v>1116201</v>
      </c>
      <c r="D10" s="619">
        <f>131015+78250+105874+111968+99207+123596+111773+110146</f>
        <v>871829</v>
      </c>
      <c r="E10" s="620">
        <f t="shared" si="1"/>
        <v>110146</v>
      </c>
      <c r="F10" s="33">
        <f>52132</f>
        <v>52132</v>
      </c>
      <c r="G10" s="33">
        <v>58014</v>
      </c>
      <c r="H10" s="621"/>
      <c r="I10" s="621"/>
      <c r="J10" s="167"/>
      <c r="K10" s="168">
        <f>4293+5435</f>
        <v>9728</v>
      </c>
      <c r="L10" s="168">
        <f>1705+659</f>
        <v>2364</v>
      </c>
      <c r="M10" s="168"/>
      <c r="N10" s="656"/>
      <c r="O10" s="844">
        <f t="shared" si="2"/>
        <v>0.78106810511726832</v>
      </c>
      <c r="P10" s="172"/>
      <c r="Q10" s="222"/>
    </row>
    <row r="11" spans="1:17">
      <c r="A11" s="609" t="s">
        <v>22</v>
      </c>
      <c r="B11" s="618"/>
      <c r="C11" s="618"/>
      <c r="D11" s="622"/>
      <c r="E11" s="150"/>
      <c r="F11" s="24"/>
      <c r="G11" s="24"/>
      <c r="H11" s="24"/>
      <c r="I11" s="24"/>
      <c r="J11" s="167"/>
      <c r="K11" s="168"/>
      <c r="L11" s="168"/>
      <c r="M11" s="168"/>
      <c r="N11" s="719"/>
      <c r="O11" s="844"/>
      <c r="P11" s="170"/>
      <c r="Q11" s="222"/>
    </row>
    <row r="12" spans="1:17">
      <c r="A12" s="609" t="s">
        <v>23</v>
      </c>
      <c r="B12" s="618">
        <f>39231+38035+45839+55212+55252+51874+53719+51193+43893+46338+47055+45738</f>
        <v>573379</v>
      </c>
      <c r="C12" s="618">
        <v>390355</v>
      </c>
      <c r="D12" s="622">
        <f>74332+41587+36538+49878+32546+31277+34151</f>
        <v>300309</v>
      </c>
      <c r="E12" s="150">
        <f t="shared" si="1"/>
        <v>34151</v>
      </c>
      <c r="F12" s="24">
        <v>16669</v>
      </c>
      <c r="G12" s="24">
        <v>15008</v>
      </c>
      <c r="H12" s="24">
        <v>1144</v>
      </c>
      <c r="I12" s="24">
        <v>1330</v>
      </c>
      <c r="J12" s="167"/>
      <c r="K12" s="168">
        <f>5018+1826+96+354</f>
        <v>7294</v>
      </c>
      <c r="L12" s="168">
        <f>57+2120+102</f>
        <v>2279</v>
      </c>
      <c r="M12" s="168"/>
      <c r="N12" s="719"/>
      <c r="O12" s="844">
        <f t="shared" si="2"/>
        <v>0.76932279591653752</v>
      </c>
      <c r="P12" s="172"/>
      <c r="Q12" s="222"/>
    </row>
    <row r="13" spans="1:17">
      <c r="A13" s="623" t="s">
        <v>24</v>
      </c>
      <c r="B13" s="618">
        <v>0</v>
      </c>
      <c r="C13" s="618"/>
      <c r="D13" s="622">
        <f>243348</f>
        <v>243348</v>
      </c>
      <c r="E13" s="150">
        <v>41797</v>
      </c>
      <c r="F13" s="24"/>
      <c r="G13" s="24"/>
      <c r="H13" s="24"/>
      <c r="I13" s="24"/>
      <c r="J13" s="167"/>
      <c r="K13" s="168"/>
      <c r="L13" s="168"/>
      <c r="M13" s="168"/>
      <c r="N13" s="719"/>
      <c r="O13" s="844"/>
      <c r="P13" s="170"/>
      <c r="Q13" s="222"/>
    </row>
    <row r="14" spans="1:17">
      <c r="A14" s="68" t="s">
        <v>156</v>
      </c>
      <c r="B14" s="618">
        <f>107401+71667+97692+112321+100543+91682+100061+119410+112186+136804+148168+145637</f>
        <v>1343572</v>
      </c>
      <c r="C14" s="618">
        <v>800777</v>
      </c>
      <c r="D14" s="624">
        <f>974616</f>
        <v>974616</v>
      </c>
      <c r="E14" s="150">
        <f t="shared" si="1"/>
        <v>133991</v>
      </c>
      <c r="F14" s="36">
        <v>65668</v>
      </c>
      <c r="G14" s="36">
        <v>60071</v>
      </c>
      <c r="H14" s="36">
        <v>3720</v>
      </c>
      <c r="I14" s="36">
        <v>4532</v>
      </c>
      <c r="J14" s="723">
        <v>0</v>
      </c>
      <c r="K14" s="176">
        <f>15737+10125+549+973</f>
        <v>27384</v>
      </c>
      <c r="L14" s="176">
        <f>499+5058+457+13</f>
        <v>6027</v>
      </c>
      <c r="M14" s="176">
        <f>3173</f>
        <v>3173</v>
      </c>
      <c r="N14" s="659">
        <v>1447</v>
      </c>
      <c r="O14" s="844">
        <f t="shared" si="2"/>
        <v>1.2170879033738482</v>
      </c>
      <c r="P14" s="172"/>
      <c r="Q14" s="222"/>
    </row>
    <row r="15" spans="1:17">
      <c r="A15" s="623" t="s">
        <v>26</v>
      </c>
      <c r="B15" s="618">
        <f>5818+3471+4879+3146+1868+3203+3535+2520+3649+3073+2995+3507</f>
        <v>41664</v>
      </c>
      <c r="C15" s="618">
        <v>28440</v>
      </c>
      <c r="D15" s="624">
        <f>30726</f>
        <v>30726</v>
      </c>
      <c r="E15" s="150">
        <v>4280</v>
      </c>
      <c r="F15" s="24"/>
      <c r="G15" s="24"/>
      <c r="H15" s="24"/>
      <c r="I15" s="24"/>
      <c r="J15" s="167"/>
      <c r="K15" s="51"/>
      <c r="L15" s="168"/>
      <c r="M15" s="168"/>
      <c r="N15" s="719"/>
      <c r="O15" s="844">
        <f t="shared" si="2"/>
        <v>1.080379746835443</v>
      </c>
      <c r="P15" s="170"/>
      <c r="Q15" s="222"/>
    </row>
    <row r="16" spans="1:17">
      <c r="A16" s="609" t="s">
        <v>27</v>
      </c>
      <c r="B16" s="618">
        <f>528</f>
        <v>528</v>
      </c>
      <c r="C16" s="618">
        <v>528</v>
      </c>
      <c r="D16" s="624">
        <v>0</v>
      </c>
      <c r="E16" s="150">
        <v>0</v>
      </c>
      <c r="F16" s="24"/>
      <c r="G16" s="24"/>
      <c r="H16" s="24"/>
      <c r="I16" s="24"/>
      <c r="J16" s="167"/>
      <c r="K16" s="654"/>
      <c r="L16" s="51"/>
      <c r="M16" s="168"/>
      <c r="N16" s="719"/>
      <c r="O16" s="844">
        <f t="shared" si="2"/>
        <v>0</v>
      </c>
      <c r="P16" s="178"/>
      <c r="Q16" s="222"/>
    </row>
    <row r="17" spans="1:17">
      <c r="A17" s="625" t="s">
        <v>28</v>
      </c>
      <c r="B17" s="626">
        <f>127397+11642</f>
        <v>139039</v>
      </c>
      <c r="C17" s="627">
        <v>101367</v>
      </c>
      <c r="D17" s="628">
        <f>19907+16036+17100+18000+13965+16816+21546</f>
        <v>123370</v>
      </c>
      <c r="E17" s="629">
        <v>21546</v>
      </c>
      <c r="F17" s="630"/>
      <c r="G17" s="630"/>
      <c r="H17" s="630"/>
      <c r="I17" s="630"/>
      <c r="J17" s="630"/>
      <c r="K17" s="205"/>
      <c r="L17" s="205"/>
      <c r="M17" s="205"/>
      <c r="N17" s="724"/>
      <c r="O17" s="844">
        <f t="shared" si="2"/>
        <v>1.2170627521777304</v>
      </c>
      <c r="P17" s="182"/>
      <c r="Q17" s="223"/>
    </row>
    <row r="18" spans="1:17" ht="15.6">
      <c r="A18" s="42" t="s">
        <v>29</v>
      </c>
      <c r="B18" s="631">
        <f>534688+54911+55025</f>
        <v>644624</v>
      </c>
      <c r="C18" s="631"/>
      <c r="D18" s="808">
        <f>488193</f>
        <v>488193</v>
      </c>
      <c r="E18" s="809">
        <v>57490</v>
      </c>
      <c r="F18" s="810"/>
      <c r="G18" s="810"/>
      <c r="H18" s="810"/>
      <c r="I18" s="810"/>
      <c r="J18" s="810"/>
      <c r="K18" s="845"/>
      <c r="L18" s="845"/>
      <c r="M18" s="845"/>
      <c r="N18" s="846"/>
      <c r="O18" s="844"/>
      <c r="P18" s="727"/>
      <c r="Q18" s="727"/>
    </row>
    <row r="19" spans="1:17" ht="15.6">
      <c r="A19" s="47" t="s">
        <v>30</v>
      </c>
      <c r="B19" s="635">
        <f>228437+18717+26622</f>
        <v>273776</v>
      </c>
      <c r="C19" s="635"/>
      <c r="D19" s="636">
        <f>65069+22682+21522+19278+14196+23921</f>
        <v>166668</v>
      </c>
      <c r="E19" s="811">
        <v>23921</v>
      </c>
      <c r="F19" s="638"/>
      <c r="G19" s="638"/>
      <c r="H19" s="638"/>
      <c r="I19" s="638"/>
      <c r="J19" s="638"/>
      <c r="K19" s="198"/>
      <c r="L19" s="198"/>
      <c r="M19" s="198"/>
      <c r="N19" s="847"/>
      <c r="O19" s="844"/>
      <c r="P19" s="729"/>
      <c r="Q19" s="754"/>
    </row>
    <row r="20" spans="1:17" ht="15.6">
      <c r="A20" s="47" t="s">
        <v>31</v>
      </c>
      <c r="B20" s="635">
        <f>76626+5290+8224</f>
        <v>90140</v>
      </c>
      <c r="C20" s="635"/>
      <c r="D20" s="636">
        <f>46744</f>
        <v>46744</v>
      </c>
      <c r="E20" s="812">
        <v>5871</v>
      </c>
      <c r="F20" s="167"/>
      <c r="G20" s="167"/>
      <c r="H20" s="167"/>
      <c r="I20" s="167"/>
      <c r="J20" s="167"/>
      <c r="K20" s="168"/>
      <c r="L20" s="168"/>
      <c r="M20" s="168"/>
      <c r="N20" s="719"/>
      <c r="O20" s="844"/>
      <c r="P20" s="730"/>
    </row>
    <row r="21" spans="1:17" ht="15.6">
      <c r="A21" s="47" t="s">
        <v>32</v>
      </c>
      <c r="B21" s="635">
        <v>483790</v>
      </c>
      <c r="C21" s="635"/>
      <c r="D21" s="636">
        <f>116391+43437+35255+35847+29018+45531</f>
        <v>305479</v>
      </c>
      <c r="E21" s="812">
        <v>43531</v>
      </c>
      <c r="F21" s="167"/>
      <c r="G21" s="167"/>
      <c r="H21" s="167"/>
      <c r="I21" s="167"/>
      <c r="J21" s="167"/>
      <c r="K21" s="168"/>
      <c r="L21" s="168"/>
      <c r="M21" s="168"/>
      <c r="N21" s="719"/>
      <c r="O21" s="844"/>
      <c r="P21" s="730"/>
    </row>
    <row r="22" spans="1:17" ht="15.6">
      <c r="A22" s="47" t="s">
        <v>33</v>
      </c>
      <c r="B22" s="635">
        <f>159887+13631+13177</f>
        <v>186695</v>
      </c>
      <c r="C22" s="635"/>
      <c r="D22" s="636">
        <f>97396</f>
        <v>97396</v>
      </c>
      <c r="E22" s="812">
        <v>11026</v>
      </c>
      <c r="F22" s="167"/>
      <c r="G22" s="167"/>
      <c r="H22" s="167"/>
      <c r="I22" s="167"/>
      <c r="J22" s="167"/>
      <c r="K22" s="168"/>
      <c r="L22" s="168"/>
      <c r="M22" s="168"/>
      <c r="N22" s="719"/>
      <c r="O22" s="844"/>
      <c r="P22" s="730"/>
    </row>
    <row r="23" spans="1:17" ht="15.6">
      <c r="A23" s="47" t="s">
        <v>34</v>
      </c>
      <c r="B23" s="635">
        <f>199276+27729+38601</f>
        <v>265606</v>
      </c>
      <c r="C23" s="635"/>
      <c r="D23" s="636">
        <f>243348</f>
        <v>243348</v>
      </c>
      <c r="E23" s="812">
        <v>41797</v>
      </c>
      <c r="F23" s="167"/>
      <c r="G23" s="167"/>
      <c r="H23" s="167"/>
      <c r="I23" s="167"/>
      <c r="J23" s="167"/>
      <c r="K23" s="168"/>
      <c r="L23" s="168"/>
      <c r="M23" s="168"/>
      <c r="N23" s="719"/>
      <c r="O23" s="844"/>
      <c r="P23" s="730"/>
    </row>
    <row r="24" spans="1:17" ht="15.6">
      <c r="A24" s="53" t="s">
        <v>35</v>
      </c>
      <c r="B24" s="640">
        <v>169502</v>
      </c>
      <c r="C24" s="640"/>
      <c r="D24" s="641">
        <f>117090</f>
        <v>117090</v>
      </c>
      <c r="E24" s="813">
        <v>7249</v>
      </c>
      <c r="F24" s="167"/>
      <c r="G24" s="167"/>
      <c r="H24" s="167"/>
      <c r="I24" s="167"/>
      <c r="J24" s="167"/>
      <c r="K24" s="168"/>
      <c r="L24" s="168"/>
      <c r="M24" s="168"/>
      <c r="N24" s="719"/>
      <c r="O24" s="844"/>
      <c r="P24" s="730"/>
    </row>
    <row r="25" spans="1:17" ht="15.6">
      <c r="A25" s="53" t="s">
        <v>121</v>
      </c>
      <c r="B25" s="643">
        <v>0</v>
      </c>
      <c r="C25" s="643"/>
      <c r="D25" s="641">
        <f>488126</f>
        <v>488126</v>
      </c>
      <c r="E25" s="813">
        <v>102919</v>
      </c>
      <c r="F25" s="644"/>
      <c r="G25" s="644"/>
      <c r="H25" s="644"/>
      <c r="I25" s="644"/>
      <c r="J25" s="644"/>
      <c r="K25" s="654"/>
      <c r="L25" s="654"/>
      <c r="M25" s="654"/>
      <c r="N25" s="718"/>
      <c r="O25" s="844"/>
      <c r="P25" s="730"/>
    </row>
    <row r="26" spans="1:17" ht="15.6">
      <c r="A26" s="53" t="s">
        <v>135</v>
      </c>
      <c r="B26" s="643">
        <v>0</v>
      </c>
      <c r="C26" s="643"/>
      <c r="D26" s="641">
        <f>16566+16386+14200+25421</f>
        <v>72573</v>
      </c>
      <c r="E26" s="814">
        <v>25421</v>
      </c>
      <c r="F26" s="644"/>
      <c r="G26" s="644"/>
      <c r="H26" s="644"/>
      <c r="I26" s="644"/>
      <c r="J26" s="644"/>
      <c r="K26" s="654"/>
      <c r="L26" s="654"/>
      <c r="M26" s="654"/>
      <c r="N26" s="718"/>
      <c r="O26" s="844"/>
      <c r="P26" s="730"/>
    </row>
    <row r="27" spans="1:17" ht="15.6">
      <c r="A27" s="47" t="s">
        <v>142</v>
      </c>
      <c r="B27" s="57">
        <f>29509+14652+23209+24242+23009+26529+25218+28150+30612+24870+21148+23890</f>
        <v>295038</v>
      </c>
      <c r="C27" s="296">
        <v>194518</v>
      </c>
      <c r="D27" s="645">
        <f>38233+24856+23222+23965+22242+21518</f>
        <v>154036</v>
      </c>
      <c r="E27" s="815">
        <v>22812</v>
      </c>
      <c r="F27" s="644"/>
      <c r="G27" s="644"/>
      <c r="H27" s="61">
        <v>11381</v>
      </c>
      <c r="I27" s="61">
        <v>12427</v>
      </c>
      <c r="J27" s="61"/>
      <c r="K27" s="188">
        <v>6456</v>
      </c>
      <c r="L27" s="188">
        <v>1322</v>
      </c>
      <c r="M27" s="654"/>
      <c r="N27" s="718"/>
      <c r="O27" s="844">
        <f t="shared" si="2"/>
        <v>0.79188558385342234</v>
      </c>
      <c r="P27" s="730"/>
    </row>
    <row r="28" spans="1:17" ht="15.6">
      <c r="A28" s="259"/>
      <c r="B28" s="816">
        <f>SUM(B18:B27)</f>
        <v>2409171</v>
      </c>
      <c r="C28" s="817">
        <v>1673180</v>
      </c>
      <c r="D28" s="818">
        <f>SUM(D18:D27)</f>
        <v>2179653</v>
      </c>
      <c r="E28" s="819">
        <f>SUM(E18:E27)</f>
        <v>342037</v>
      </c>
      <c r="F28" s="67"/>
      <c r="G28" s="67"/>
      <c r="H28" s="67"/>
      <c r="I28" s="67"/>
      <c r="J28" s="67"/>
      <c r="K28" s="191"/>
      <c r="L28" s="191"/>
      <c r="M28" s="654"/>
      <c r="N28" s="718"/>
      <c r="O28" s="848">
        <f t="shared" si="2"/>
        <v>1.3027008450973596</v>
      </c>
      <c r="P28" s="730"/>
    </row>
    <row r="29" spans="1:17" ht="15.6">
      <c r="A29" s="649"/>
      <c r="B29" s="820"/>
      <c r="C29" s="816"/>
      <c r="D29" s="821"/>
      <c r="E29" s="822"/>
      <c r="F29" s="654"/>
      <c r="G29" s="654"/>
      <c r="H29" s="654"/>
      <c r="I29" s="654"/>
      <c r="J29" s="654"/>
      <c r="K29" s="654"/>
      <c r="L29" s="654"/>
      <c r="M29" s="654"/>
      <c r="N29" s="718"/>
      <c r="O29" s="844"/>
      <c r="P29" s="730"/>
    </row>
    <row r="30" spans="1:17" ht="15.6">
      <c r="A30" s="13" t="s">
        <v>37</v>
      </c>
      <c r="B30" s="14">
        <f>SUM(B31:B35)</f>
        <v>975868</v>
      </c>
      <c r="C30" s="14">
        <v>643020</v>
      </c>
      <c r="D30" s="806">
        <f>SUM(D31:D35)</f>
        <v>746691</v>
      </c>
      <c r="E30" s="807">
        <f t="shared" ref="E30:N30" si="3">SUM(E31:E35)</f>
        <v>100867</v>
      </c>
      <c r="F30" s="163">
        <f t="shared" si="3"/>
        <v>37069</v>
      </c>
      <c r="G30" s="163">
        <f t="shared" si="3"/>
        <v>36840</v>
      </c>
      <c r="H30" s="163">
        <f t="shared" si="3"/>
        <v>15207</v>
      </c>
      <c r="I30" s="163">
        <f t="shared" si="3"/>
        <v>11751</v>
      </c>
      <c r="J30" s="163"/>
      <c r="K30" s="163">
        <f t="shared" si="3"/>
        <v>5419</v>
      </c>
      <c r="L30" s="163">
        <f t="shared" si="3"/>
        <v>2489</v>
      </c>
      <c r="M30" s="732">
        <f t="shared" si="3"/>
        <v>0</v>
      </c>
      <c r="N30" s="807">
        <f t="shared" si="3"/>
        <v>4477</v>
      </c>
      <c r="O30" s="842">
        <f t="shared" si="2"/>
        <v>1.161225156293739</v>
      </c>
      <c r="P30" s="729"/>
    </row>
    <row r="31" spans="1:17" ht="15">
      <c r="A31" s="609" t="s">
        <v>38</v>
      </c>
      <c r="B31" s="656">
        <f>31848+3560+3666</f>
        <v>39074</v>
      </c>
      <c r="C31" s="656">
        <v>25920</v>
      </c>
      <c r="D31" s="657">
        <f>8241+5068+4596+5228+4204+4697+5543</f>
        <v>37577</v>
      </c>
      <c r="E31" s="150">
        <f t="shared" ref="E31:E34" si="4">SUM(F31:J31)</f>
        <v>4943</v>
      </c>
      <c r="F31" s="644"/>
      <c r="G31" s="644"/>
      <c r="H31" s="24">
        <v>2904</v>
      </c>
      <c r="I31" s="24">
        <v>2039</v>
      </c>
      <c r="J31" s="612"/>
      <c r="K31" s="168">
        <f>820+1293</f>
        <v>2113</v>
      </c>
      <c r="L31" s="168">
        <f>870+4</f>
        <v>874</v>
      </c>
      <c r="M31" s="168"/>
      <c r="N31" s="719"/>
      <c r="O31" s="844">
        <f t="shared" si="2"/>
        <v>1.4497299382716049</v>
      </c>
      <c r="P31" s="733"/>
    </row>
    <row r="32" spans="1:17" ht="15">
      <c r="A32" s="609" t="s">
        <v>149</v>
      </c>
      <c r="B32" s="656"/>
      <c r="C32" s="656"/>
      <c r="D32" s="657">
        <f>4773+4679+4770+4758+5054+5565+4162+4477</f>
        <v>38238</v>
      </c>
      <c r="E32" s="150">
        <f t="shared" si="4"/>
        <v>4477</v>
      </c>
      <c r="F32" s="644"/>
      <c r="G32" s="644"/>
      <c r="H32" s="24">
        <v>2438</v>
      </c>
      <c r="I32" s="24">
        <v>2039</v>
      </c>
      <c r="J32" s="612"/>
      <c r="K32" s="168">
        <f>490+1143</f>
        <v>1633</v>
      </c>
      <c r="L32" s="168">
        <v>830</v>
      </c>
      <c r="M32" s="168"/>
      <c r="N32" s="719">
        <v>4477</v>
      </c>
      <c r="O32" s="844"/>
      <c r="P32" s="733"/>
    </row>
    <row r="33" spans="1:16" ht="15.6">
      <c r="A33" s="87" t="s">
        <v>39</v>
      </c>
      <c r="B33" s="656">
        <f>64505+48073+62185+62452+59765+64280+67096+71165+61780+66528+63320+71042</f>
        <v>762191</v>
      </c>
      <c r="C33" s="656">
        <v>499521</v>
      </c>
      <c r="D33" s="658">
        <f>122864+65834+68474+77377+68757+73572+78703</f>
        <v>555581</v>
      </c>
      <c r="E33" s="150">
        <f t="shared" si="4"/>
        <v>78703</v>
      </c>
      <c r="F33" s="22">
        <v>31586</v>
      </c>
      <c r="G33" s="22">
        <v>30809</v>
      </c>
      <c r="H33" s="22">
        <v>9101</v>
      </c>
      <c r="I33" s="22">
        <v>7207</v>
      </c>
      <c r="J33" s="612"/>
      <c r="K33" s="51"/>
      <c r="L33" s="51"/>
      <c r="M33" s="51"/>
      <c r="N33" s="744"/>
      <c r="O33" s="844">
        <f t="shared" si="2"/>
        <v>1.1122275139583722</v>
      </c>
      <c r="P33" s="707"/>
    </row>
    <row r="34" spans="1:16" ht="15.6">
      <c r="A34" s="87" t="s">
        <v>40</v>
      </c>
      <c r="B34" s="659">
        <f>22490+11900+19473+16591+12914+13370+11563+9278+10032+11317+15030+20645</f>
        <v>174603</v>
      </c>
      <c r="C34" s="659">
        <v>117579</v>
      </c>
      <c r="D34" s="660">
        <f>35860+15843+15535+12262+10916+12135+12744</f>
        <v>115295</v>
      </c>
      <c r="E34" s="620">
        <f t="shared" si="4"/>
        <v>12744</v>
      </c>
      <c r="F34" s="22">
        <v>5483</v>
      </c>
      <c r="G34" s="22">
        <v>6031</v>
      </c>
      <c r="H34" s="22">
        <v>764</v>
      </c>
      <c r="I34" s="22">
        <v>466</v>
      </c>
      <c r="J34" s="664"/>
      <c r="K34" s="51">
        <f>312+1167+179+15</f>
        <v>1673</v>
      </c>
      <c r="L34" s="51">
        <f>585+6+17+177</f>
        <v>785</v>
      </c>
      <c r="M34" s="270"/>
      <c r="N34" s="656"/>
      <c r="O34" s="844">
        <f t="shared" si="2"/>
        <v>0.98057476250010633</v>
      </c>
      <c r="P34" s="707" t="s">
        <v>157</v>
      </c>
    </row>
    <row r="35" spans="1:16" ht="15.6">
      <c r="A35" s="87" t="s">
        <v>41</v>
      </c>
      <c r="B35" s="618"/>
      <c r="C35" s="618">
        <v>0</v>
      </c>
      <c r="D35" s="624"/>
      <c r="E35" s="150"/>
      <c r="F35" s="24"/>
      <c r="G35" s="24"/>
      <c r="H35" s="24"/>
      <c r="I35" s="24"/>
      <c r="J35" s="24"/>
      <c r="K35" s="168"/>
      <c r="L35" s="168"/>
      <c r="M35" s="168"/>
      <c r="N35" s="719"/>
      <c r="O35" s="849"/>
      <c r="P35" s="707"/>
    </row>
    <row r="36" spans="1:16" ht="15.6">
      <c r="A36" s="87"/>
      <c r="B36" s="88"/>
      <c r="C36" s="88"/>
      <c r="D36" s="661"/>
      <c r="E36" s="695"/>
      <c r="F36" s="92"/>
      <c r="G36" s="92"/>
      <c r="H36" s="92"/>
      <c r="I36" s="92"/>
      <c r="J36" s="92"/>
      <c r="K36" s="194"/>
      <c r="L36" s="194"/>
      <c r="M36" s="194"/>
      <c r="N36" s="850"/>
      <c r="O36" s="849"/>
      <c r="P36" s="707"/>
    </row>
    <row r="37" spans="1:16" ht="15.6">
      <c r="A37" s="13" t="s">
        <v>42</v>
      </c>
      <c r="B37" s="14">
        <f t="shared" ref="B37:N37" si="5">SUM(B38:B48)</f>
        <v>8566129</v>
      </c>
      <c r="C37" s="14">
        <v>5616698</v>
      </c>
      <c r="D37" s="806">
        <f t="shared" si="5"/>
        <v>6102469</v>
      </c>
      <c r="E37" s="807">
        <f t="shared" si="5"/>
        <v>799768</v>
      </c>
      <c r="F37" s="17">
        <f t="shared" si="5"/>
        <v>302158</v>
      </c>
      <c r="G37" s="17">
        <f t="shared" si="5"/>
        <v>268375</v>
      </c>
      <c r="H37" s="17">
        <f t="shared" si="5"/>
        <v>121125</v>
      </c>
      <c r="I37" s="17">
        <f t="shared" si="5"/>
        <v>107982</v>
      </c>
      <c r="J37" s="17">
        <f t="shared" si="5"/>
        <v>128</v>
      </c>
      <c r="K37" s="17">
        <f t="shared" si="5"/>
        <v>100095</v>
      </c>
      <c r="L37" s="17">
        <f t="shared" si="5"/>
        <v>17304</v>
      </c>
      <c r="M37" s="17">
        <f t="shared" si="5"/>
        <v>628</v>
      </c>
      <c r="N37" s="15">
        <f t="shared" si="5"/>
        <v>68742</v>
      </c>
      <c r="O37" s="842">
        <f t="shared" ref="O37:O72" si="6">+D37/C37</f>
        <v>1.0864869359185771</v>
      </c>
      <c r="P37" s="707"/>
    </row>
    <row r="38" spans="1:16" ht="15.6">
      <c r="A38" s="609" t="s">
        <v>43</v>
      </c>
      <c r="B38" s="618">
        <f>176793+71526+59980+65204+71423+79211+71917+76068+84439+81079</f>
        <v>837640</v>
      </c>
      <c r="C38" s="618">
        <v>524137</v>
      </c>
      <c r="D38" s="624">
        <f>141659+76024+81669+80656+83401+82771+90144</f>
        <v>636324</v>
      </c>
      <c r="E38" s="150">
        <f t="shared" ref="E38:E41" si="7">SUM(F38:J38)</f>
        <v>90144</v>
      </c>
      <c r="F38" s="24"/>
      <c r="G38" s="24">
        <v>24707</v>
      </c>
      <c r="H38" s="24">
        <v>65437</v>
      </c>
      <c r="I38" s="24"/>
      <c r="J38" s="24"/>
      <c r="K38" s="198">
        <f>17+1361</f>
        <v>1378</v>
      </c>
      <c r="L38" s="198">
        <f>440</f>
        <v>440</v>
      </c>
      <c r="M38" s="198">
        <v>0</v>
      </c>
      <c r="N38" s="847">
        <v>0</v>
      </c>
      <c r="O38" s="844">
        <f t="shared" si="6"/>
        <v>1.2140413670471653</v>
      </c>
      <c r="P38" s="707"/>
    </row>
    <row r="39" spans="1:16" ht="15.6">
      <c r="A39" s="609" t="s">
        <v>44</v>
      </c>
      <c r="B39" s="618">
        <f>315296+56739+61665+55007+62647+65661+65065</f>
        <v>682080</v>
      </c>
      <c r="C39" s="618">
        <f>433700</f>
        <v>433700</v>
      </c>
      <c r="D39" s="662">
        <f>104618+64282+60352+64355+61155+69820+67741</f>
        <v>492323</v>
      </c>
      <c r="E39" s="620">
        <f t="shared" si="7"/>
        <v>67741</v>
      </c>
      <c r="F39" s="664"/>
      <c r="G39" s="664"/>
      <c r="H39" s="104">
        <v>7911</v>
      </c>
      <c r="I39" s="104">
        <v>59830</v>
      </c>
      <c r="J39" s="104"/>
      <c r="K39" s="199">
        <f>56+1594</f>
        <v>1650</v>
      </c>
      <c r="L39" s="199">
        <f>337</f>
        <v>337</v>
      </c>
      <c r="M39" s="199"/>
      <c r="N39" s="851">
        <v>67741</v>
      </c>
      <c r="O39" s="844">
        <f t="shared" si="6"/>
        <v>1.1351694719852432</v>
      </c>
      <c r="P39" s="707"/>
    </row>
    <row r="40" spans="1:16" ht="15.6">
      <c r="A40" s="18" t="s">
        <v>128</v>
      </c>
      <c r="B40" s="618">
        <v>0</v>
      </c>
      <c r="C40" s="618"/>
      <c r="D40" s="662">
        <f>10400+25209+29133</f>
        <v>64742</v>
      </c>
      <c r="E40" s="620">
        <f t="shared" si="7"/>
        <v>0</v>
      </c>
      <c r="F40" s="612"/>
      <c r="G40" s="612"/>
      <c r="H40" s="104"/>
      <c r="I40" s="104"/>
      <c r="J40" s="104"/>
      <c r="K40" s="201"/>
      <c r="L40" s="201"/>
      <c r="M40" s="199"/>
      <c r="N40" s="851"/>
      <c r="O40" s="844"/>
      <c r="P40" s="736"/>
    </row>
    <row r="41" spans="1:16" ht="15.6">
      <c r="A41" s="87" t="s">
        <v>45</v>
      </c>
      <c r="B41" s="665">
        <f>20214+11681+23581+25619+22301+21824+20127+19528+19926+20275+23052+20682</f>
        <v>248810</v>
      </c>
      <c r="C41" s="665">
        <v>164875</v>
      </c>
      <c r="D41" s="660">
        <f>35539+25020+25012+26281+22284+23157+20948</f>
        <v>178241</v>
      </c>
      <c r="E41" s="150">
        <f t="shared" si="7"/>
        <v>20948</v>
      </c>
      <c r="F41" s="24"/>
      <c r="G41" s="24"/>
      <c r="H41" s="24">
        <v>10460</v>
      </c>
      <c r="I41" s="24">
        <v>10488</v>
      </c>
      <c r="J41" s="737"/>
      <c r="K41" s="203">
        <f>2777+2199</f>
        <v>4976</v>
      </c>
      <c r="L41" s="168">
        <f>53+673</f>
        <v>726</v>
      </c>
      <c r="M41" s="168">
        <v>480</v>
      </c>
      <c r="N41" s="719">
        <v>0</v>
      </c>
      <c r="O41" s="844">
        <f t="shared" si="6"/>
        <v>1.0810674753601213</v>
      </c>
      <c r="P41" s="707"/>
    </row>
    <row r="42" spans="1:16" ht="15.6">
      <c r="A42" s="87" t="s">
        <v>46</v>
      </c>
      <c r="B42" s="666">
        <f>36191+20920+29070+23929+27875+30427+28473+27605+28149+32945+33352+27283</f>
        <v>346219</v>
      </c>
      <c r="C42" s="666">
        <v>224490</v>
      </c>
      <c r="D42" s="100">
        <f>42541+28883+28001+23533+23137+31624+30682</f>
        <v>208401</v>
      </c>
      <c r="E42" s="150">
        <f>SUM(H42:J42)</f>
        <v>30682</v>
      </c>
      <c r="F42" s="644"/>
      <c r="G42" s="644"/>
      <c r="H42" s="685">
        <v>15522</v>
      </c>
      <c r="I42" s="644">
        <v>15160</v>
      </c>
      <c r="J42" s="612"/>
      <c r="K42" s="168">
        <f>4800+4409</f>
        <v>9209</v>
      </c>
      <c r="L42" s="168">
        <f>64+691</f>
        <v>755</v>
      </c>
      <c r="M42" s="168">
        <v>148</v>
      </c>
      <c r="N42" s="719">
        <v>0</v>
      </c>
      <c r="O42" s="844">
        <f t="shared" si="6"/>
        <v>0.92833088333556057</v>
      </c>
      <c r="P42" s="707"/>
    </row>
    <row r="43" spans="1:16" ht="15.6">
      <c r="A43" s="87" t="s">
        <v>47</v>
      </c>
      <c r="B43" s="666">
        <f>12008+9467+14763+14113+14691+14606+10209+8082+10081+11470+13518+17152</f>
        <v>150160</v>
      </c>
      <c r="C43" s="666">
        <v>97939</v>
      </c>
      <c r="D43" s="100">
        <f>35287+23392+31491+27296+34444+33654+29237</f>
        <v>214801</v>
      </c>
      <c r="E43" s="150">
        <f>SUM(F43:J43)</f>
        <v>29237</v>
      </c>
      <c r="F43" s="24">
        <v>11645</v>
      </c>
      <c r="G43" s="24">
        <v>17464</v>
      </c>
      <c r="H43" s="24"/>
      <c r="I43" s="24"/>
      <c r="J43" s="24">
        <v>128</v>
      </c>
      <c r="K43" s="168">
        <f>3779+3964+60</f>
        <v>7803</v>
      </c>
      <c r="L43" s="168">
        <f>72+902</f>
        <v>974</v>
      </c>
      <c r="M43" s="168"/>
      <c r="N43" s="719">
        <v>91</v>
      </c>
      <c r="O43" s="844">
        <f t="shared" si="6"/>
        <v>2.1932121014100612</v>
      </c>
      <c r="P43" s="707"/>
    </row>
    <row r="44" spans="1:16" ht="15.6">
      <c r="A44" s="87" t="s">
        <v>48</v>
      </c>
      <c r="B44" s="666">
        <f>492323+373517+489518+501319+498148+483300+509517+496996+483525+491240+487179+505109</f>
        <v>5811691</v>
      </c>
      <c r="C44" s="666">
        <v>3844638</v>
      </c>
      <c r="D44" s="100">
        <f>890002+542749+505450+501865+511958+508971+512557</f>
        <v>3973552</v>
      </c>
      <c r="E44" s="150">
        <f>SUM(F44:J44)</f>
        <v>512558</v>
      </c>
      <c r="F44" s="24">
        <v>289262</v>
      </c>
      <c r="G44" s="24">
        <v>223296</v>
      </c>
      <c r="H44" s="24"/>
      <c r="I44" s="612"/>
      <c r="J44" s="24"/>
      <c r="K44" s="51">
        <f>74728</f>
        <v>74728</v>
      </c>
      <c r="L44" s="51">
        <f>2914+10987</f>
        <v>13901</v>
      </c>
      <c r="M44" s="168"/>
      <c r="N44" s="719"/>
      <c r="O44" s="844">
        <f t="shared" si="6"/>
        <v>1.0335308551806437</v>
      </c>
      <c r="P44" s="707"/>
    </row>
    <row r="45" spans="1:16" ht="15.6">
      <c r="A45" s="87" t="s">
        <v>49</v>
      </c>
      <c r="B45" s="666">
        <f>41444+27037+39698+37856+42480+38521+41958+41846+36877+41203+36023+42811</f>
        <v>467754</v>
      </c>
      <c r="C45" s="666">
        <v>310840</v>
      </c>
      <c r="D45" s="667">
        <f>72994+40474+40234+42273+44855+35607+47240</f>
        <v>323677</v>
      </c>
      <c r="E45" s="620">
        <f>SUM(F45:J45)</f>
        <v>47240</v>
      </c>
      <c r="F45" s="102">
        <v>968</v>
      </c>
      <c r="G45" s="102">
        <v>1973</v>
      </c>
      <c r="H45" s="102">
        <v>21795</v>
      </c>
      <c r="I45" s="102">
        <v>22504</v>
      </c>
      <c r="J45" s="104"/>
      <c r="K45" s="199"/>
      <c r="L45" s="199"/>
      <c r="M45" s="199"/>
      <c r="N45" s="851"/>
      <c r="O45" s="844">
        <f t="shared" si="6"/>
        <v>1.041297773774289</v>
      </c>
      <c r="P45" s="707"/>
    </row>
    <row r="46" spans="1:16" ht="15.6">
      <c r="A46" s="87" t="s">
        <v>50</v>
      </c>
      <c r="B46" s="656"/>
      <c r="C46" s="656"/>
      <c r="D46" s="668"/>
      <c r="E46" s="620"/>
      <c r="F46" s="104"/>
      <c r="G46" s="104"/>
      <c r="H46" s="104"/>
      <c r="I46" s="104"/>
      <c r="J46" s="104"/>
      <c r="K46" s="199"/>
      <c r="L46" s="199"/>
      <c r="M46" s="199"/>
      <c r="N46" s="851"/>
      <c r="O46" s="844"/>
      <c r="P46" s="736"/>
    </row>
    <row r="47" spans="1:16" ht="15.6">
      <c r="A47" s="87" t="s">
        <v>51</v>
      </c>
      <c r="B47" s="669">
        <f>1591+185+300+228+282+250+254+222+245+289+277+286</f>
        <v>4409</v>
      </c>
      <c r="C47" s="669">
        <v>3312</v>
      </c>
      <c r="D47" s="670">
        <f>571+277+257+232+206+265+308</f>
        <v>2116</v>
      </c>
      <c r="E47" s="620">
        <f>SUM(F47:J47)</f>
        <v>308</v>
      </c>
      <c r="F47" s="104">
        <v>169</v>
      </c>
      <c r="G47" s="104">
        <v>139</v>
      </c>
      <c r="H47" s="104"/>
      <c r="I47" s="104"/>
      <c r="J47" s="104"/>
      <c r="K47" s="199">
        <f>139</f>
        <v>139</v>
      </c>
      <c r="L47" s="199">
        <v>169</v>
      </c>
      <c r="M47" s="199"/>
      <c r="N47" s="851"/>
      <c r="O47" s="844">
        <f t="shared" si="6"/>
        <v>0.63888888888888884</v>
      </c>
      <c r="P47" s="707"/>
    </row>
    <row r="48" spans="1:16" ht="15.6">
      <c r="A48" s="671" t="s">
        <v>52</v>
      </c>
      <c r="B48" s="672">
        <f>5554+2707+1759+1797+950+1036+1570+888+1105</f>
        <v>17366</v>
      </c>
      <c r="C48" s="672">
        <v>12767</v>
      </c>
      <c r="D48" s="673">
        <f>2295+1345+583+1118+1050+991+910</f>
        <v>8292</v>
      </c>
      <c r="E48" s="629">
        <f>SUM(F48:F48:J48)</f>
        <v>910</v>
      </c>
      <c r="F48" s="110">
        <v>114</v>
      </c>
      <c r="G48" s="110">
        <v>796</v>
      </c>
      <c r="H48" s="110"/>
      <c r="I48" s="110"/>
      <c r="J48" s="738"/>
      <c r="K48" s="739">
        <f>38+174</f>
        <v>212</v>
      </c>
      <c r="L48" s="205">
        <f>2</f>
        <v>2</v>
      </c>
      <c r="M48" s="205"/>
      <c r="N48" s="724">
        <v>910</v>
      </c>
      <c r="O48" s="844">
        <f t="shared" si="6"/>
        <v>0.64948695856505057</v>
      </c>
      <c r="P48" s="707"/>
    </row>
    <row r="49" spans="1:17" ht="15.6">
      <c r="A49" s="112" t="s">
        <v>53</v>
      </c>
      <c r="B49" s="113">
        <f>43919+38655+49389+49920+41452+46211+54147+61115+45816+53985+53251+54204</f>
        <v>592064</v>
      </c>
      <c r="C49" s="113">
        <v>384808</v>
      </c>
      <c r="D49" s="823">
        <f>46498+25145+53554+45477+47222+51070+47167+41808</f>
        <v>357941</v>
      </c>
      <c r="E49" s="824">
        <f>SUM(F49:J49)</f>
        <v>41808</v>
      </c>
      <c r="F49" s="825">
        <v>21237</v>
      </c>
      <c r="G49" s="825">
        <v>19296</v>
      </c>
      <c r="H49" s="825"/>
      <c r="I49" s="852"/>
      <c r="J49" s="825">
        <v>1275</v>
      </c>
      <c r="K49" s="853">
        <v>7881</v>
      </c>
      <c r="L49" s="853">
        <v>7529</v>
      </c>
      <c r="M49" s="854"/>
      <c r="N49" s="855">
        <v>2089</v>
      </c>
      <c r="O49" s="848">
        <f t="shared" si="6"/>
        <v>0.93018076547265127</v>
      </c>
      <c r="P49" s="856"/>
    </row>
    <row r="50" spans="1:17">
      <c r="A50" s="87"/>
      <c r="B50" s="118"/>
      <c r="C50" s="118"/>
      <c r="D50" s="676"/>
      <c r="E50" s="677"/>
      <c r="F50" s="121"/>
      <c r="G50" s="121"/>
      <c r="H50" s="121"/>
      <c r="I50" s="121"/>
      <c r="J50" s="121"/>
      <c r="K50" s="212"/>
      <c r="L50" s="212"/>
      <c r="M50" s="212"/>
      <c r="N50" s="743"/>
      <c r="O50" s="857"/>
      <c r="P50" s="858"/>
    </row>
    <row r="51" spans="1:17" ht="15.6">
      <c r="A51" s="13" t="s">
        <v>54</v>
      </c>
      <c r="B51" s="14">
        <f t="shared" ref="B51:I51" si="8">SUM(B52:B58)</f>
        <v>4719935</v>
      </c>
      <c r="C51" s="14">
        <f t="shared" si="8"/>
        <v>3046043</v>
      </c>
      <c r="D51" s="806">
        <f t="shared" si="8"/>
        <v>3746485</v>
      </c>
      <c r="E51" s="826">
        <f t="shared" si="8"/>
        <v>528250</v>
      </c>
      <c r="F51" s="15">
        <f t="shared" si="8"/>
        <v>158574</v>
      </c>
      <c r="G51" s="15">
        <f t="shared" si="8"/>
        <v>235511</v>
      </c>
      <c r="H51" s="15">
        <f t="shared" si="8"/>
        <v>53943</v>
      </c>
      <c r="I51" s="15">
        <f t="shared" si="8"/>
        <v>11492</v>
      </c>
      <c r="J51" s="17">
        <f>SUM(J52:J59)</f>
        <v>90283</v>
      </c>
      <c r="K51" s="17">
        <f>SUM(K52:K59)</f>
        <v>32133</v>
      </c>
      <c r="L51" s="17">
        <f>SUM(L52:L59)</f>
        <v>9429</v>
      </c>
      <c r="M51" s="17">
        <f>SUM(M52:M59)</f>
        <v>2405</v>
      </c>
      <c r="N51" s="15">
        <f>SUM(N52:N59)</f>
        <v>89569</v>
      </c>
      <c r="O51" s="842">
        <f t="shared" si="6"/>
        <v>1.2299514484857896</v>
      </c>
      <c r="P51" s="707"/>
    </row>
    <row r="52" spans="1:17" ht="15.6">
      <c r="A52" s="87" t="s">
        <v>55</v>
      </c>
      <c r="B52" s="618"/>
      <c r="C52" s="618"/>
      <c r="D52" s="624"/>
      <c r="E52" s="150">
        <f t="shared" ref="E52:E57" si="9">SUM(F52:J52)</f>
        <v>0</v>
      </c>
      <c r="F52" s="24"/>
      <c r="G52" s="24"/>
      <c r="H52" s="24"/>
      <c r="I52" s="24"/>
      <c r="J52" s="24"/>
      <c r="K52" s="51"/>
      <c r="L52" s="51"/>
      <c r="M52" s="51"/>
      <c r="N52" s="744"/>
      <c r="O52" s="844"/>
      <c r="P52" s="707"/>
    </row>
    <row r="53" spans="1:17" ht="15">
      <c r="A53" s="680" t="s">
        <v>56</v>
      </c>
      <c r="B53" s="656">
        <f>152617+131920+130997+153389+149066+196349+174625+189556+159615+174414+174638+173536</f>
        <v>1960722</v>
      </c>
      <c r="C53" s="827">
        <v>1278519</v>
      </c>
      <c r="D53" s="658">
        <f>209453+123222+177525+182527+179497+190574+195216+216952</f>
        <v>1474966</v>
      </c>
      <c r="E53" s="828">
        <f t="shared" si="9"/>
        <v>216952</v>
      </c>
      <c r="F53" s="24">
        <v>95800</v>
      </c>
      <c r="G53" s="125">
        <v>98828</v>
      </c>
      <c r="H53" s="125">
        <v>4772</v>
      </c>
      <c r="I53" s="24">
        <v>1670</v>
      </c>
      <c r="J53" s="24">
        <v>15882</v>
      </c>
      <c r="K53" s="168">
        <f>3921+9252+736+118+313</f>
        <v>14340</v>
      </c>
      <c r="L53" s="168">
        <f>6243+256+114+197</f>
        <v>6810</v>
      </c>
      <c r="M53" s="168"/>
      <c r="N53" s="719"/>
      <c r="O53" s="859">
        <f t="shared" si="6"/>
        <v>1.153651998914369</v>
      </c>
      <c r="P53" s="745" t="s">
        <v>158</v>
      </c>
    </row>
    <row r="54" spans="1:17" ht="15">
      <c r="A54" s="682"/>
      <c r="B54" s="656"/>
      <c r="C54" s="829"/>
      <c r="D54" s="658"/>
      <c r="E54" s="830"/>
      <c r="F54" s="24"/>
      <c r="G54" s="308"/>
      <c r="H54" s="308"/>
      <c r="I54" s="24"/>
      <c r="J54" s="24"/>
      <c r="K54" s="168"/>
      <c r="L54" s="168"/>
      <c r="M54" s="168"/>
      <c r="N54" s="719"/>
      <c r="O54" s="860"/>
      <c r="P54" s="746"/>
    </row>
    <row r="55" spans="1:17" ht="15.6">
      <c r="A55" s="87" t="s">
        <v>57</v>
      </c>
      <c r="B55" s="684">
        <f>97537+55586+99611+80866+84077+87464+89817+110297+103108+86858+89238+102094</f>
        <v>1086553</v>
      </c>
      <c r="C55" s="684">
        <v>705255</v>
      </c>
      <c r="D55" s="660">
        <f>104773+79448+108729+100750+114908+101767+109538+102101</f>
        <v>822014</v>
      </c>
      <c r="E55" s="150">
        <f>SUM(G55:J55)</f>
        <v>102101</v>
      </c>
      <c r="F55" s="685"/>
      <c r="G55" s="22">
        <f>44538</f>
        <v>44538</v>
      </c>
      <c r="H55" s="22">
        <v>48475</v>
      </c>
      <c r="I55" s="612">
        <v>9088</v>
      </c>
      <c r="J55" s="22"/>
      <c r="K55" s="51">
        <f>1280+3319+969</f>
        <v>5568</v>
      </c>
      <c r="L55" s="51">
        <f>1120+78+551</f>
        <v>1749</v>
      </c>
      <c r="M55" s="51"/>
      <c r="N55" s="744"/>
      <c r="O55" s="844">
        <f t="shared" si="6"/>
        <v>1.1655557209803546</v>
      </c>
      <c r="P55" s="747"/>
    </row>
    <row r="56" spans="1:17" ht="15.6">
      <c r="A56" s="68" t="s">
        <v>58</v>
      </c>
      <c r="B56" s="669">
        <f>59734+65037+69566+76869+85180+98871+84349+95878+74900+91720+96454+90939</f>
        <v>989497</v>
      </c>
      <c r="C56" s="669">
        <v>635484</v>
      </c>
      <c r="D56" s="100">
        <f>90832+90726+97425+112194+114431+98379+101821+103316</f>
        <v>809124</v>
      </c>
      <c r="E56" s="150">
        <f t="shared" si="9"/>
        <v>103316</v>
      </c>
      <c r="F56" s="24">
        <v>26379</v>
      </c>
      <c r="G56" s="24">
        <v>52964</v>
      </c>
      <c r="H56" s="24"/>
      <c r="I56" s="748"/>
      <c r="J56" s="24">
        <v>23973</v>
      </c>
      <c r="K56" s="168">
        <f>1147+2889+2007</f>
        <v>6043</v>
      </c>
      <c r="L56" s="168">
        <f>680+1+32</f>
        <v>713</v>
      </c>
      <c r="M56" s="51"/>
      <c r="N56" s="744"/>
      <c r="O56" s="844">
        <f t="shared" si="6"/>
        <v>1.2732405536567404</v>
      </c>
      <c r="P56" s="707"/>
    </row>
    <row r="57" spans="1:17" ht="15.6">
      <c r="A57" s="68" t="s">
        <v>59</v>
      </c>
      <c r="B57" s="669">
        <f>47624+41548+39771+61527+61540+40461+59109+75205+60419+66567+64451+64941</f>
        <v>683163</v>
      </c>
      <c r="C57" s="669">
        <v>426785</v>
      </c>
      <c r="D57" s="100">
        <f>85962+38994+58375+82416+99455+86639+82659+105881</f>
        <v>640381</v>
      </c>
      <c r="E57" s="150">
        <f t="shared" si="9"/>
        <v>105881</v>
      </c>
      <c r="F57" s="24">
        <v>36395</v>
      </c>
      <c r="G57" s="24">
        <v>39181</v>
      </c>
      <c r="H57" s="24">
        <v>696</v>
      </c>
      <c r="I57" s="748">
        <v>734</v>
      </c>
      <c r="J57" s="24">
        <v>28875</v>
      </c>
      <c r="K57" s="168">
        <f>1121+5061</f>
        <v>6182</v>
      </c>
      <c r="L57" s="168">
        <f>12+145</f>
        <v>157</v>
      </c>
      <c r="M57" s="51">
        <v>2405</v>
      </c>
      <c r="N57" s="744">
        <v>89569</v>
      </c>
      <c r="O57" s="844">
        <f t="shared" si="6"/>
        <v>1.5004768208817085</v>
      </c>
      <c r="P57" s="742"/>
    </row>
    <row r="58" spans="1:17" ht="15.6">
      <c r="A58" s="129" t="s">
        <v>113</v>
      </c>
      <c r="B58" s="686"/>
      <c r="C58" s="687"/>
      <c r="D58" s="688"/>
      <c r="E58" s="689"/>
      <c r="F58" s="690"/>
      <c r="G58" s="690"/>
      <c r="H58" s="690"/>
      <c r="I58" s="690"/>
      <c r="J58" s="690"/>
      <c r="K58" s="749"/>
      <c r="L58" s="749"/>
      <c r="M58" s="749"/>
      <c r="N58" s="750"/>
      <c r="O58" s="844"/>
      <c r="P58" s="747"/>
      <c r="Q58" s="755"/>
    </row>
    <row r="59" spans="1:17" ht="15.6">
      <c r="A59" s="831" t="s">
        <v>61</v>
      </c>
      <c r="B59" s="832">
        <v>1755236</v>
      </c>
      <c r="C59" s="832">
        <v>1574924</v>
      </c>
      <c r="D59" s="833">
        <f>160453+128740+156241+124079+160453+172626+174404+170038</f>
        <v>1247034</v>
      </c>
      <c r="E59" s="834">
        <f t="shared" ref="E59" si="10">SUM(F59:J59)</f>
        <v>170038</v>
      </c>
      <c r="F59" s="835">
        <v>66963</v>
      </c>
      <c r="G59" s="835">
        <v>81522</v>
      </c>
      <c r="H59" s="836"/>
      <c r="I59" s="836"/>
      <c r="J59" s="825">
        <v>21553</v>
      </c>
      <c r="K59" s="861"/>
      <c r="L59" s="861"/>
      <c r="M59" s="861"/>
      <c r="N59" s="862"/>
      <c r="O59" s="848">
        <f t="shared" si="6"/>
        <v>0.79180582682084977</v>
      </c>
      <c r="P59" s="863"/>
      <c r="Q59" s="265"/>
    </row>
    <row r="60" spans="1:17" ht="15.6">
      <c r="A60" s="68"/>
      <c r="B60" s="693"/>
      <c r="C60" s="693"/>
      <c r="D60" s="694"/>
      <c r="E60" s="695"/>
      <c r="F60" s="696"/>
      <c r="G60" s="696"/>
      <c r="H60" s="260"/>
      <c r="I60" s="696"/>
      <c r="J60" s="212"/>
      <c r="K60" s="51"/>
      <c r="L60" s="51"/>
      <c r="M60" s="51"/>
      <c r="N60" s="744"/>
      <c r="O60" s="844"/>
      <c r="P60" s="742"/>
      <c r="Q60" s="265"/>
    </row>
    <row r="61" spans="1:17" ht="15.6">
      <c r="A61" s="140" t="s">
        <v>62</v>
      </c>
      <c r="B61" s="141">
        <f>SUM(B62:B69)</f>
        <v>55955</v>
      </c>
      <c r="C61" s="141">
        <v>34899</v>
      </c>
      <c r="D61" s="837">
        <f>SUM(D62:D69)</f>
        <v>38789</v>
      </c>
      <c r="E61" s="838">
        <f t="shared" ref="E61" si="11">SUM(E62:E69)</f>
        <v>6198</v>
      </c>
      <c r="F61" s="839"/>
      <c r="G61" s="838">
        <f t="shared" ref="G61:N61" si="12">SUM(G62:G69)</f>
        <v>0</v>
      </c>
      <c r="H61" s="838">
        <f t="shared" si="12"/>
        <v>2934</v>
      </c>
      <c r="I61" s="838">
        <f t="shared" si="12"/>
        <v>3264</v>
      </c>
      <c r="J61" s="839"/>
      <c r="K61" s="838">
        <f t="shared" si="12"/>
        <v>2115</v>
      </c>
      <c r="L61" s="838">
        <f t="shared" si="12"/>
        <v>2103</v>
      </c>
      <c r="M61" s="838">
        <f t="shared" si="12"/>
        <v>0</v>
      </c>
      <c r="N61" s="864">
        <f t="shared" si="12"/>
        <v>4458</v>
      </c>
      <c r="O61" s="842">
        <f t="shared" si="6"/>
        <v>1.1114645118771311</v>
      </c>
      <c r="P61" s="707"/>
      <c r="Q61" s="265"/>
    </row>
    <row r="62" spans="1:17" ht="15.6">
      <c r="A62" s="68" t="s">
        <v>122</v>
      </c>
      <c r="B62" s="669">
        <f>335+74+675+1816+624+522+232+273+655+1600+1480+1538</f>
        <v>9824</v>
      </c>
      <c r="C62" s="669">
        <v>4551</v>
      </c>
      <c r="D62" s="702">
        <f>1496+768+675+870+1016+1247+1362</f>
        <v>7434</v>
      </c>
      <c r="E62" s="150">
        <f t="shared" ref="E62:E69" si="13">SUM(F62:J62)</f>
        <v>1362</v>
      </c>
      <c r="F62" s="703"/>
      <c r="G62" s="24"/>
      <c r="H62" s="33">
        <v>705</v>
      </c>
      <c r="I62" s="24">
        <v>657</v>
      </c>
      <c r="J62" s="24"/>
      <c r="K62" s="51">
        <f>102+9</f>
        <v>111</v>
      </c>
      <c r="L62" s="51">
        <f>11+84</f>
        <v>95</v>
      </c>
      <c r="M62" s="51"/>
      <c r="N62" s="744"/>
      <c r="O62" s="844">
        <f t="shared" si="6"/>
        <v>1.6334871456822677</v>
      </c>
      <c r="P62" s="707"/>
    </row>
    <row r="63" spans="1:17" ht="15.6">
      <c r="A63" s="68" t="s">
        <v>64</v>
      </c>
      <c r="B63" s="618"/>
      <c r="C63" s="618"/>
      <c r="D63" s="704"/>
      <c r="E63" s="150">
        <f t="shared" si="13"/>
        <v>0</v>
      </c>
      <c r="F63" s="149"/>
      <c r="G63" s="150"/>
      <c r="H63" s="24"/>
      <c r="I63" s="24"/>
      <c r="J63" s="24"/>
      <c r="K63" s="51"/>
      <c r="L63" s="51"/>
      <c r="M63" s="51"/>
      <c r="N63" s="744"/>
      <c r="O63" s="844"/>
      <c r="P63" s="707"/>
    </row>
    <row r="64" spans="1:17" ht="15.6">
      <c r="A64" s="68" t="s">
        <v>65</v>
      </c>
      <c r="B64" s="669">
        <f>1670+1062+1129+1350+1391+1439+1192+1252+1332+1078+1196+1258</f>
        <v>15349</v>
      </c>
      <c r="C64" s="669">
        <v>10485</v>
      </c>
      <c r="D64" s="702">
        <f>1143+584+1068+1170+1018+1940+2160</f>
        <v>9083</v>
      </c>
      <c r="E64" s="150">
        <f t="shared" si="13"/>
        <v>2160</v>
      </c>
      <c r="F64" s="33"/>
      <c r="G64" s="150"/>
      <c r="H64" s="24">
        <v>1053</v>
      </c>
      <c r="I64" s="24">
        <v>1107</v>
      </c>
      <c r="J64" s="24"/>
      <c r="K64" s="51">
        <f>453+393</f>
        <v>846</v>
      </c>
      <c r="L64" s="51">
        <f>408+542</f>
        <v>950</v>
      </c>
      <c r="M64" s="51"/>
      <c r="N64" s="744">
        <v>2160</v>
      </c>
      <c r="O64" s="844">
        <f t="shared" si="6"/>
        <v>0.86628516928946109</v>
      </c>
      <c r="P64" s="707" t="s">
        <v>157</v>
      </c>
    </row>
    <row r="65" spans="1:17" ht="15.6">
      <c r="A65" s="68" t="s">
        <v>66</v>
      </c>
      <c r="B65" s="618">
        <f>1089+517+1381+2546+1336+1503+1713+1785+1646+1436+909+1418</f>
        <v>17279</v>
      </c>
      <c r="C65" s="618">
        <v>11870</v>
      </c>
      <c r="D65" s="704">
        <f>9020+1300+1328</f>
        <v>11648</v>
      </c>
      <c r="E65" s="150">
        <f t="shared" si="13"/>
        <v>1328</v>
      </c>
      <c r="F65" s="149"/>
      <c r="G65" s="150"/>
      <c r="H65" s="24">
        <v>693</v>
      </c>
      <c r="I65" s="24">
        <v>635</v>
      </c>
      <c r="J65" s="24"/>
      <c r="K65" s="168">
        <f>57+446</f>
        <v>503</v>
      </c>
      <c r="L65" s="168">
        <f>446+1</f>
        <v>447</v>
      </c>
      <c r="M65" s="51"/>
      <c r="N65" s="744">
        <v>950</v>
      </c>
      <c r="O65" s="844">
        <f t="shared" si="6"/>
        <v>0.98129738837405223</v>
      </c>
      <c r="P65" s="707"/>
    </row>
    <row r="66" spans="1:17" ht="15.6">
      <c r="A66" s="758" t="s">
        <v>67</v>
      </c>
      <c r="B66" s="656"/>
      <c r="C66" s="656"/>
      <c r="D66" s="657"/>
      <c r="E66" s="150">
        <f t="shared" si="13"/>
        <v>0</v>
      </c>
      <c r="F66" s="227"/>
      <c r="G66" s="150"/>
      <c r="H66" s="24"/>
      <c r="I66" s="24"/>
      <c r="J66" s="24"/>
      <c r="K66" s="51"/>
      <c r="L66" s="51"/>
      <c r="M66" s="51"/>
      <c r="N66" s="744"/>
      <c r="O66" s="844"/>
      <c r="P66" s="707"/>
    </row>
    <row r="67" spans="1:17" ht="15.6">
      <c r="A67" s="68" t="s">
        <v>68</v>
      </c>
      <c r="B67" s="618">
        <f>949+632+800+680+378+254+120+150+155+159+135+133</f>
        <v>4545</v>
      </c>
      <c r="C67" s="618">
        <v>3963</v>
      </c>
      <c r="D67" s="759">
        <f>492+846+747+924+857+985+907</f>
        <v>5758</v>
      </c>
      <c r="E67" s="150">
        <f t="shared" si="13"/>
        <v>907</v>
      </c>
      <c r="F67" s="149"/>
      <c r="G67" s="150"/>
      <c r="H67" s="24">
        <v>351</v>
      </c>
      <c r="I67" s="24">
        <v>556</v>
      </c>
      <c r="J67" s="24"/>
      <c r="K67" s="168">
        <f>0+556</f>
        <v>556</v>
      </c>
      <c r="L67" s="168">
        <f>351+0</f>
        <v>351</v>
      </c>
      <c r="M67" s="51"/>
      <c r="N67" s="744">
        <v>907</v>
      </c>
      <c r="O67" s="844">
        <f t="shared" si="6"/>
        <v>1.4529396921524098</v>
      </c>
      <c r="P67" s="707" t="s">
        <v>157</v>
      </c>
    </row>
    <row r="68" spans="1:17" ht="15.6">
      <c r="A68" s="614" t="s">
        <v>69</v>
      </c>
      <c r="B68" s="669"/>
      <c r="C68" s="760"/>
      <c r="D68" s="702"/>
      <c r="E68" s="150">
        <f t="shared" si="13"/>
        <v>0</v>
      </c>
      <c r="F68" s="33"/>
      <c r="G68" s="761"/>
      <c r="H68" s="612"/>
      <c r="I68" s="612"/>
      <c r="J68" s="612"/>
      <c r="K68" s="654"/>
      <c r="L68" s="654"/>
      <c r="M68" s="654"/>
      <c r="N68" s="718"/>
      <c r="O68" s="844"/>
      <c r="P68" s="707"/>
    </row>
    <row r="69" spans="1:17" ht="15.6">
      <c r="A69" s="865" t="s">
        <v>70</v>
      </c>
      <c r="B69" s="669">
        <f>703+210+509+267+526+508+670+637+1462+1836+801+829</f>
        <v>8958</v>
      </c>
      <c r="C69" s="669">
        <v>4030</v>
      </c>
      <c r="D69" s="762">
        <f>1225+704+651+766+757+322+441</f>
        <v>4866</v>
      </c>
      <c r="E69" s="150">
        <f t="shared" si="13"/>
        <v>441</v>
      </c>
      <c r="F69" s="24"/>
      <c r="G69" s="24"/>
      <c r="H69" s="24">
        <v>132</v>
      </c>
      <c r="I69" s="24">
        <v>309</v>
      </c>
      <c r="J69" s="24"/>
      <c r="K69" s="168">
        <f>70+29</f>
        <v>99</v>
      </c>
      <c r="L69" s="168">
        <f>26+234</f>
        <v>260</v>
      </c>
      <c r="M69" s="168"/>
      <c r="N69" s="719">
        <v>441</v>
      </c>
      <c r="O69" s="844">
        <f t="shared" si="6"/>
        <v>1.2074441687344912</v>
      </c>
      <c r="P69" s="707"/>
      <c r="Q69" s="754"/>
    </row>
    <row r="70" spans="1:17" ht="15.6">
      <c r="A70" s="231"/>
      <c r="B70" s="763"/>
      <c r="C70" s="764"/>
      <c r="D70" s="866"/>
      <c r="E70" s="765"/>
      <c r="F70" s="766"/>
      <c r="G70" s="766"/>
      <c r="H70" s="766"/>
      <c r="I70" s="766"/>
      <c r="J70" s="766"/>
      <c r="K70" s="780"/>
      <c r="L70" s="780"/>
      <c r="M70" s="780"/>
      <c r="N70" s="781"/>
      <c r="O70" s="844"/>
      <c r="P70" s="707"/>
    </row>
    <row r="71" spans="1:17" ht="15">
      <c r="A71" s="235" t="s">
        <v>71</v>
      </c>
      <c r="B71" s="236">
        <f>B6+B30+B37+B51+B61</f>
        <v>19294570</v>
      </c>
      <c r="C71" s="867">
        <f>C6+C30+C37+C51+C61</f>
        <v>12636660</v>
      </c>
      <c r="D71" s="868">
        <f>D6+D30+D37+D51+D61</f>
        <v>14076029</v>
      </c>
      <c r="E71" s="869">
        <f>E6+E30+E37+E51+E61</f>
        <v>1902721</v>
      </c>
      <c r="F71" s="870">
        <f>F6+F30+F37+F51+F61</f>
        <v>675062</v>
      </c>
      <c r="G71" s="870">
        <f t="shared" ref="G71:N71" si="14">G6+G30+F37+G51+G61</f>
        <v>749698</v>
      </c>
      <c r="H71" s="870">
        <f t="shared" si="14"/>
        <v>366234</v>
      </c>
      <c r="I71" s="870">
        <f t="shared" si="14"/>
        <v>169422</v>
      </c>
      <c r="J71" s="870">
        <f t="shared" si="14"/>
        <v>198265</v>
      </c>
      <c r="K71" s="870">
        <f t="shared" si="14"/>
        <v>84201</v>
      </c>
      <c r="L71" s="870">
        <f t="shared" si="14"/>
        <v>124786</v>
      </c>
      <c r="M71" s="870">
        <f t="shared" si="14"/>
        <v>22882</v>
      </c>
      <c r="N71" s="883">
        <f t="shared" si="14"/>
        <v>100579</v>
      </c>
      <c r="O71" s="842">
        <f t="shared" si="6"/>
        <v>1.1139042278576776</v>
      </c>
      <c r="P71" s="783"/>
    </row>
    <row r="72" spans="1:17">
      <c r="A72" s="871" t="s">
        <v>72</v>
      </c>
      <c r="B72" s="872">
        <f>+B71+B28+B49+B59</f>
        <v>24051041</v>
      </c>
      <c r="C72" s="872">
        <f>+C71+C28+C49+C59</f>
        <v>16269572</v>
      </c>
      <c r="D72" s="873">
        <f>+D71+D28+D49+D59</f>
        <v>17860657</v>
      </c>
      <c r="E72" s="239">
        <f>+E71+E28+E49+E59</f>
        <v>2456604</v>
      </c>
      <c r="F72" s="772"/>
      <c r="G72" s="772"/>
      <c r="H72" s="772"/>
      <c r="I72" s="772"/>
      <c r="J72" s="772"/>
      <c r="K72" s="772"/>
      <c r="L72" s="772"/>
      <c r="M72" s="784"/>
      <c r="N72" s="772"/>
      <c r="O72" s="884">
        <f t="shared" si="6"/>
        <v>1.0977951356065174</v>
      </c>
    </row>
    <row r="73" spans="1:17">
      <c r="A73" s="2"/>
      <c r="B73" s="241"/>
      <c r="C73" s="241"/>
      <c r="D73" s="242"/>
      <c r="E73" s="242"/>
      <c r="F73" s="3"/>
      <c r="G73" s="3"/>
      <c r="H73" s="3"/>
      <c r="I73" s="3"/>
      <c r="J73" s="3"/>
      <c r="K73" s="3"/>
      <c r="L73" s="3"/>
      <c r="M73" s="3" t="s">
        <v>150</v>
      </c>
      <c r="N73" s="3"/>
      <c r="O73" s="2"/>
    </row>
    <row r="74" spans="1:17">
      <c r="B74" s="2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2"/>
    </row>
    <row r="75" spans="1:17">
      <c r="B75" s="2"/>
      <c r="C75" s="2"/>
      <c r="D75" s="773" t="s">
        <v>74</v>
      </c>
      <c r="E75" s="773" t="s">
        <v>75</v>
      </c>
      <c r="F75" s="773" t="s">
        <v>76</v>
      </c>
      <c r="G75" s="773" t="s">
        <v>77</v>
      </c>
      <c r="H75" s="773" t="s">
        <v>78</v>
      </c>
      <c r="I75" s="773" t="s">
        <v>79</v>
      </c>
      <c r="J75" s="773" t="s">
        <v>80</v>
      </c>
      <c r="K75" s="773" t="s">
        <v>81</v>
      </c>
      <c r="L75" s="773" t="s">
        <v>82</v>
      </c>
      <c r="M75" s="773" t="s">
        <v>83</v>
      </c>
      <c r="N75" s="773" t="s">
        <v>84</v>
      </c>
      <c r="O75" s="786" t="s">
        <v>85</v>
      </c>
      <c r="P75" s="786" t="s">
        <v>86</v>
      </c>
    </row>
    <row r="76" spans="1:17">
      <c r="B76" s="246" t="s">
        <v>87</v>
      </c>
      <c r="C76" s="246"/>
      <c r="D76" s="248">
        <v>1737613</v>
      </c>
      <c r="E76" s="248">
        <v>1447754</v>
      </c>
      <c r="F76" s="774">
        <f>E71</f>
        <v>1902721</v>
      </c>
      <c r="G76" s="248">
        <v>1891960</v>
      </c>
      <c r="H76" s="248">
        <v>1972368</v>
      </c>
      <c r="I76" s="3">
        <v>1787673</v>
      </c>
      <c r="J76" s="248">
        <v>1808050</v>
      </c>
      <c r="K76" s="787">
        <v>1902721</v>
      </c>
      <c r="L76" s="248"/>
      <c r="M76" s="787"/>
      <c r="N76" s="252"/>
      <c r="O76" s="789"/>
      <c r="P76" s="790">
        <v>10156932</v>
      </c>
    </row>
    <row r="77" spans="1:17">
      <c r="A77" s="2"/>
      <c r="B77" s="249" t="s">
        <v>88</v>
      </c>
      <c r="C77" s="249"/>
      <c r="D77" s="250"/>
      <c r="E77" s="250">
        <f>IF(D76&gt;0,E76/D76,0)*100</f>
        <v>83.318552520037542</v>
      </c>
      <c r="F77" s="250">
        <f t="shared" ref="F77:O77" si="15">IF(E76&gt;0,F76/E76,0)*100</f>
        <v>131.42571182673299</v>
      </c>
      <c r="G77" s="250">
        <f t="shared" si="15"/>
        <v>99.434441518225739</v>
      </c>
      <c r="H77" s="250">
        <f t="shared" si="15"/>
        <v>104.24998414342798</v>
      </c>
      <c r="I77" s="250">
        <f t="shared" si="15"/>
        <v>90.63587525248839</v>
      </c>
      <c r="J77" s="250">
        <f t="shared" si="15"/>
        <v>101.13986170848919</v>
      </c>
      <c r="K77" s="250">
        <f t="shared" si="15"/>
        <v>105.23608307292388</v>
      </c>
      <c r="L77" s="250">
        <f t="shared" si="15"/>
        <v>0</v>
      </c>
      <c r="M77" s="250">
        <f t="shared" si="15"/>
        <v>0</v>
      </c>
      <c r="N77" s="250">
        <f t="shared" si="15"/>
        <v>0</v>
      </c>
      <c r="O77" s="271">
        <f t="shared" si="15"/>
        <v>0</v>
      </c>
      <c r="P77" s="791">
        <f>P76/B71</f>
        <v>0.52641401181783265</v>
      </c>
    </row>
    <row r="78" spans="1:17">
      <c r="A78" s="2"/>
      <c r="B78" s="251"/>
      <c r="C78" s="251"/>
      <c r="D78" s="253"/>
      <c r="E78" s="874"/>
      <c r="F78" s="253"/>
      <c r="G78" s="3" t="s">
        <v>115</v>
      </c>
      <c r="H78" s="3"/>
      <c r="I78" s="3"/>
      <c r="J78" s="3"/>
      <c r="K78" s="3"/>
      <c r="L78" s="3"/>
      <c r="M78" s="3"/>
      <c r="N78" s="3"/>
      <c r="O78" s="152"/>
      <c r="P78" s="2"/>
    </row>
    <row r="79" spans="1:17">
      <c r="A79" s="1442" t="s">
        <v>89</v>
      </c>
      <c r="B79" s="152"/>
      <c r="C79" s="152"/>
      <c r="D79" s="3"/>
      <c r="E79" s="796"/>
      <c r="F79" s="3"/>
      <c r="G79" s="3"/>
      <c r="H79" s="3"/>
      <c r="I79" s="3"/>
      <c r="J79" s="3"/>
      <c r="K79" s="3"/>
      <c r="L79" s="3"/>
      <c r="M79" s="3"/>
      <c r="N79" s="3"/>
      <c r="O79" s="152"/>
      <c r="P79" s="2"/>
      <c r="Q79" s="3"/>
    </row>
    <row r="80" spans="1:17">
      <c r="A80" s="2" t="s">
        <v>90</v>
      </c>
      <c r="B80" s="152"/>
      <c r="C80" s="152"/>
      <c r="D80" s="3"/>
      <c r="E80" s="796"/>
      <c r="F80" s="3"/>
      <c r="G80" s="3"/>
      <c r="H80" s="3"/>
      <c r="I80" s="3"/>
      <c r="J80" s="3"/>
      <c r="K80" s="3"/>
      <c r="L80" s="3"/>
      <c r="M80" s="3"/>
      <c r="N80" s="3"/>
      <c r="O80" s="152"/>
      <c r="P80" s="2"/>
      <c r="Q80" s="3"/>
    </row>
    <row r="81" spans="1:17">
      <c r="A81" s="1442" t="s">
        <v>91</v>
      </c>
      <c r="B81" s="152"/>
      <c r="C81" s="152"/>
      <c r="D81" s="3"/>
      <c r="E81" s="796"/>
      <c r="F81" s="3"/>
      <c r="G81" s="3"/>
      <c r="H81" s="3"/>
      <c r="I81" s="3"/>
      <c r="J81" s="3"/>
      <c r="K81" s="3"/>
      <c r="L81" s="3"/>
      <c r="M81" s="3"/>
      <c r="N81" s="3"/>
      <c r="O81" s="152"/>
      <c r="P81" s="2"/>
      <c r="Q81" s="3"/>
    </row>
    <row r="82" spans="1:17">
      <c r="A82" s="1443" t="s">
        <v>92</v>
      </c>
      <c r="B82" s="152"/>
      <c r="C82" s="152"/>
      <c r="D82" s="3"/>
      <c r="E82" s="796"/>
      <c r="F82" s="3"/>
      <c r="G82" s="3"/>
      <c r="H82" s="3"/>
      <c r="I82" s="3"/>
      <c r="J82" s="3"/>
      <c r="K82" s="3"/>
      <c r="L82" s="3"/>
      <c r="M82" s="3"/>
      <c r="N82" s="3"/>
      <c r="O82" s="152"/>
      <c r="P82" s="2"/>
      <c r="Q82" s="281"/>
    </row>
    <row r="83" spans="1:17">
      <c r="A83" s="2" t="s">
        <v>93</v>
      </c>
      <c r="B83" s="2"/>
      <c r="C83" s="2"/>
      <c r="D83" s="3"/>
      <c r="E83" s="796"/>
      <c r="F83" s="3"/>
      <c r="G83" s="3"/>
      <c r="H83" s="3"/>
      <c r="I83" s="3"/>
      <c r="K83" s="3"/>
      <c r="M83" s="3"/>
      <c r="N83" s="3"/>
      <c r="O83" s="152"/>
      <c r="P83" s="2"/>
    </row>
    <row r="84" spans="1:17">
      <c r="A84" s="2" t="s">
        <v>94</v>
      </c>
      <c r="B84" s="2"/>
      <c r="C84" s="2"/>
      <c r="D84" s="3"/>
      <c r="E84" s="796"/>
      <c r="F84" s="3"/>
      <c r="G84" s="3"/>
      <c r="H84" s="3"/>
      <c r="I84" s="3"/>
      <c r="K84" s="3"/>
      <c r="M84" s="3"/>
      <c r="N84" s="3"/>
      <c r="O84" s="273"/>
      <c r="P84" s="2"/>
    </row>
    <row r="85" spans="1:17">
      <c r="A85" s="2" t="s">
        <v>95</v>
      </c>
      <c r="B85" s="2"/>
      <c r="C85" s="2"/>
      <c r="D85" s="3"/>
      <c r="E85" s="796"/>
      <c r="F85" s="3"/>
      <c r="G85" s="3"/>
      <c r="H85" s="3"/>
      <c r="I85" s="3"/>
      <c r="K85" s="3"/>
      <c r="L85" s="3"/>
      <c r="M85" s="3"/>
      <c r="N85" s="3"/>
      <c r="O85" s="152"/>
      <c r="P85" s="2"/>
    </row>
    <row r="87" spans="1:17" ht="15.6">
      <c r="B87" s="875" t="s">
        <v>159</v>
      </c>
      <c r="C87" s="875"/>
      <c r="D87" s="875"/>
      <c r="E87" s="875"/>
      <c r="F87" s="875"/>
      <c r="G87" s="875"/>
      <c r="H87" s="875"/>
      <c r="I87" s="875"/>
      <c r="J87" s="875"/>
      <c r="K87" s="875"/>
      <c r="L87" s="875"/>
      <c r="M87" s="875"/>
      <c r="N87" s="875"/>
      <c r="O87" s="875"/>
    </row>
    <row r="88" spans="1:17">
      <c r="A88" s="775" t="s">
        <v>97</v>
      </c>
      <c r="B88" s="776" t="s">
        <v>74</v>
      </c>
      <c r="C88" s="776" t="s">
        <v>75</v>
      </c>
      <c r="D88" s="776" t="s">
        <v>76</v>
      </c>
      <c r="E88" s="776" t="s">
        <v>77</v>
      </c>
      <c r="F88" s="776" t="s">
        <v>78</v>
      </c>
      <c r="G88" s="776" t="s">
        <v>79</v>
      </c>
      <c r="H88" s="776" t="s">
        <v>80</v>
      </c>
      <c r="I88" s="776" t="s">
        <v>81</v>
      </c>
      <c r="J88" s="776" t="s">
        <v>82</v>
      </c>
      <c r="K88" s="776" t="s">
        <v>83</v>
      </c>
      <c r="L88" s="776" t="s">
        <v>84</v>
      </c>
      <c r="M88" s="776" t="s">
        <v>85</v>
      </c>
      <c r="N88" s="776" t="s">
        <v>86</v>
      </c>
      <c r="O88" s="775" t="s">
        <v>98</v>
      </c>
    </row>
    <row r="89" spans="1:17">
      <c r="A89" s="876" t="s">
        <v>99</v>
      </c>
      <c r="B89" s="877">
        <v>5672894</v>
      </c>
      <c r="C89" s="877">
        <v>4899761</v>
      </c>
      <c r="D89" s="878">
        <v>6728359</v>
      </c>
      <c r="E89" s="878">
        <v>7366984</v>
      </c>
      <c r="F89" s="878">
        <v>7632844</v>
      </c>
      <c r="G89" s="878">
        <v>7369315</v>
      </c>
      <c r="H89" s="878">
        <v>7406809</v>
      </c>
      <c r="I89" s="885">
        <f>SUM(I90:I96)</f>
        <v>7423642.6568181785</v>
      </c>
      <c r="J89" s="277"/>
      <c r="K89" s="277"/>
      <c r="L89" s="277"/>
      <c r="N89" s="878">
        <f t="shared" ref="N89:N105" si="16">SUM(B89:M89)</f>
        <v>54500608.656818181</v>
      </c>
      <c r="O89" s="886">
        <v>100</v>
      </c>
    </row>
    <row r="90" spans="1:17">
      <c r="A90" s="259" t="s">
        <v>100</v>
      </c>
      <c r="B90" s="260">
        <v>1809898</v>
      </c>
      <c r="C90" s="260">
        <v>1730564</v>
      </c>
      <c r="D90" s="260">
        <v>2112389</v>
      </c>
      <c r="E90" s="260">
        <v>2570971</v>
      </c>
      <c r="F90" s="260">
        <v>2877822</v>
      </c>
      <c r="G90" s="260">
        <v>2522285</v>
      </c>
      <c r="H90" s="260">
        <v>2379861</v>
      </c>
      <c r="I90" s="276">
        <v>1649483.96140941</v>
      </c>
      <c r="J90" s="260"/>
      <c r="K90" s="260"/>
      <c r="L90" s="260"/>
      <c r="M90" s="260"/>
      <c r="N90" s="887">
        <f t="shared" si="16"/>
        <v>17653273.961409409</v>
      </c>
      <c r="O90" s="888">
        <v>32.673524222337498</v>
      </c>
    </row>
    <row r="91" spans="1:17">
      <c r="A91" s="259" t="s">
        <v>101</v>
      </c>
      <c r="B91" s="260">
        <v>216643</v>
      </c>
      <c r="C91" s="260">
        <v>165584</v>
      </c>
      <c r="D91" s="260">
        <v>464816</v>
      </c>
      <c r="E91" s="260">
        <v>179363</v>
      </c>
      <c r="F91" s="260">
        <v>325949</v>
      </c>
      <c r="G91" s="260">
        <v>301067</v>
      </c>
      <c r="H91" s="260">
        <v>208263</v>
      </c>
      <c r="I91" s="276">
        <v>556923.47207816201</v>
      </c>
      <c r="J91" s="260"/>
      <c r="K91" s="260"/>
      <c r="L91" s="260"/>
      <c r="M91" s="260"/>
      <c r="N91" s="887">
        <f t="shared" si="16"/>
        <v>2418608.4720781622</v>
      </c>
      <c r="O91" s="888">
        <v>4.8959153492390701</v>
      </c>
    </row>
    <row r="92" spans="1:17">
      <c r="A92" s="259" t="s">
        <v>102</v>
      </c>
      <c r="B92" s="260">
        <v>1371301</v>
      </c>
      <c r="C92" s="260">
        <v>870579</v>
      </c>
      <c r="D92" s="260">
        <v>1114225</v>
      </c>
      <c r="E92" s="260">
        <v>1074841</v>
      </c>
      <c r="F92" s="260">
        <v>1197562</v>
      </c>
      <c r="G92" s="260">
        <v>1270373</v>
      </c>
      <c r="H92" s="260">
        <v>1356812</v>
      </c>
      <c r="I92" s="276">
        <v>1428637.4627896</v>
      </c>
      <c r="J92" s="260"/>
      <c r="K92" s="260"/>
      <c r="L92" s="260"/>
      <c r="M92" s="260"/>
      <c r="N92" s="887">
        <f t="shared" si="16"/>
        <v>9684330.4627896007</v>
      </c>
      <c r="O92" s="888">
        <v>19.3983138791749</v>
      </c>
    </row>
    <row r="93" spans="1:17">
      <c r="A93" s="259" t="s">
        <v>103</v>
      </c>
      <c r="B93" s="260">
        <v>758783</v>
      </c>
      <c r="C93" s="260">
        <v>620788</v>
      </c>
      <c r="D93" s="260">
        <v>832464</v>
      </c>
      <c r="E93" s="260">
        <v>805760</v>
      </c>
      <c r="F93" s="260">
        <v>873484</v>
      </c>
      <c r="G93" s="260">
        <v>767484</v>
      </c>
      <c r="H93" s="260">
        <v>901143</v>
      </c>
      <c r="I93" s="276">
        <v>1048065.44177413</v>
      </c>
      <c r="J93" s="260"/>
      <c r="K93" s="260"/>
      <c r="L93" s="260"/>
      <c r="M93" s="260"/>
      <c r="N93" s="887">
        <f t="shared" si="16"/>
        <v>6607971.4417741299</v>
      </c>
      <c r="O93" s="888">
        <v>12.785580082184801</v>
      </c>
    </row>
    <row r="94" spans="1:17">
      <c r="A94" s="259" t="s">
        <v>104</v>
      </c>
      <c r="B94" s="260">
        <v>663451</v>
      </c>
      <c r="C94" s="260">
        <v>687147</v>
      </c>
      <c r="D94" s="260">
        <v>1074747</v>
      </c>
      <c r="E94" s="260">
        <v>1431356</v>
      </c>
      <c r="F94" s="260">
        <v>1344265</v>
      </c>
      <c r="G94" s="260">
        <v>1186850</v>
      </c>
      <c r="H94" s="260">
        <v>1525557</v>
      </c>
      <c r="I94" s="276">
        <v>1204868.26132492</v>
      </c>
      <c r="J94" s="260"/>
      <c r="K94" s="260"/>
      <c r="L94" s="260"/>
      <c r="M94" s="260"/>
      <c r="N94" s="887">
        <f t="shared" si="16"/>
        <v>9118241.2613249198</v>
      </c>
      <c r="O94" s="888">
        <v>14.018513596948701</v>
      </c>
    </row>
    <row r="95" spans="1:17">
      <c r="A95" s="259" t="s">
        <v>105</v>
      </c>
      <c r="B95" s="260">
        <v>94829</v>
      </c>
      <c r="C95" s="260">
        <v>74713</v>
      </c>
      <c r="D95" s="260">
        <v>126500</v>
      </c>
      <c r="E95" s="260">
        <v>117804</v>
      </c>
      <c r="F95" s="260">
        <v>116232</v>
      </c>
      <c r="G95" s="260">
        <v>117017</v>
      </c>
      <c r="H95" s="260">
        <v>119409</v>
      </c>
      <c r="I95" s="276">
        <v>426707.09230535798</v>
      </c>
      <c r="J95" s="260"/>
      <c r="K95" s="260"/>
      <c r="L95" s="260"/>
      <c r="M95" s="260"/>
      <c r="N95" s="887">
        <f t="shared" si="16"/>
        <v>1193211.092305358</v>
      </c>
      <c r="O95" s="888">
        <v>1.71112513983284</v>
      </c>
    </row>
    <row r="96" spans="1:17">
      <c r="A96" s="259" t="s">
        <v>58</v>
      </c>
      <c r="B96" s="260">
        <v>644996</v>
      </c>
      <c r="C96" s="260">
        <v>549797</v>
      </c>
      <c r="D96" s="260">
        <v>901148</v>
      </c>
      <c r="E96" s="260">
        <v>1109569</v>
      </c>
      <c r="F96" s="260">
        <v>817643</v>
      </c>
      <c r="G96" s="260">
        <v>972902</v>
      </c>
      <c r="H96" s="260">
        <v>770532</v>
      </c>
      <c r="I96" s="276">
        <v>1108956.9651366</v>
      </c>
      <c r="J96" s="260"/>
      <c r="K96" s="260"/>
      <c r="L96" s="260"/>
      <c r="M96" s="260"/>
      <c r="N96" s="887">
        <f t="shared" si="16"/>
        <v>6875543.9651365997</v>
      </c>
      <c r="O96" s="888">
        <v>12.1145558289242</v>
      </c>
    </row>
    <row r="97" spans="1:15">
      <c r="A97" s="879" t="s">
        <v>106</v>
      </c>
      <c r="B97" s="878">
        <v>6857452</v>
      </c>
      <c r="C97" s="878">
        <v>5513308</v>
      </c>
      <c r="D97" s="878">
        <v>8179988</v>
      </c>
      <c r="E97" s="878">
        <v>8794398</v>
      </c>
      <c r="F97" s="878">
        <v>8383395</v>
      </c>
      <c r="G97" s="878">
        <v>8308915</v>
      </c>
      <c r="H97" s="878">
        <v>8411698</v>
      </c>
      <c r="I97" s="885">
        <f>SUM(I98:I104)</f>
        <v>9120088.1304625664</v>
      </c>
      <c r="J97" s="878"/>
      <c r="K97" s="878"/>
      <c r="L97" s="878"/>
      <c r="M97" s="889"/>
      <c r="N97" s="878">
        <f t="shared" si="16"/>
        <v>63569242.130462565</v>
      </c>
      <c r="O97" s="890">
        <f>N97/$N$97</f>
        <v>1</v>
      </c>
    </row>
    <row r="98" spans="1:15">
      <c r="A98" s="259" t="s">
        <v>100</v>
      </c>
      <c r="B98" s="260">
        <v>2135077</v>
      </c>
      <c r="C98" s="260">
        <v>1954967</v>
      </c>
      <c r="D98" s="260">
        <v>2573893</v>
      </c>
      <c r="E98" s="260">
        <v>3073887</v>
      </c>
      <c r="F98" s="260">
        <v>3261336</v>
      </c>
      <c r="G98" s="260">
        <v>3026937</v>
      </c>
      <c r="H98" s="260">
        <v>2813170</v>
      </c>
      <c r="I98" s="276">
        <v>2771764.24442368</v>
      </c>
      <c r="J98" s="260"/>
      <c r="K98" s="260"/>
      <c r="L98" s="260"/>
      <c r="M98" s="260"/>
      <c r="N98" s="887">
        <f t="shared" si="16"/>
        <v>21611031.24442368</v>
      </c>
      <c r="O98" s="583">
        <f t="shared" ref="O98:O104" si="17">N98/$N$97</f>
        <v>0.33996049850762045</v>
      </c>
    </row>
    <row r="99" spans="1:15">
      <c r="A99" s="259" t="s">
        <v>101</v>
      </c>
      <c r="B99" s="260">
        <v>263002</v>
      </c>
      <c r="C99" s="260">
        <v>221352</v>
      </c>
      <c r="D99" s="260">
        <v>387773</v>
      </c>
      <c r="E99" s="260">
        <v>258017</v>
      </c>
      <c r="F99" s="260">
        <v>388537</v>
      </c>
      <c r="G99" s="260">
        <v>292594</v>
      </c>
      <c r="H99" s="260">
        <v>286187</v>
      </c>
      <c r="I99" s="276">
        <v>371162.45418796502</v>
      </c>
      <c r="J99" s="260"/>
      <c r="K99" s="260"/>
      <c r="L99" s="260"/>
      <c r="M99" s="260"/>
      <c r="N99" s="887">
        <f t="shared" si="16"/>
        <v>2468624.454187965</v>
      </c>
      <c r="O99" s="583">
        <f t="shared" si="17"/>
        <v>3.8833630407636918E-2</v>
      </c>
    </row>
    <row r="100" spans="1:15">
      <c r="A100" s="259" t="s">
        <v>102</v>
      </c>
      <c r="B100" s="260">
        <v>1600519</v>
      </c>
      <c r="C100" s="260">
        <v>975825</v>
      </c>
      <c r="D100" s="260">
        <v>1500811</v>
      </c>
      <c r="E100" s="260">
        <v>1431201</v>
      </c>
      <c r="F100" s="260">
        <v>1312883</v>
      </c>
      <c r="G100" s="260">
        <v>1628844</v>
      </c>
      <c r="H100" s="260">
        <v>1563650</v>
      </c>
      <c r="I100" s="276">
        <v>1567478.3799777699</v>
      </c>
      <c r="J100" s="260"/>
      <c r="K100" s="260"/>
      <c r="L100" s="260"/>
      <c r="M100" s="260"/>
      <c r="N100" s="887">
        <f t="shared" si="16"/>
        <v>11581211.37997777</v>
      </c>
      <c r="O100" s="583">
        <f t="shared" si="17"/>
        <v>0.18218262467577886</v>
      </c>
    </row>
    <row r="101" spans="1:15">
      <c r="A101" s="259" t="s">
        <v>103</v>
      </c>
      <c r="B101" s="260">
        <v>906127</v>
      </c>
      <c r="C101" s="260">
        <v>684506</v>
      </c>
      <c r="D101" s="260">
        <v>1019356</v>
      </c>
      <c r="E101" s="260">
        <v>936276</v>
      </c>
      <c r="F101" s="260">
        <v>1009873</v>
      </c>
      <c r="G101" s="260">
        <v>790066</v>
      </c>
      <c r="H101" s="260">
        <v>1001312</v>
      </c>
      <c r="I101" s="276">
        <v>1059004.6865963</v>
      </c>
      <c r="J101" s="260"/>
      <c r="K101" s="260"/>
      <c r="L101" s="260"/>
      <c r="M101" s="260"/>
      <c r="N101" s="887">
        <f t="shared" si="16"/>
        <v>7406520.6865963005</v>
      </c>
      <c r="O101" s="583">
        <f t="shared" si="17"/>
        <v>0.1165110741983673</v>
      </c>
    </row>
    <row r="102" spans="1:15">
      <c r="A102" s="259" t="s">
        <v>104</v>
      </c>
      <c r="B102" s="260">
        <v>910303</v>
      </c>
      <c r="C102" s="260">
        <v>843503</v>
      </c>
      <c r="D102" s="260">
        <v>1350561</v>
      </c>
      <c r="E102" s="260">
        <v>1603712</v>
      </c>
      <c r="F102" s="260">
        <v>1322029</v>
      </c>
      <c r="G102" s="260">
        <v>1326834</v>
      </c>
      <c r="H102" s="260">
        <v>1615435</v>
      </c>
      <c r="I102" s="276">
        <v>1427094.8094327101</v>
      </c>
      <c r="J102" s="260"/>
      <c r="K102" s="260"/>
      <c r="L102" s="260"/>
      <c r="M102" s="260"/>
      <c r="N102" s="887">
        <f t="shared" si="16"/>
        <v>10399471.80943271</v>
      </c>
      <c r="O102" s="583">
        <f t="shared" si="17"/>
        <v>0.16359282352446439</v>
      </c>
    </row>
    <row r="103" spans="1:15">
      <c r="A103" s="259" t="s">
        <v>105</v>
      </c>
      <c r="B103" s="260">
        <v>73110</v>
      </c>
      <c r="C103" s="260">
        <v>87700</v>
      </c>
      <c r="D103" s="260">
        <v>119850</v>
      </c>
      <c r="E103" s="260">
        <v>120063</v>
      </c>
      <c r="F103" s="260">
        <v>106070</v>
      </c>
      <c r="G103" s="260">
        <v>105910</v>
      </c>
      <c r="H103" s="260">
        <v>116555</v>
      </c>
      <c r="I103" s="276">
        <v>318808.68661145098</v>
      </c>
      <c r="J103" s="260"/>
      <c r="K103" s="260"/>
      <c r="L103" s="260"/>
      <c r="M103" s="260"/>
      <c r="N103" s="887">
        <f t="shared" si="16"/>
        <v>1048066.686611451</v>
      </c>
      <c r="O103" s="583">
        <f t="shared" si="17"/>
        <v>1.6487009306489976E-2</v>
      </c>
    </row>
    <row r="104" spans="1:15">
      <c r="A104" s="259" t="s">
        <v>58</v>
      </c>
      <c r="B104" s="260">
        <v>917981</v>
      </c>
      <c r="C104" s="260">
        <v>744638</v>
      </c>
      <c r="D104" s="260">
        <v>1226864</v>
      </c>
      <c r="E104" s="260">
        <v>1342688</v>
      </c>
      <c r="F104" s="260">
        <v>975567</v>
      </c>
      <c r="G104" s="260">
        <v>1028078</v>
      </c>
      <c r="H104" s="260">
        <v>1009484</v>
      </c>
      <c r="I104" s="276">
        <v>1604774.86923269</v>
      </c>
      <c r="J104" s="260"/>
      <c r="K104" s="260"/>
      <c r="L104" s="260"/>
      <c r="M104" s="260"/>
      <c r="N104" s="887">
        <f t="shared" si="16"/>
        <v>8850074.86923269</v>
      </c>
      <c r="O104" s="583">
        <f t="shared" si="17"/>
        <v>0.13921944910196921</v>
      </c>
    </row>
    <row r="105" spans="1:15">
      <c r="A105" s="880" t="s">
        <v>107</v>
      </c>
      <c r="B105" s="881">
        <f>B89+B97</f>
        <v>12530346</v>
      </c>
      <c r="C105" s="881">
        <v>10413069</v>
      </c>
      <c r="D105" s="881">
        <f>D89+D97</f>
        <v>14908347</v>
      </c>
      <c r="E105" s="881">
        <f>E89+E97</f>
        <v>16161382</v>
      </c>
      <c r="F105" s="881">
        <f t="shared" ref="F105:L105" si="18">F89+F97</f>
        <v>16016239</v>
      </c>
      <c r="G105" s="881">
        <f t="shared" si="18"/>
        <v>15678230</v>
      </c>
      <c r="H105" s="881">
        <f t="shared" si="18"/>
        <v>15818507</v>
      </c>
      <c r="I105" s="891">
        <f t="shared" si="18"/>
        <v>16543730.787280746</v>
      </c>
      <c r="J105" s="881">
        <f t="shared" si="18"/>
        <v>0</v>
      </c>
      <c r="K105" s="881">
        <f t="shared" si="18"/>
        <v>0</v>
      </c>
      <c r="L105" s="881">
        <f t="shared" si="18"/>
        <v>0</v>
      </c>
      <c r="M105" s="255"/>
      <c r="N105" s="892">
        <f t="shared" si="16"/>
        <v>118069850.78728074</v>
      </c>
      <c r="O105" s="259"/>
    </row>
    <row r="106" spans="1:15">
      <c r="C106" s="882">
        <f t="shared" ref="C106" si="19">C105/B105</f>
        <v>0.83102804982400325</v>
      </c>
      <c r="D106" s="882">
        <f t="shared" ref="D106" si="20">D105/C105</f>
        <v>1.4316957853635657</v>
      </c>
      <c r="E106" s="882">
        <f t="shared" ref="E106" si="21">E105/D105</f>
        <v>1.0840492242365971</v>
      </c>
      <c r="F106" s="882">
        <f t="shared" ref="F106" si="22">F105/E105</f>
        <v>0.99101914675366254</v>
      </c>
      <c r="G106" s="882">
        <f t="shared" ref="G106" si="23">G105/F105</f>
        <v>0.97889585688625147</v>
      </c>
      <c r="H106" s="882">
        <f t="shared" ref="H106" si="24">H105/G105</f>
        <v>1.0089472472339034</v>
      </c>
      <c r="I106" s="882">
        <f t="shared" ref="I106" si="25">I105/H105</f>
        <v>1.0458465383162105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06"/>
  <sheetViews>
    <sheetView topLeftCell="A23" zoomScale="80" zoomScaleNormal="80" workbookViewId="0">
      <selection activeCell="D14" sqref="D14:E15"/>
    </sheetView>
  </sheetViews>
  <sheetFormatPr defaultColWidth="9" defaultRowHeight="14.4"/>
  <cols>
    <col min="1" max="1" width="41.77734375" customWidth="1"/>
    <col min="2" max="3" width="12.21875" customWidth="1"/>
    <col min="4" max="5" width="12.44140625" customWidth="1"/>
  </cols>
  <sheetData>
    <row r="1" spans="1:17" ht="15">
      <c r="A1" s="586" t="s">
        <v>160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  <c r="L1" s="586"/>
      <c r="M1" s="586"/>
      <c r="N1" s="586"/>
      <c r="O1" s="586"/>
      <c r="P1" s="151"/>
      <c r="Q1" s="221"/>
    </row>
    <row r="2" spans="1:17">
      <c r="A2" s="2"/>
      <c r="B2" s="2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152"/>
      <c r="P2" s="2"/>
    </row>
    <row r="3" spans="1:17" ht="41.4">
      <c r="A3" s="587" t="s">
        <v>1</v>
      </c>
      <c r="B3" s="588" t="s">
        <v>2</v>
      </c>
      <c r="C3" s="589" t="s">
        <v>161</v>
      </c>
      <c r="D3" s="590" t="s">
        <v>162</v>
      </c>
      <c r="E3" s="591" t="s">
        <v>163</v>
      </c>
      <c r="F3" s="592"/>
      <c r="G3" s="592"/>
      <c r="H3" s="592"/>
      <c r="I3" s="592"/>
      <c r="J3" s="592"/>
      <c r="K3" s="592"/>
      <c r="L3" s="592"/>
      <c r="M3" s="592"/>
      <c r="N3" s="705"/>
      <c r="O3" s="706" t="s">
        <v>164</v>
      </c>
      <c r="P3" s="707"/>
    </row>
    <row r="4" spans="1:17" ht="28.8">
      <c r="A4" s="593"/>
      <c r="B4" s="594"/>
      <c r="C4" s="595"/>
      <c r="D4" s="596"/>
      <c r="E4" s="597" t="s">
        <v>7</v>
      </c>
      <c r="F4" s="598" t="s">
        <v>8</v>
      </c>
      <c r="G4" s="598" t="s">
        <v>9</v>
      </c>
      <c r="H4" s="598" t="s">
        <v>10</v>
      </c>
      <c r="I4" s="598" t="s">
        <v>11</v>
      </c>
      <c r="J4" s="708" t="s">
        <v>12</v>
      </c>
      <c r="K4" s="709" t="s">
        <v>13</v>
      </c>
      <c r="L4" s="709" t="s">
        <v>14</v>
      </c>
      <c r="M4" s="710" t="s">
        <v>15</v>
      </c>
      <c r="N4" s="711" t="s">
        <v>16</v>
      </c>
      <c r="O4" s="712"/>
      <c r="P4" s="707"/>
    </row>
    <row r="5" spans="1:17" ht="15.6">
      <c r="A5" s="599"/>
      <c r="B5" s="600"/>
      <c r="C5" s="600"/>
      <c r="D5" s="601"/>
      <c r="E5" s="602"/>
      <c r="F5" s="603"/>
      <c r="G5" s="603"/>
      <c r="H5" s="603"/>
      <c r="I5" s="603"/>
      <c r="J5" s="713"/>
      <c r="K5" s="603"/>
      <c r="L5" s="603"/>
      <c r="M5" s="713"/>
      <c r="N5" s="714"/>
      <c r="O5" s="715"/>
      <c r="P5" s="707"/>
    </row>
    <row r="6" spans="1:17" ht="15">
      <c r="A6" s="604" t="s">
        <v>17</v>
      </c>
      <c r="B6" s="605">
        <f>SUM(B8:B18)</f>
        <v>4976683</v>
      </c>
      <c r="C6" s="605">
        <v>3908376</v>
      </c>
      <c r="D6" s="606">
        <f>SUM(D9:D18)</f>
        <v>3904086</v>
      </c>
      <c r="E6" s="607">
        <f t="shared" ref="E6:N6" si="0">SUM(E8:E18)</f>
        <v>438152</v>
      </c>
      <c r="F6" s="608">
        <f t="shared" si="0"/>
        <v>181473</v>
      </c>
      <c r="G6" s="608">
        <f t="shared" si="0"/>
        <v>156228</v>
      </c>
      <c r="H6" s="608">
        <f t="shared" si="0"/>
        <v>20344</v>
      </c>
      <c r="I6" s="608">
        <f t="shared" si="0"/>
        <v>17021</v>
      </c>
      <c r="J6" s="608">
        <f t="shared" si="0"/>
        <v>509</v>
      </c>
      <c r="K6" s="608">
        <f t="shared" si="0"/>
        <v>19166</v>
      </c>
      <c r="L6" s="608">
        <f t="shared" si="0"/>
        <v>6043</v>
      </c>
      <c r="M6" s="608">
        <f t="shared" si="0"/>
        <v>539</v>
      </c>
      <c r="N6" s="607">
        <f t="shared" si="0"/>
        <v>2568</v>
      </c>
      <c r="O6" s="716">
        <f>+D6/C6</f>
        <v>0.99890235739857169</v>
      </c>
      <c r="P6" s="717"/>
    </row>
    <row r="7" spans="1:17" ht="15">
      <c r="A7" s="609" t="s">
        <v>18</v>
      </c>
      <c r="B7" s="610"/>
      <c r="C7" s="610"/>
      <c r="D7" s="611"/>
      <c r="E7" s="150">
        <f>SUM(F7:J7)</f>
        <v>0</v>
      </c>
      <c r="F7" s="612"/>
      <c r="G7" s="612"/>
      <c r="H7" s="612"/>
      <c r="I7" s="612"/>
      <c r="J7" s="644"/>
      <c r="K7" s="654"/>
      <c r="L7" s="654"/>
      <c r="M7" s="654"/>
      <c r="N7" s="718"/>
      <c r="O7" s="716"/>
      <c r="P7" s="717"/>
    </row>
    <row r="8" spans="1:17">
      <c r="A8" s="609" t="s">
        <v>19</v>
      </c>
      <c r="B8" s="610"/>
      <c r="C8" s="610"/>
      <c r="D8" s="611"/>
      <c r="E8" s="150">
        <f>SUM(F8:J8)</f>
        <v>0</v>
      </c>
      <c r="F8" s="24"/>
      <c r="G8" s="24"/>
      <c r="H8" s="24"/>
      <c r="I8" s="24"/>
      <c r="J8" s="167"/>
      <c r="K8" s="168"/>
      <c r="L8" s="168"/>
      <c r="M8" s="168"/>
      <c r="N8" s="719"/>
      <c r="O8" s="716"/>
      <c r="P8" s="170"/>
    </row>
    <row r="9" spans="1:17">
      <c r="A9" s="613" t="s">
        <v>20</v>
      </c>
      <c r="B9" s="610">
        <f>108077+85467+113186+113042+116756+109995+110509+101300+92745+107226+101895+113016</f>
        <v>1273214</v>
      </c>
      <c r="C9" s="610">
        <v>951077</v>
      </c>
      <c r="D9" s="611">
        <f>195272+119565+111251+124577+111240+113765+121727+107555</f>
        <v>1004952</v>
      </c>
      <c r="E9" s="150">
        <f t="shared" ref="E9:E11" si="1">SUM(F9:J9)</f>
        <v>107555</v>
      </c>
      <c r="F9" s="24">
        <v>41168</v>
      </c>
      <c r="G9" s="24">
        <v>35715</v>
      </c>
      <c r="H9" s="24">
        <v>17127</v>
      </c>
      <c r="I9" s="24">
        <v>13545</v>
      </c>
      <c r="J9" s="644"/>
      <c r="K9" s="654"/>
      <c r="L9" s="654"/>
      <c r="M9" s="168"/>
      <c r="N9" s="719"/>
      <c r="O9" s="716">
        <f t="shared" ref="O9:O69" si="2">+D9/C9</f>
        <v>1.0566463072916283</v>
      </c>
      <c r="P9" s="172"/>
      <c r="Q9" s="222"/>
    </row>
    <row r="10" spans="1:17" ht="15.6">
      <c r="A10" s="614" t="s">
        <v>135</v>
      </c>
      <c r="B10" s="615">
        <v>0</v>
      </c>
      <c r="C10" s="615">
        <v>0</v>
      </c>
      <c r="D10" s="616">
        <f>111446</f>
        <v>111446</v>
      </c>
      <c r="E10" s="167">
        <f t="shared" si="1"/>
        <v>40030</v>
      </c>
      <c r="F10" s="617">
        <v>22706</v>
      </c>
      <c r="G10" s="617">
        <v>16821</v>
      </c>
      <c r="H10" s="617"/>
      <c r="I10" s="617"/>
      <c r="J10" s="617">
        <v>503</v>
      </c>
      <c r="K10" s="720">
        <f>1240+2527+355</f>
        <v>4122</v>
      </c>
      <c r="L10" s="720">
        <f>1456+0</f>
        <v>1456</v>
      </c>
      <c r="M10" s="720">
        <v>539</v>
      </c>
      <c r="N10" s="721">
        <v>2568</v>
      </c>
      <c r="O10" s="722"/>
      <c r="P10" s="172"/>
      <c r="Q10" s="222"/>
    </row>
    <row r="11" spans="1:17">
      <c r="A11" s="609" t="s">
        <v>21</v>
      </c>
      <c r="B11" s="618">
        <f>148719+103732+138638+114388+149772+144287+154524+162231+134683+114242+101779+138292</f>
        <v>1605287</v>
      </c>
      <c r="C11" s="618">
        <v>1250974</v>
      </c>
      <c r="D11" s="619">
        <f>131015+78250+105874+111968+99207+123596+111773+110146+89249</f>
        <v>961078</v>
      </c>
      <c r="E11" s="620">
        <f t="shared" si="1"/>
        <v>89249</v>
      </c>
      <c r="F11" s="33">
        <v>45731</v>
      </c>
      <c r="G11" s="33">
        <v>43512</v>
      </c>
      <c r="H11" s="621"/>
      <c r="I11" s="621"/>
      <c r="J11" s="167">
        <v>6</v>
      </c>
      <c r="K11" s="168">
        <f>4632+4212+2</f>
        <v>8846</v>
      </c>
      <c r="L11" s="168">
        <f>1723+178</f>
        <v>1901</v>
      </c>
      <c r="M11" s="168"/>
      <c r="N11" s="656"/>
      <c r="O11" s="716">
        <f>+D11/C11</f>
        <v>0.76826376887129544</v>
      </c>
      <c r="P11" s="170"/>
      <c r="Q11" s="222"/>
    </row>
    <row r="12" spans="1:17">
      <c r="A12" s="609" t="s">
        <v>22</v>
      </c>
      <c r="B12" s="618"/>
      <c r="C12" s="618"/>
      <c r="D12" s="622"/>
      <c r="E12" s="150"/>
      <c r="F12" s="24"/>
      <c r="G12" s="24"/>
      <c r="H12" s="24"/>
      <c r="I12" s="24"/>
      <c r="J12" s="167"/>
      <c r="K12" s="168"/>
      <c r="L12" s="168"/>
      <c r="M12" s="168"/>
      <c r="N12" s="719"/>
      <c r="O12" s="716"/>
      <c r="P12" s="172"/>
      <c r="Q12" s="222"/>
    </row>
    <row r="13" spans="1:17">
      <c r="A13" s="609" t="s">
        <v>23</v>
      </c>
      <c r="B13" s="618">
        <f>39231+38035+45839+55212+55252+51874+53719+51193+43893+46338+47055+45738</f>
        <v>573379</v>
      </c>
      <c r="C13" s="618">
        <v>434248</v>
      </c>
      <c r="D13" s="622">
        <f>74332+41587+36538+49878+32546+31277+34151+28168</f>
        <v>328477</v>
      </c>
      <c r="E13" s="150">
        <f>SUM(F13:J13)</f>
        <v>28168</v>
      </c>
      <c r="F13" s="24">
        <v>14014</v>
      </c>
      <c r="G13" s="24">
        <v>12494</v>
      </c>
      <c r="H13" s="24">
        <v>813</v>
      </c>
      <c r="I13" s="24">
        <v>847</v>
      </c>
      <c r="J13" s="167"/>
      <c r="K13" s="168">
        <f>4107+1620+139+332</f>
        <v>6198</v>
      </c>
      <c r="L13" s="168">
        <f>205+2284+186+11</f>
        <v>2686</v>
      </c>
      <c r="M13" s="168"/>
      <c r="N13" s="719"/>
      <c r="O13" s="716">
        <f>+D13/C13</f>
        <v>0.75642720288867193</v>
      </c>
      <c r="P13" s="170"/>
      <c r="Q13" s="222"/>
    </row>
    <row r="14" spans="1:17">
      <c r="A14" s="623" t="s">
        <v>24</v>
      </c>
      <c r="B14" s="618">
        <v>0</v>
      </c>
      <c r="C14" s="618"/>
      <c r="D14" s="622">
        <f>243348</f>
        <v>243348</v>
      </c>
      <c r="E14" s="150">
        <v>41797</v>
      </c>
      <c r="F14" s="24"/>
      <c r="G14" s="24"/>
      <c r="H14" s="24"/>
      <c r="I14" s="24"/>
      <c r="J14" s="167"/>
      <c r="K14" s="168"/>
      <c r="L14" s="168"/>
      <c r="M14" s="168"/>
      <c r="N14" s="719"/>
      <c r="O14" s="716"/>
      <c r="P14" s="172"/>
      <c r="Q14" s="222"/>
    </row>
    <row r="15" spans="1:17">
      <c r="A15" s="68" t="s">
        <v>156</v>
      </c>
      <c r="B15" s="618">
        <f>107401+71667+97692+112321+100543+91682+100061+119410+112186+136804+148168+145637</f>
        <v>1343572</v>
      </c>
      <c r="C15" s="618">
        <v>912963</v>
      </c>
      <c r="D15" s="624">
        <f>974616+110573</f>
        <v>1085189</v>
      </c>
      <c r="E15" s="150">
        <f>SUM(F15:J15)</f>
        <v>110573</v>
      </c>
      <c r="F15" s="36">
        <v>57854</v>
      </c>
      <c r="G15" s="36">
        <v>47686</v>
      </c>
      <c r="H15" s="36">
        <v>2404</v>
      </c>
      <c r="I15" s="36">
        <v>2629</v>
      </c>
      <c r="J15" s="723"/>
      <c r="K15" s="176"/>
      <c r="L15" s="176"/>
      <c r="M15" s="176"/>
      <c r="N15" s="659"/>
      <c r="O15" s="716">
        <f>+D15/C15</f>
        <v>1.1886451039089208</v>
      </c>
      <c r="P15" s="170"/>
      <c r="Q15" s="222"/>
    </row>
    <row r="16" spans="1:17">
      <c r="A16" s="623" t="s">
        <v>26</v>
      </c>
      <c r="B16" s="618">
        <f>5818+3471+4879+3146+1868+3203+3535+2520+3649+3073+2995+3507</f>
        <v>41664</v>
      </c>
      <c r="C16" s="618">
        <v>32089</v>
      </c>
      <c r="D16" s="624">
        <f>30726</f>
        <v>30726</v>
      </c>
      <c r="E16" s="150">
        <v>4280</v>
      </c>
      <c r="F16" s="24"/>
      <c r="G16" s="24"/>
      <c r="H16" s="24"/>
      <c r="I16" s="24"/>
      <c r="J16" s="167"/>
      <c r="K16" s="51"/>
      <c r="L16" s="168"/>
      <c r="M16" s="168"/>
      <c r="N16" s="719"/>
      <c r="O16" s="716">
        <f>+D16/C16</f>
        <v>0.95752438530337503</v>
      </c>
      <c r="P16" s="178"/>
      <c r="Q16" s="222"/>
    </row>
    <row r="17" spans="1:17">
      <c r="A17" s="609" t="s">
        <v>27</v>
      </c>
      <c r="B17" s="618">
        <f>528</f>
        <v>528</v>
      </c>
      <c r="C17" s="618"/>
      <c r="D17" s="624">
        <v>0</v>
      </c>
      <c r="E17" s="150">
        <v>0</v>
      </c>
      <c r="F17" s="24"/>
      <c r="G17" s="24"/>
      <c r="H17" s="24"/>
      <c r="I17" s="24"/>
      <c r="J17" s="167"/>
      <c r="K17" s="654"/>
      <c r="L17" s="51"/>
      <c r="M17" s="168"/>
      <c r="N17" s="719"/>
      <c r="O17" s="716"/>
      <c r="P17" s="178"/>
      <c r="Q17" s="222"/>
    </row>
    <row r="18" spans="1:17">
      <c r="A18" s="625" t="s">
        <v>28</v>
      </c>
      <c r="B18" s="626">
        <f>127397+11642</f>
        <v>139039</v>
      </c>
      <c r="C18" s="627">
        <v>101367</v>
      </c>
      <c r="D18" s="628">
        <f>19907+16036+17100+18000+13965+16816+21546+15500</f>
        <v>138870</v>
      </c>
      <c r="E18" s="629">
        <v>16500</v>
      </c>
      <c r="F18" s="630"/>
      <c r="G18" s="630"/>
      <c r="H18" s="630"/>
      <c r="I18" s="630"/>
      <c r="J18" s="630"/>
      <c r="K18" s="205"/>
      <c r="L18" s="205"/>
      <c r="M18" s="205"/>
      <c r="N18" s="724"/>
      <c r="O18" s="716">
        <f t="shared" si="2"/>
        <v>1.369972476249667</v>
      </c>
      <c r="P18" s="182"/>
      <c r="Q18" s="223"/>
    </row>
    <row r="19" spans="1:17" ht="15.6">
      <c r="A19" s="42" t="s">
        <v>29</v>
      </c>
      <c r="B19" s="631">
        <f>534688+54911+55025</f>
        <v>644624</v>
      </c>
      <c r="C19" s="631">
        <v>450968</v>
      </c>
      <c r="D19" s="632"/>
      <c r="E19" s="633"/>
      <c r="F19" s="634"/>
      <c r="G19" s="634"/>
      <c r="H19" s="634"/>
      <c r="I19" s="634"/>
      <c r="J19" s="634"/>
      <c r="K19" s="725"/>
      <c r="L19" s="725"/>
      <c r="M19" s="725"/>
      <c r="N19" s="726"/>
      <c r="O19" s="716">
        <f t="shared" si="2"/>
        <v>0</v>
      </c>
      <c r="P19" s="727"/>
      <c r="Q19" s="727"/>
    </row>
    <row r="20" spans="1:17" ht="15.6">
      <c r="A20" s="47" t="s">
        <v>30</v>
      </c>
      <c r="B20" s="635">
        <f>228437+18717+26622</f>
        <v>273776</v>
      </c>
      <c r="C20" s="635">
        <v>185932</v>
      </c>
      <c r="D20" s="636"/>
      <c r="E20" s="637"/>
      <c r="F20" s="638"/>
      <c r="G20" s="638"/>
      <c r="H20" s="638"/>
      <c r="I20" s="638"/>
      <c r="J20" s="638"/>
      <c r="K20" s="198"/>
      <c r="L20" s="198"/>
      <c r="M20" s="198"/>
      <c r="N20" s="728"/>
      <c r="O20" s="716">
        <f t="shared" si="2"/>
        <v>0</v>
      </c>
      <c r="P20" s="729"/>
      <c r="Q20" s="754"/>
    </row>
    <row r="21" spans="1:17" ht="15.6">
      <c r="A21" s="47" t="s">
        <v>31</v>
      </c>
      <c r="B21" s="635">
        <f>76626+5290+8224</f>
        <v>90140</v>
      </c>
      <c r="C21" s="635">
        <v>88946</v>
      </c>
      <c r="D21" s="636"/>
      <c r="E21" s="639"/>
      <c r="F21" s="167"/>
      <c r="G21" s="167"/>
      <c r="H21" s="167"/>
      <c r="I21" s="167"/>
      <c r="J21" s="167"/>
      <c r="K21" s="168"/>
      <c r="L21" s="168"/>
      <c r="M21" s="168"/>
      <c r="N21" s="169"/>
      <c r="O21" s="716">
        <f t="shared" si="2"/>
        <v>0</v>
      </c>
      <c r="P21" s="730"/>
    </row>
    <row r="22" spans="1:17" ht="15.6">
      <c r="A22" s="47" t="s">
        <v>32</v>
      </c>
      <c r="B22" s="635">
        <v>483790</v>
      </c>
      <c r="C22" s="635">
        <v>300953</v>
      </c>
      <c r="D22" s="636"/>
      <c r="E22" s="639"/>
      <c r="F22" s="167"/>
      <c r="G22" s="167"/>
      <c r="H22" s="167"/>
      <c r="I22" s="167"/>
      <c r="J22" s="167"/>
      <c r="K22" s="168"/>
      <c r="L22" s="168"/>
      <c r="M22" s="168"/>
      <c r="N22" s="169"/>
      <c r="O22" s="716">
        <f t="shared" si="2"/>
        <v>0</v>
      </c>
      <c r="P22" s="730"/>
    </row>
    <row r="23" spans="1:17" ht="15.6">
      <c r="A23" s="47" t="s">
        <v>33</v>
      </c>
      <c r="B23" s="635">
        <f>159887+13631+13177</f>
        <v>186695</v>
      </c>
      <c r="C23" s="635">
        <v>123245</v>
      </c>
      <c r="D23" s="636"/>
      <c r="E23" s="639"/>
      <c r="F23" s="167"/>
      <c r="G23" s="167"/>
      <c r="H23" s="167"/>
      <c r="I23" s="167"/>
      <c r="J23" s="167"/>
      <c r="K23" s="168"/>
      <c r="L23" s="168"/>
      <c r="M23" s="168"/>
      <c r="N23" s="169"/>
      <c r="O23" s="716">
        <f t="shared" si="2"/>
        <v>0</v>
      </c>
      <c r="P23" s="730"/>
    </row>
    <row r="24" spans="1:17" ht="15.6">
      <c r="A24" s="47" t="s">
        <v>34</v>
      </c>
      <c r="B24" s="635">
        <f>199276+27729+38601</f>
        <v>265606</v>
      </c>
      <c r="C24" s="635">
        <v>139628</v>
      </c>
      <c r="D24" s="636"/>
      <c r="E24" s="639"/>
      <c r="F24" s="167"/>
      <c r="G24" s="167"/>
      <c r="H24" s="167"/>
      <c r="I24" s="167"/>
      <c r="J24" s="167"/>
      <c r="K24" s="168"/>
      <c r="L24" s="168"/>
      <c r="M24" s="168"/>
      <c r="N24" s="169"/>
      <c r="O24" s="716">
        <f t="shared" si="2"/>
        <v>0</v>
      </c>
      <c r="P24" s="730"/>
    </row>
    <row r="25" spans="1:17" ht="15.6">
      <c r="A25" s="53" t="s">
        <v>35</v>
      </c>
      <c r="B25" s="640">
        <v>169502</v>
      </c>
      <c r="C25" s="640">
        <v>89439</v>
      </c>
      <c r="D25" s="641"/>
      <c r="E25" s="642"/>
      <c r="F25" s="167"/>
      <c r="G25" s="167"/>
      <c r="H25" s="167"/>
      <c r="I25" s="167"/>
      <c r="J25" s="167"/>
      <c r="K25" s="168"/>
      <c r="L25" s="168"/>
      <c r="M25" s="168"/>
      <c r="N25" s="169"/>
      <c r="O25" s="716">
        <f t="shared" si="2"/>
        <v>0</v>
      </c>
      <c r="P25" s="730"/>
    </row>
    <row r="26" spans="1:17" ht="15.6">
      <c r="A26" s="53" t="s">
        <v>121</v>
      </c>
      <c r="B26" s="643">
        <v>0</v>
      </c>
      <c r="C26" s="643">
        <v>0</v>
      </c>
      <c r="D26" s="641"/>
      <c r="E26" s="642"/>
      <c r="F26" s="644"/>
      <c r="G26" s="644"/>
      <c r="H26" s="644"/>
      <c r="I26" s="644"/>
      <c r="J26" s="644"/>
      <c r="K26" s="654"/>
      <c r="L26" s="654"/>
      <c r="M26" s="654"/>
      <c r="N26" s="731"/>
      <c r="O26" s="716"/>
      <c r="P26" s="730"/>
    </row>
    <row r="27" spans="1:17" ht="15.6">
      <c r="A27" s="47" t="s">
        <v>142</v>
      </c>
      <c r="B27" s="57">
        <f>29509+14652+23209+24242+23009+26529+25218+28150+30612+24870+21148+23890</f>
        <v>295038</v>
      </c>
      <c r="C27" s="57">
        <v>226130</v>
      </c>
      <c r="D27" s="645">
        <f>38233+24856+23222+23965+22242+21518+22356</f>
        <v>176392</v>
      </c>
      <c r="E27" s="646">
        <f t="shared" ref="E27" si="3">SUM(F27:J27)</f>
        <v>22356</v>
      </c>
      <c r="F27" s="644"/>
      <c r="G27" s="644"/>
      <c r="H27" s="67">
        <v>10751</v>
      </c>
      <c r="I27" s="67">
        <v>11605</v>
      </c>
      <c r="J27" s="67"/>
      <c r="K27" s="191">
        <f>2997+3014</f>
        <v>6011</v>
      </c>
      <c r="L27" s="191">
        <f>8+179</f>
        <v>187</v>
      </c>
      <c r="M27" s="654"/>
      <c r="N27" s="731"/>
      <c r="O27" s="716">
        <f t="shared" si="2"/>
        <v>0.7800468756909742</v>
      </c>
      <c r="P27" s="730"/>
    </row>
    <row r="28" spans="1:17" ht="15.6">
      <c r="A28" s="259"/>
      <c r="B28" s="63">
        <f>SUM(B19:B27)</f>
        <v>2409171</v>
      </c>
      <c r="C28" s="63">
        <f>SUM(C19:C27)</f>
        <v>1605241</v>
      </c>
      <c r="D28" s="647">
        <v>1605241</v>
      </c>
      <c r="E28" s="648">
        <v>178360.11111111101</v>
      </c>
      <c r="F28" s="67"/>
      <c r="G28" s="67"/>
      <c r="H28" s="67"/>
      <c r="I28" s="67"/>
      <c r="J28" s="67"/>
      <c r="K28" s="191"/>
      <c r="L28" s="191"/>
      <c r="M28" s="654"/>
      <c r="N28" s="731"/>
      <c r="O28" s="716"/>
      <c r="P28" s="730"/>
    </row>
    <row r="29" spans="1:17" ht="15.6">
      <c r="A29" s="649"/>
      <c r="B29" s="650"/>
      <c r="C29" s="651"/>
      <c r="D29" s="652"/>
      <c r="E29" s="653"/>
      <c r="F29" s="654"/>
      <c r="G29" s="654"/>
      <c r="H29" s="654"/>
      <c r="I29" s="654"/>
      <c r="J29" s="654"/>
      <c r="K29" s="654"/>
      <c r="L29" s="654"/>
      <c r="M29" s="654"/>
      <c r="N29" s="731"/>
      <c r="O29" s="716"/>
      <c r="P29" s="730"/>
    </row>
    <row r="30" spans="1:17" ht="15.6">
      <c r="A30" s="604" t="s">
        <v>37</v>
      </c>
      <c r="B30" s="605">
        <f>SUM(B31:B35)</f>
        <v>975868</v>
      </c>
      <c r="C30" s="605">
        <v>720814</v>
      </c>
      <c r="D30" s="606">
        <f>SUM(D31:D35)</f>
        <v>833548</v>
      </c>
      <c r="E30" s="655">
        <f t="shared" ref="E30:E35" si="4">SUM(F30:J30)</f>
        <v>86857</v>
      </c>
      <c r="F30" s="607">
        <f t="shared" ref="F30:N30" si="5">SUM(F31:F35)</f>
        <v>31997</v>
      </c>
      <c r="G30" s="608">
        <f t="shared" si="5"/>
        <v>30270</v>
      </c>
      <c r="H30" s="608">
        <f t="shared" si="5"/>
        <v>12451</v>
      </c>
      <c r="I30" s="608">
        <f t="shared" si="5"/>
        <v>12139</v>
      </c>
      <c r="J30" s="608"/>
      <c r="K30" s="608">
        <f t="shared" si="5"/>
        <v>14606</v>
      </c>
      <c r="L30" s="608">
        <f t="shared" si="5"/>
        <v>4525</v>
      </c>
      <c r="M30" s="608">
        <f t="shared" si="5"/>
        <v>0</v>
      </c>
      <c r="N30" s="732">
        <f t="shared" si="5"/>
        <v>0</v>
      </c>
      <c r="O30" s="716">
        <f t="shared" si="2"/>
        <v>1.1563981831651438</v>
      </c>
      <c r="P30" s="729"/>
    </row>
    <row r="31" spans="1:17" ht="15">
      <c r="A31" s="609" t="s">
        <v>38</v>
      </c>
      <c r="B31" s="656">
        <f>31848+3560+3666</f>
        <v>39074</v>
      </c>
      <c r="C31" s="656">
        <v>28911</v>
      </c>
      <c r="D31" s="657">
        <f>37577+5009</f>
        <v>42586</v>
      </c>
      <c r="E31" s="655">
        <f t="shared" si="4"/>
        <v>5009</v>
      </c>
      <c r="F31" s="644"/>
      <c r="G31" s="644"/>
      <c r="H31" s="24">
        <v>2262</v>
      </c>
      <c r="I31" s="24">
        <v>2747</v>
      </c>
      <c r="J31" s="612"/>
      <c r="K31" s="168">
        <f>590+1439</f>
        <v>2029</v>
      </c>
      <c r="L31" s="168">
        <f>614+29</f>
        <v>643</v>
      </c>
      <c r="M31" s="168"/>
      <c r="N31" s="169"/>
      <c r="O31" s="716">
        <f t="shared" si="2"/>
        <v>1.4730033551243471</v>
      </c>
      <c r="P31" s="733"/>
    </row>
    <row r="32" spans="1:17" ht="15">
      <c r="A32" s="609" t="s">
        <v>149</v>
      </c>
      <c r="B32" s="656"/>
      <c r="C32" s="656"/>
      <c r="D32" s="657">
        <f>38238+4435</f>
        <v>42673</v>
      </c>
      <c r="E32" s="655">
        <f t="shared" si="4"/>
        <v>4435</v>
      </c>
      <c r="F32" s="644"/>
      <c r="G32" s="644"/>
      <c r="H32" s="24">
        <v>2348</v>
      </c>
      <c r="I32" s="24">
        <v>2087</v>
      </c>
      <c r="J32" s="612"/>
      <c r="K32" s="168"/>
      <c r="L32" s="168"/>
      <c r="M32" s="168"/>
      <c r="N32" s="169"/>
      <c r="O32" s="716"/>
      <c r="P32" s="733"/>
    </row>
    <row r="33" spans="1:16" ht="15.6">
      <c r="A33" s="87" t="s">
        <v>39</v>
      </c>
      <c r="B33" s="656">
        <f>64505+48073+62185+62452+59765+64280+67096+71165+61780+66528+63320+71042</f>
        <v>762191</v>
      </c>
      <c r="C33" s="656">
        <v>561301</v>
      </c>
      <c r="D33" s="658">
        <f>122864+65834+68474+77377+68757+73572+78703+65592</f>
        <v>621173</v>
      </c>
      <c r="E33" s="655">
        <f t="shared" si="4"/>
        <v>65592</v>
      </c>
      <c r="F33" s="22">
        <v>27017</v>
      </c>
      <c r="G33" s="22">
        <v>24531</v>
      </c>
      <c r="H33" s="22">
        <v>6919</v>
      </c>
      <c r="I33" s="22">
        <v>7125</v>
      </c>
      <c r="J33" s="612"/>
      <c r="K33" s="51">
        <f>4659+3492+1712+1050</f>
        <v>10913</v>
      </c>
      <c r="L33" s="51">
        <f>428+1009+221+781</f>
        <v>2439</v>
      </c>
      <c r="M33" s="51"/>
      <c r="N33" s="166"/>
      <c r="O33" s="716">
        <f t="shared" si="2"/>
        <v>1.1066664766319676</v>
      </c>
      <c r="P33" s="707"/>
    </row>
    <row r="34" spans="1:16" ht="15.6">
      <c r="A34" s="87" t="s">
        <v>40</v>
      </c>
      <c r="B34" s="659">
        <f>22490+11900+19473+16591+12914+13370+11563+9278+10032+11317+15030+20645</f>
        <v>174603</v>
      </c>
      <c r="C34" s="659">
        <v>127611</v>
      </c>
      <c r="D34" s="660">
        <f>35860+15843+15535+12262+10916+12135+12744+11821</f>
        <v>127116</v>
      </c>
      <c r="E34" s="655">
        <f t="shared" si="4"/>
        <v>11821</v>
      </c>
      <c r="F34" s="22">
        <v>4980</v>
      </c>
      <c r="G34" s="22">
        <v>5739</v>
      </c>
      <c r="H34" s="22">
        <v>922</v>
      </c>
      <c r="I34" s="22">
        <v>180</v>
      </c>
      <c r="J34" s="664"/>
      <c r="K34" s="51">
        <f>195+1338+125+6</f>
        <v>1664</v>
      </c>
      <c r="L34" s="51">
        <f>1085+3+253+102</f>
        <v>1443</v>
      </c>
      <c r="M34" s="270"/>
      <c r="N34" s="734"/>
      <c r="O34" s="716">
        <f t="shared" si="2"/>
        <v>0.99612102404965086</v>
      </c>
      <c r="P34" s="707"/>
    </row>
    <row r="35" spans="1:16" ht="15.6">
      <c r="A35" s="87" t="s">
        <v>41</v>
      </c>
      <c r="B35" s="618"/>
      <c r="C35" s="618"/>
      <c r="D35" s="624"/>
      <c r="E35" s="655">
        <f t="shared" si="4"/>
        <v>0</v>
      </c>
      <c r="F35" s="24"/>
      <c r="G35" s="24"/>
      <c r="H35" s="24"/>
      <c r="I35" s="24"/>
      <c r="J35" s="24"/>
      <c r="K35" s="168"/>
      <c r="L35" s="168"/>
      <c r="M35" s="168"/>
      <c r="N35" s="169"/>
      <c r="O35" s="716"/>
      <c r="P35" s="707"/>
    </row>
    <row r="36" spans="1:16" ht="15.6">
      <c r="A36" s="87"/>
      <c r="B36" s="88"/>
      <c r="C36" s="88"/>
      <c r="D36" s="661"/>
      <c r="E36" s="91"/>
      <c r="F36" s="92"/>
      <c r="G36" s="92"/>
      <c r="H36" s="92"/>
      <c r="I36" s="92"/>
      <c r="J36" s="92"/>
      <c r="K36" s="194"/>
      <c r="L36" s="194"/>
      <c r="M36" s="194"/>
      <c r="N36" s="195"/>
      <c r="O36" s="716"/>
      <c r="P36" s="707"/>
    </row>
    <row r="37" spans="1:16" ht="15.6">
      <c r="A37" s="604" t="s">
        <v>42</v>
      </c>
      <c r="B37" s="605">
        <f t="shared" ref="B37:N37" si="6">SUM(B38:B48)</f>
        <v>8566129</v>
      </c>
      <c r="C37" s="605">
        <v>6754085</v>
      </c>
      <c r="D37" s="606">
        <f t="shared" si="6"/>
        <v>6956188</v>
      </c>
      <c r="E37" s="655">
        <f t="shared" ref="E37:E49" si="7">SUM(F37:J37)</f>
        <v>787635</v>
      </c>
      <c r="F37" s="608">
        <f t="shared" si="6"/>
        <v>307412</v>
      </c>
      <c r="G37" s="608">
        <f t="shared" si="6"/>
        <v>244911</v>
      </c>
      <c r="H37" s="608">
        <f t="shared" si="6"/>
        <v>70721</v>
      </c>
      <c r="I37" s="608">
        <f t="shared" si="6"/>
        <v>157620</v>
      </c>
      <c r="J37" s="608">
        <f t="shared" si="6"/>
        <v>6971</v>
      </c>
      <c r="K37" s="608">
        <f t="shared" si="6"/>
        <v>16905</v>
      </c>
      <c r="L37" s="608">
        <f t="shared" si="6"/>
        <v>2072</v>
      </c>
      <c r="M37" s="608">
        <f t="shared" si="6"/>
        <v>416</v>
      </c>
      <c r="N37" s="735">
        <f t="shared" si="6"/>
        <v>63089</v>
      </c>
      <c r="O37" s="716">
        <f t="shared" si="2"/>
        <v>1.0299230761827842</v>
      </c>
      <c r="P37" s="707"/>
    </row>
    <row r="38" spans="1:16" ht="15.6">
      <c r="A38" s="609" t="s">
        <v>43</v>
      </c>
      <c r="B38" s="618">
        <f>176793+71526+59980+65204+71423+79211+71917+76068+84439+81079</f>
        <v>837640</v>
      </c>
      <c r="C38" s="618">
        <v>596054</v>
      </c>
      <c r="D38" s="624">
        <f>141659+76024+81669+80656+83401+82771+90144+86739</f>
        <v>723063</v>
      </c>
      <c r="E38" s="655">
        <f t="shared" si="7"/>
        <v>86739</v>
      </c>
      <c r="F38" s="24"/>
      <c r="G38" s="24"/>
      <c r="H38" s="24">
        <v>21730</v>
      </c>
      <c r="I38" s="24">
        <v>65009</v>
      </c>
      <c r="J38" s="24"/>
      <c r="K38" s="198">
        <f>24+1205</f>
        <v>1229</v>
      </c>
      <c r="L38" s="198">
        <f>116+2</f>
        <v>118</v>
      </c>
      <c r="M38" s="198"/>
      <c r="N38" s="728"/>
      <c r="O38" s="716">
        <f t="shared" si="2"/>
        <v>1.2130830428115573</v>
      </c>
      <c r="P38" s="707"/>
    </row>
    <row r="39" spans="1:16" ht="15.6">
      <c r="A39" s="609" t="s">
        <v>44</v>
      </c>
      <c r="B39" s="618">
        <f>315296+56739+61665+55007+62647+65661+65065</f>
        <v>682080</v>
      </c>
      <c r="C39" s="618">
        <v>488707</v>
      </c>
      <c r="D39" s="662">
        <f>104618+64282+60352+64355+61155+69820+67741+61649</f>
        <v>553972</v>
      </c>
      <c r="E39" s="655">
        <f>SUM(H39:J39)</f>
        <v>61649</v>
      </c>
      <c r="F39" s="663"/>
      <c r="G39" s="663"/>
      <c r="H39" s="664">
        <v>8377</v>
      </c>
      <c r="I39" s="664">
        <v>53272</v>
      </c>
      <c r="J39" s="104"/>
      <c r="K39" s="199">
        <f>77+1190</f>
        <v>1267</v>
      </c>
      <c r="L39" s="199">
        <f>324+0</f>
        <v>324</v>
      </c>
      <c r="M39" s="199"/>
      <c r="N39" s="200">
        <v>61649</v>
      </c>
      <c r="O39" s="716">
        <f t="shared" si="2"/>
        <v>1.1335462761941204</v>
      </c>
      <c r="P39" s="707"/>
    </row>
    <row r="40" spans="1:16" ht="15.6">
      <c r="A40" s="609" t="s">
        <v>128</v>
      </c>
      <c r="B40" s="618">
        <v>0</v>
      </c>
      <c r="C40" s="618"/>
      <c r="D40" s="662">
        <f>169980</f>
        <v>169980</v>
      </c>
      <c r="E40" s="655">
        <f t="shared" si="7"/>
        <v>39354</v>
      </c>
      <c r="F40" s="612">
        <v>16166</v>
      </c>
      <c r="G40" s="612">
        <v>16326</v>
      </c>
      <c r="H40" s="104"/>
      <c r="I40" s="104"/>
      <c r="J40" s="104">
        <v>6862</v>
      </c>
      <c r="K40" s="201"/>
      <c r="L40" s="201"/>
      <c r="M40" s="199"/>
      <c r="N40" s="200"/>
      <c r="O40" s="716"/>
      <c r="P40" s="736"/>
    </row>
    <row r="41" spans="1:16" ht="15.6">
      <c r="A41" s="87" t="s">
        <v>45</v>
      </c>
      <c r="B41" s="665">
        <f>20214+11681+23581+25619+22301+21824+20127+19528+19926+20275+23052+20682</f>
        <v>248810</v>
      </c>
      <c r="C41" s="665">
        <v>184801</v>
      </c>
      <c r="D41" s="660">
        <f>35539+25020+25012+26281+22284+23157+20948+19597</f>
        <v>197838</v>
      </c>
      <c r="E41" s="655">
        <f t="shared" si="7"/>
        <v>19397</v>
      </c>
      <c r="F41" s="24"/>
      <c r="G41" s="24"/>
      <c r="H41" s="24">
        <v>9676</v>
      </c>
      <c r="I41" s="24">
        <v>9721</v>
      </c>
      <c r="J41" s="737"/>
      <c r="K41" s="203">
        <f>3451+2366</f>
        <v>5817</v>
      </c>
      <c r="L41" s="168">
        <f>409+439</f>
        <v>848</v>
      </c>
      <c r="M41" s="168">
        <v>416</v>
      </c>
      <c r="N41" s="169"/>
      <c r="O41" s="716">
        <f t="shared" si="2"/>
        <v>1.0705461550532736</v>
      </c>
      <c r="P41" s="707"/>
    </row>
    <row r="42" spans="1:16" ht="15.6">
      <c r="A42" s="87" t="s">
        <v>46</v>
      </c>
      <c r="B42" s="666">
        <f>36191+20920+29070+23929+27875+30427+28473+27605+28149+32945+33352+27283</f>
        <v>346219</v>
      </c>
      <c r="C42" s="666">
        <v>252639</v>
      </c>
      <c r="D42" s="100">
        <f>42541+28883+28001+23533+23137+31624+30682+26896</f>
        <v>235297</v>
      </c>
      <c r="E42" s="655">
        <f t="shared" si="7"/>
        <v>26896</v>
      </c>
      <c r="F42" s="644"/>
      <c r="G42" s="644"/>
      <c r="H42" s="663">
        <v>13009</v>
      </c>
      <c r="I42" s="644">
        <v>13887</v>
      </c>
      <c r="J42" s="612"/>
      <c r="K42" s="168">
        <f>4119+4197</f>
        <v>8316</v>
      </c>
      <c r="L42" s="168">
        <f>94+534</f>
        <v>628</v>
      </c>
      <c r="M42" s="168"/>
      <c r="N42" s="169">
        <v>250</v>
      </c>
      <c r="O42" s="716">
        <f t="shared" si="2"/>
        <v>0.93135659973321616</v>
      </c>
      <c r="P42" s="707"/>
    </row>
    <row r="43" spans="1:16" ht="15.6">
      <c r="A43" s="87" t="s">
        <v>47</v>
      </c>
      <c r="B43" s="666">
        <f>12008+9467+14763+14113+14691+14606+10209+8082+10081+11470+13518+17152</f>
        <v>150160</v>
      </c>
      <c r="C43" s="666">
        <v>108020</v>
      </c>
      <c r="D43" s="100">
        <f>35287+23392+31491+27296+34444+33654+29237+23543</f>
        <v>238344</v>
      </c>
      <c r="E43" s="655">
        <f t="shared" si="7"/>
        <v>23543</v>
      </c>
      <c r="F43" s="24">
        <v>10412</v>
      </c>
      <c r="G43" s="24">
        <v>13022</v>
      </c>
      <c r="H43" s="24"/>
      <c r="I43" s="24"/>
      <c r="J43" s="24">
        <v>109</v>
      </c>
      <c r="K43" s="168"/>
      <c r="L43" s="168"/>
      <c r="M43" s="168"/>
      <c r="N43" s="169">
        <v>72</v>
      </c>
      <c r="O43" s="716">
        <f t="shared" si="2"/>
        <v>2.2064802814293651</v>
      </c>
      <c r="P43" s="707"/>
    </row>
    <row r="44" spans="1:16" ht="15.6">
      <c r="A44" s="87" t="s">
        <v>48</v>
      </c>
      <c r="B44" s="666">
        <f>492323+373517+489518+501319+498148+483300+509517+496996+483525+491240+487179+505109</f>
        <v>5811691</v>
      </c>
      <c r="C44" s="666">
        <v>4328163</v>
      </c>
      <c r="D44" s="100">
        <f>890002+542749+505450+501865+511958+508971+512557+491530</f>
        <v>4465082</v>
      </c>
      <c r="E44" s="655">
        <f t="shared" si="7"/>
        <v>491530</v>
      </c>
      <c r="F44" s="24">
        <v>279616</v>
      </c>
      <c r="G44" s="24">
        <v>211914</v>
      </c>
      <c r="H44" s="24"/>
      <c r="I44" s="612"/>
      <c r="J44" s="24"/>
      <c r="K44" s="51"/>
      <c r="L44" s="51"/>
      <c r="M44" s="168"/>
      <c r="N44" s="169"/>
      <c r="O44" s="716">
        <f t="shared" si="2"/>
        <v>1.0316344370579389</v>
      </c>
      <c r="P44" s="707"/>
    </row>
    <row r="45" spans="1:16" ht="15.6">
      <c r="A45" s="87" t="s">
        <v>49</v>
      </c>
      <c r="B45" s="666">
        <f>41444+27037+39698+37856+42480+38521+41958+41846+36877+41203+36023+42811</f>
        <v>467754</v>
      </c>
      <c r="C45" s="666">
        <v>347717</v>
      </c>
      <c r="D45" s="667">
        <f>72994+40474+40234+42273+44855+35607+47240+37139</f>
        <v>360816</v>
      </c>
      <c r="E45" s="655">
        <f t="shared" si="7"/>
        <v>37139</v>
      </c>
      <c r="F45" s="102">
        <v>920</v>
      </c>
      <c r="G45" s="102">
        <v>2559</v>
      </c>
      <c r="H45" s="102">
        <v>17929</v>
      </c>
      <c r="I45" s="102">
        <v>15731</v>
      </c>
      <c r="J45" s="104"/>
      <c r="K45" s="199"/>
      <c r="L45" s="199"/>
      <c r="M45" s="199"/>
      <c r="N45" s="200"/>
      <c r="O45" s="716">
        <f t="shared" si="2"/>
        <v>1.0376714397052775</v>
      </c>
      <c r="P45" s="707"/>
    </row>
    <row r="46" spans="1:16" ht="15.6">
      <c r="A46" s="87" t="s">
        <v>50</v>
      </c>
      <c r="B46" s="656"/>
      <c r="C46" s="656">
        <v>0</v>
      </c>
      <c r="D46" s="668"/>
      <c r="E46" s="655">
        <f t="shared" si="7"/>
        <v>0</v>
      </c>
      <c r="F46" s="104"/>
      <c r="G46" s="104"/>
      <c r="H46" s="104"/>
      <c r="I46" s="104"/>
      <c r="J46" s="104"/>
      <c r="K46" s="199"/>
      <c r="L46" s="199"/>
      <c r="M46" s="199"/>
      <c r="N46" s="200"/>
      <c r="O46" s="716"/>
      <c r="P46" s="736"/>
    </row>
    <row r="47" spans="1:16" ht="15.6">
      <c r="A47" s="87" t="s">
        <v>51</v>
      </c>
      <c r="B47" s="669">
        <f>1591+185+300+228+282+250+254+222+245+289+277+286</f>
        <v>4409</v>
      </c>
      <c r="C47" s="669">
        <v>3557</v>
      </c>
      <c r="D47" s="670">
        <f>571+277+257+232+206+265+308+287</f>
        <v>2403</v>
      </c>
      <c r="E47" s="655">
        <f t="shared" si="7"/>
        <v>287</v>
      </c>
      <c r="F47" s="104">
        <v>154</v>
      </c>
      <c r="G47" s="104">
        <v>133</v>
      </c>
      <c r="H47" s="104"/>
      <c r="I47" s="104"/>
      <c r="J47" s="104"/>
      <c r="K47" s="199">
        <f>133</f>
        <v>133</v>
      </c>
      <c r="L47" s="199">
        <f>154</f>
        <v>154</v>
      </c>
      <c r="M47" s="199"/>
      <c r="N47" s="200">
        <v>17</v>
      </c>
      <c r="O47" s="716">
        <f t="shared" si="2"/>
        <v>0.67556929997188642</v>
      </c>
      <c r="P47" s="707"/>
    </row>
    <row r="48" spans="1:16" ht="15.6">
      <c r="A48" s="671" t="s">
        <v>52</v>
      </c>
      <c r="B48" s="672">
        <f>5554+2707+1759+1797+950+1036+1570+888+1105</f>
        <v>17366</v>
      </c>
      <c r="C48" s="672">
        <v>13803</v>
      </c>
      <c r="D48" s="673">
        <f>2295+1345+583+1118+1050+991+910+1101</f>
        <v>9393</v>
      </c>
      <c r="E48" s="674">
        <f t="shared" si="7"/>
        <v>1101</v>
      </c>
      <c r="F48" s="110">
        <v>144</v>
      </c>
      <c r="G48" s="110">
        <v>957</v>
      </c>
      <c r="H48" s="110"/>
      <c r="I48" s="110"/>
      <c r="J48" s="738"/>
      <c r="K48" s="739">
        <f>42+101</f>
        <v>143</v>
      </c>
      <c r="L48" s="205"/>
      <c r="M48" s="205"/>
      <c r="N48" s="207">
        <v>1101</v>
      </c>
      <c r="O48" s="716">
        <f t="shared" si="2"/>
        <v>0.68050423820908501</v>
      </c>
      <c r="P48" s="707"/>
    </row>
    <row r="49" spans="1:17" ht="15.6">
      <c r="A49" s="407" t="s">
        <v>53</v>
      </c>
      <c r="B49" s="408">
        <f>43919+38655+49389+49920+41452+46211+54147+61115+45816+53985+53251+54204</f>
        <v>592064</v>
      </c>
      <c r="C49" s="408">
        <v>430624</v>
      </c>
      <c r="D49" s="675">
        <f>46498+25145+53554+45477+47222+51070+47167+41808+32662</f>
        <v>390603</v>
      </c>
      <c r="E49" s="411">
        <f t="shared" si="7"/>
        <v>32662</v>
      </c>
      <c r="F49" s="412">
        <v>13646</v>
      </c>
      <c r="G49" s="412">
        <v>17510</v>
      </c>
      <c r="H49" s="412"/>
      <c r="I49" s="507"/>
      <c r="J49" s="412">
        <v>1506</v>
      </c>
      <c r="K49" s="508">
        <f>2798+3974+182</f>
        <v>6954</v>
      </c>
      <c r="L49" s="508">
        <f>1072+196+280</f>
        <v>1548</v>
      </c>
      <c r="M49" s="509"/>
      <c r="N49" s="740">
        <v>2128</v>
      </c>
      <c r="O49" s="741">
        <f t="shared" si="2"/>
        <v>0.90706277402095559</v>
      </c>
      <c r="P49" s="742"/>
    </row>
    <row r="50" spans="1:17">
      <c r="A50" s="87"/>
      <c r="B50" s="118"/>
      <c r="C50" s="118"/>
      <c r="D50" s="676"/>
      <c r="E50" s="677"/>
      <c r="F50" s="121"/>
      <c r="G50" s="121"/>
      <c r="H50" s="121"/>
      <c r="I50" s="121"/>
      <c r="J50" s="121"/>
      <c r="K50" s="212"/>
      <c r="L50" s="212"/>
      <c r="M50" s="212"/>
      <c r="N50" s="743"/>
      <c r="O50" s="716"/>
      <c r="P50" s="214"/>
    </row>
    <row r="51" spans="1:17" ht="15.6">
      <c r="A51" s="604" t="s">
        <v>54</v>
      </c>
      <c r="B51" s="605">
        <f t="shared" ref="B51:I51" si="8">SUM(B52:B58)</f>
        <v>4719935</v>
      </c>
      <c r="C51" s="605">
        <v>5209602</v>
      </c>
      <c r="D51" s="606">
        <f t="shared" si="8"/>
        <v>4183371</v>
      </c>
      <c r="E51" s="678">
        <f t="shared" si="8"/>
        <v>436886</v>
      </c>
      <c r="F51" s="679">
        <f t="shared" si="8"/>
        <v>182069</v>
      </c>
      <c r="G51" s="679">
        <f t="shared" si="8"/>
        <v>199417</v>
      </c>
      <c r="H51" s="679">
        <f t="shared" si="8"/>
        <v>4413</v>
      </c>
      <c r="I51" s="679">
        <f t="shared" si="8"/>
        <v>2836</v>
      </c>
      <c r="J51" s="608">
        <f>SUM(J52:J59)</f>
        <v>65522</v>
      </c>
      <c r="K51" s="608">
        <f>SUM(K52:K59)</f>
        <v>28433</v>
      </c>
      <c r="L51" s="608">
        <f>SUM(L52:L59)</f>
        <v>15695</v>
      </c>
      <c r="M51" s="608">
        <f>SUM(M52:M59)</f>
        <v>2008</v>
      </c>
      <c r="N51" s="679">
        <f>SUM(N52:N59)</f>
        <v>65992</v>
      </c>
      <c r="O51" s="716">
        <f t="shared" si="2"/>
        <v>0.80301163121482222</v>
      </c>
      <c r="P51" s="707"/>
    </row>
    <row r="52" spans="1:17" ht="15.6">
      <c r="A52" s="87" t="s">
        <v>55</v>
      </c>
      <c r="B52" s="618"/>
      <c r="C52" s="618"/>
      <c r="D52" s="624"/>
      <c r="E52" s="150">
        <f t="shared" ref="E52:E57" si="9">SUM(F52:J52)</f>
        <v>0</v>
      </c>
      <c r="F52" s="24"/>
      <c r="G52" s="24"/>
      <c r="H52" s="24"/>
      <c r="I52" s="24"/>
      <c r="J52" s="24"/>
      <c r="K52" s="51"/>
      <c r="L52" s="51"/>
      <c r="M52" s="51"/>
      <c r="N52" s="744"/>
      <c r="O52" s="716"/>
      <c r="P52" s="707"/>
    </row>
    <row r="53" spans="1:17" ht="15">
      <c r="A53" s="680" t="s">
        <v>56</v>
      </c>
      <c r="B53" s="656">
        <f>152617+131920+130997+153389+149066+196349+174625+189556+159615+174414+174638+173536</f>
        <v>1960722</v>
      </c>
      <c r="C53" s="656">
        <v>1438134</v>
      </c>
      <c r="D53" s="658">
        <f>209453+123222+177525+182527+179497+190574+195216+216952+167184</f>
        <v>1642150</v>
      </c>
      <c r="E53" s="681">
        <f t="shared" si="9"/>
        <v>167184</v>
      </c>
      <c r="F53" s="24">
        <v>69733</v>
      </c>
      <c r="G53" s="125">
        <v>77740</v>
      </c>
      <c r="H53" s="125">
        <v>4413</v>
      </c>
      <c r="I53" s="24">
        <v>2605</v>
      </c>
      <c r="J53" s="24">
        <v>12693</v>
      </c>
      <c r="K53" s="168">
        <f>2550+6286+819+129+468</f>
        <v>10252</v>
      </c>
      <c r="L53" s="168">
        <f>4353+26+230+75</f>
        <v>4684</v>
      </c>
      <c r="M53" s="168"/>
      <c r="N53" s="719"/>
      <c r="O53" s="716">
        <f t="shared" si="2"/>
        <v>1.141861606776559</v>
      </c>
      <c r="P53" s="745"/>
    </row>
    <row r="54" spans="1:17" ht="15">
      <c r="A54" s="682"/>
      <c r="B54" s="656"/>
      <c r="C54" s="656"/>
      <c r="D54" s="658"/>
      <c r="E54" s="683"/>
      <c r="F54" s="24"/>
      <c r="G54" s="308"/>
      <c r="H54" s="308"/>
      <c r="I54" s="24"/>
      <c r="J54" s="24"/>
      <c r="K54" s="168"/>
      <c r="L54" s="168"/>
      <c r="M54" s="168"/>
      <c r="N54" s="719"/>
      <c r="O54" s="716"/>
      <c r="P54" s="746"/>
    </row>
    <row r="55" spans="1:17" ht="15.6">
      <c r="A55" s="87" t="s">
        <v>57</v>
      </c>
      <c r="B55" s="684">
        <f>97537+55586+99611+80866+84077+87464+89817+110297+103108+86858+89238+102094</f>
        <v>1086553</v>
      </c>
      <c r="C55" s="684">
        <v>808363</v>
      </c>
      <c r="D55" s="660">
        <f>104773+79448+108729+100750+114908+101767+109538+102101+96227</f>
        <v>918241</v>
      </c>
      <c r="E55" s="612">
        <f>96227</f>
        <v>96227</v>
      </c>
      <c r="F55" s="685">
        <v>45532</v>
      </c>
      <c r="G55" s="22">
        <v>44329</v>
      </c>
      <c r="H55" s="22"/>
      <c r="I55" s="612"/>
      <c r="J55" s="22">
        <v>6366</v>
      </c>
      <c r="K55" s="51">
        <f>1069+3018+999</f>
        <v>5086</v>
      </c>
      <c r="L55" s="51">
        <f>2261+19+159</f>
        <v>2439</v>
      </c>
      <c r="M55" s="51"/>
      <c r="N55" s="744"/>
      <c r="O55" s="716">
        <f t="shared" si="2"/>
        <v>1.1359265577469528</v>
      </c>
      <c r="P55" s="747"/>
    </row>
    <row r="56" spans="1:17" ht="15.6">
      <c r="A56" s="68" t="s">
        <v>58</v>
      </c>
      <c r="B56" s="669">
        <f>59734+65037+69566+76869+85180+98871+84349+95878+74900+91720+96454+90939</f>
        <v>989497</v>
      </c>
      <c r="C56" s="669">
        <v>710384</v>
      </c>
      <c r="D56" s="100">
        <f>90832+90726+97425+112194+114431+98379+101821+103316+100021</f>
        <v>909145</v>
      </c>
      <c r="E56" s="150">
        <f t="shared" ref="E56" si="10">SUM(F56:J56)</f>
        <v>100021</v>
      </c>
      <c r="F56" s="24">
        <v>34644</v>
      </c>
      <c r="G56" s="24">
        <v>47392</v>
      </c>
      <c r="H56" s="24"/>
      <c r="I56" s="748"/>
      <c r="J56" s="24">
        <v>17985</v>
      </c>
      <c r="K56" s="168">
        <f>1537+3886+1666</f>
        <v>7089</v>
      </c>
      <c r="L56" s="168">
        <f>1333+96+15</f>
        <v>1444</v>
      </c>
      <c r="M56" s="51"/>
      <c r="N56" s="744"/>
      <c r="O56" s="716">
        <f t="shared" si="2"/>
        <v>1.2797937453546251</v>
      </c>
      <c r="P56" s="707"/>
    </row>
    <row r="57" spans="1:17" ht="15.6">
      <c r="A57" s="68" t="s">
        <v>59</v>
      </c>
      <c r="B57" s="669">
        <f>47624+41548+39771+61527+61540+40461+59109+75205+60419+66567+64451+64941</f>
        <v>683163</v>
      </c>
      <c r="C57" s="669">
        <v>487204</v>
      </c>
      <c r="D57" s="100">
        <f>85962+38994+58375+82416+99455+86639+82659+105881+73454</f>
        <v>713835</v>
      </c>
      <c r="E57" s="150">
        <f t="shared" si="9"/>
        <v>73454</v>
      </c>
      <c r="F57" s="24">
        <v>32160</v>
      </c>
      <c r="G57" s="24">
        <v>29956</v>
      </c>
      <c r="H57" s="24"/>
      <c r="I57" s="748">
        <v>231</v>
      </c>
      <c r="J57" s="24">
        <v>11107</v>
      </c>
      <c r="K57" s="168">
        <f>1080+3917+1+1008</f>
        <v>6006</v>
      </c>
      <c r="L57" s="168">
        <f>6360+85+80+603</f>
        <v>7128</v>
      </c>
      <c r="M57" s="51">
        <v>2008</v>
      </c>
      <c r="N57" s="744">
        <v>65992</v>
      </c>
      <c r="O57" s="716">
        <f t="shared" si="2"/>
        <v>1.4651665421466162</v>
      </c>
      <c r="P57" s="742"/>
    </row>
    <row r="58" spans="1:17" ht="15.6">
      <c r="A58" s="129" t="s">
        <v>113</v>
      </c>
      <c r="B58" s="686"/>
      <c r="C58" s="687"/>
      <c r="D58" s="688"/>
      <c r="E58" s="689"/>
      <c r="F58" s="690"/>
      <c r="G58" s="690"/>
      <c r="H58" s="690"/>
      <c r="I58" s="690"/>
      <c r="J58" s="690"/>
      <c r="K58" s="749"/>
      <c r="L58" s="749"/>
      <c r="M58" s="749"/>
      <c r="N58" s="750"/>
      <c r="O58" s="716"/>
      <c r="P58" s="747"/>
      <c r="Q58" s="755"/>
    </row>
    <row r="59" spans="1:17" ht="15.6">
      <c r="A59" s="425" t="s">
        <v>61</v>
      </c>
      <c r="B59" s="426">
        <v>1755236</v>
      </c>
      <c r="C59" s="426"/>
      <c r="D59" s="691">
        <f>160453+128740+156241+124079+160453+172626+174404+170038+156543</f>
        <v>1403577</v>
      </c>
      <c r="E59" s="692">
        <f t="shared" ref="E59" si="11">SUM(F59:J59)</f>
        <v>156543</v>
      </c>
      <c r="F59" s="429">
        <v>60369</v>
      </c>
      <c r="G59" s="429">
        <v>78803</v>
      </c>
      <c r="H59" s="430"/>
      <c r="I59" s="430"/>
      <c r="J59" s="412">
        <v>17371</v>
      </c>
      <c r="K59" s="509"/>
      <c r="L59" s="751"/>
      <c r="M59" s="751"/>
      <c r="N59" s="752"/>
      <c r="O59" s="716"/>
      <c r="P59" s="742"/>
      <c r="Q59" s="265"/>
    </row>
    <row r="60" spans="1:17" ht="15.6">
      <c r="A60" s="68"/>
      <c r="B60" s="693"/>
      <c r="C60" s="693"/>
      <c r="D60" s="694"/>
      <c r="E60" s="695"/>
      <c r="F60" s="696"/>
      <c r="G60" s="654"/>
      <c r="H60" s="260"/>
      <c r="I60" s="696"/>
      <c r="J60" s="212"/>
      <c r="K60" s="51"/>
      <c r="L60" s="51"/>
      <c r="M60" s="51"/>
      <c r="N60" s="744"/>
      <c r="O60" s="716"/>
      <c r="P60" s="742"/>
      <c r="Q60" s="265"/>
    </row>
    <row r="61" spans="1:17" ht="15.6">
      <c r="A61" s="697" t="s">
        <v>62</v>
      </c>
      <c r="B61" s="698">
        <f>SUM(B62:B69)</f>
        <v>55955</v>
      </c>
      <c r="C61" s="698">
        <v>40149</v>
      </c>
      <c r="D61" s="699">
        <f>SUM(D62:D69)</f>
        <v>44964</v>
      </c>
      <c r="E61" s="700">
        <f t="shared" ref="E61" si="12">SUM(E62:E69)</f>
        <v>6175</v>
      </c>
      <c r="F61" s="701"/>
      <c r="G61" s="700"/>
      <c r="H61" s="700"/>
      <c r="I61" s="700"/>
      <c r="J61" s="701"/>
      <c r="K61" s="700"/>
      <c r="L61" s="700"/>
      <c r="M61" s="700"/>
      <c r="N61" s="753"/>
      <c r="O61" s="716">
        <f t="shared" si="2"/>
        <v>1.1199282672046627</v>
      </c>
      <c r="P61" s="707"/>
      <c r="Q61" s="265"/>
    </row>
    <row r="62" spans="1:17" ht="15.6">
      <c r="A62" s="68" t="s">
        <v>122</v>
      </c>
      <c r="B62" s="669">
        <f>335+74+675+1816+624+522+232+273+655+1600+1480+1538</f>
        <v>9824</v>
      </c>
      <c r="C62" s="669">
        <v>5206</v>
      </c>
      <c r="D62" s="702">
        <f>1496+768+675+870+1016+1247+1362+787</f>
        <v>8221</v>
      </c>
      <c r="E62" s="150">
        <f t="shared" ref="E62:E69" si="13">SUM(F62:J62)</f>
        <v>787</v>
      </c>
      <c r="F62" s="703"/>
      <c r="G62" s="24"/>
      <c r="H62" s="33">
        <v>377</v>
      </c>
      <c r="I62" s="24">
        <v>410</v>
      </c>
      <c r="J62" s="24"/>
      <c r="K62" s="51">
        <f>102+3</f>
        <v>105</v>
      </c>
      <c r="L62" s="51">
        <f>5+43</f>
        <v>48</v>
      </c>
      <c r="M62" s="51"/>
      <c r="N62" s="744"/>
      <c r="O62" s="716">
        <f t="shared" si="2"/>
        <v>1.579139454475605</v>
      </c>
      <c r="P62" s="707"/>
    </row>
    <row r="63" spans="1:17" ht="15.6">
      <c r="A63" s="68" t="s">
        <v>64</v>
      </c>
      <c r="B63" s="618"/>
      <c r="C63" s="618"/>
      <c r="D63" s="704"/>
      <c r="E63" s="150">
        <f t="shared" si="13"/>
        <v>0</v>
      </c>
      <c r="F63" s="149"/>
      <c r="G63" s="150"/>
      <c r="H63" s="24"/>
      <c r="I63" s="24"/>
      <c r="J63" s="24"/>
      <c r="K63" s="51"/>
      <c r="L63" s="51"/>
      <c r="M63" s="51"/>
      <c r="N63" s="744"/>
      <c r="O63" s="716"/>
      <c r="P63" s="707"/>
    </row>
    <row r="64" spans="1:17" ht="15.6">
      <c r="A64" s="68" t="s">
        <v>65</v>
      </c>
      <c r="B64" s="669">
        <f>1670+1062+1129+1350+1391+1439+1192+1252+1332+1078+1196+1258</f>
        <v>15349</v>
      </c>
      <c r="C64" s="669">
        <v>11817</v>
      </c>
      <c r="D64" s="702">
        <f>1143+584+1068+1170+1018+1940+2160+2337</f>
        <v>11420</v>
      </c>
      <c r="E64" s="150">
        <f t="shared" si="13"/>
        <v>2337</v>
      </c>
      <c r="F64" s="33"/>
      <c r="G64" s="150"/>
      <c r="H64" s="24">
        <v>1176</v>
      </c>
      <c r="I64" s="24">
        <v>1161</v>
      </c>
      <c r="J64" s="24"/>
      <c r="K64" s="51">
        <f>353+513</f>
        <v>866</v>
      </c>
      <c r="L64" s="51">
        <f>559+378</f>
        <v>937</v>
      </c>
      <c r="M64" s="51"/>
      <c r="N64" s="744">
        <v>2337</v>
      </c>
      <c r="O64" s="716">
        <f t="shared" si="2"/>
        <v>0.96640433274096638</v>
      </c>
      <c r="P64" s="707"/>
    </row>
    <row r="65" spans="1:17" ht="15.6">
      <c r="A65" s="68" t="s">
        <v>66</v>
      </c>
      <c r="B65" s="618">
        <f>1089+517+1381+2546+1336+1503+1713+1785+1646+1436+909+1418</f>
        <v>17279</v>
      </c>
      <c r="C65" s="618">
        <v>13516</v>
      </c>
      <c r="D65" s="756">
        <f>9020+1300+1328+1755</f>
        <v>13403</v>
      </c>
      <c r="E65" s="757">
        <f t="shared" si="13"/>
        <v>1755</v>
      </c>
      <c r="F65" s="149"/>
      <c r="G65" s="150"/>
      <c r="H65" s="24">
        <v>870</v>
      </c>
      <c r="I65" s="24">
        <v>885</v>
      </c>
      <c r="J65" s="24"/>
      <c r="K65" s="168">
        <f>3+642</f>
        <v>645</v>
      </c>
      <c r="L65" s="168">
        <f>659+39</f>
        <v>698</v>
      </c>
      <c r="M65" s="51"/>
      <c r="N65" s="744">
        <v>1343</v>
      </c>
      <c r="O65" s="716">
        <f t="shared" si="2"/>
        <v>0.99163953832494822</v>
      </c>
      <c r="P65" s="707"/>
    </row>
    <row r="66" spans="1:17" ht="15.6">
      <c r="A66" s="758" t="s">
        <v>67</v>
      </c>
      <c r="B66" s="656"/>
      <c r="C66" s="656"/>
      <c r="D66" s="657"/>
      <c r="E66" s="150">
        <f t="shared" si="13"/>
        <v>0</v>
      </c>
      <c r="F66" s="227"/>
      <c r="G66" s="150"/>
      <c r="H66" s="24"/>
      <c r="I66" s="24"/>
      <c r="J66" s="24"/>
      <c r="K66" s="51"/>
      <c r="L66" s="51"/>
      <c r="M66" s="51"/>
      <c r="N66" s="744"/>
      <c r="O66" s="716"/>
      <c r="P66" s="707"/>
    </row>
    <row r="67" spans="1:17" ht="15.6">
      <c r="A67" s="68" t="s">
        <v>68</v>
      </c>
      <c r="B67" s="618">
        <f>949+632+800+680+378+254+120+150+155+159+135+133</f>
        <v>4545</v>
      </c>
      <c r="C67" s="618">
        <v>4118</v>
      </c>
      <c r="D67" s="759">
        <f>492+846+747+924+857+985+907+803</f>
        <v>6561</v>
      </c>
      <c r="E67" s="150">
        <f t="shared" si="13"/>
        <v>803</v>
      </c>
      <c r="F67" s="149"/>
      <c r="G67" s="150"/>
      <c r="H67" s="24">
        <v>276</v>
      </c>
      <c r="I67" s="24">
        <v>527</v>
      </c>
      <c r="J67" s="24"/>
      <c r="K67" s="168">
        <f>527</f>
        <v>527</v>
      </c>
      <c r="L67" s="168">
        <v>276</v>
      </c>
      <c r="M67" s="51"/>
      <c r="N67" s="744">
        <v>803</v>
      </c>
      <c r="O67" s="716">
        <f t="shared" si="2"/>
        <v>1.593249150072851</v>
      </c>
      <c r="P67" s="707"/>
    </row>
    <row r="68" spans="1:17" ht="15.6">
      <c r="A68" s="614" t="s">
        <v>69</v>
      </c>
      <c r="B68" s="669"/>
      <c r="C68" s="760"/>
      <c r="D68" s="702"/>
      <c r="E68" s="150">
        <f t="shared" si="13"/>
        <v>0</v>
      </c>
      <c r="F68" s="33"/>
      <c r="G68" s="761"/>
      <c r="H68" s="612"/>
      <c r="I68" s="612"/>
      <c r="J68" s="612"/>
      <c r="K68" s="654"/>
      <c r="L68" s="654"/>
      <c r="M68" s="654"/>
      <c r="N68" s="718"/>
      <c r="O68" s="716"/>
      <c r="P68" s="707"/>
    </row>
    <row r="69" spans="1:17" ht="15.6">
      <c r="A69" s="68" t="s">
        <v>70</v>
      </c>
      <c r="B69" s="669">
        <f>703+210+509+267+526+508+670+637+1462+1836+801+829</f>
        <v>8958</v>
      </c>
      <c r="C69" s="669">
        <v>5492</v>
      </c>
      <c r="D69" s="762">
        <f>1225+704+651+766+757+322+441+493</f>
        <v>5359</v>
      </c>
      <c r="E69" s="150">
        <f t="shared" si="13"/>
        <v>493</v>
      </c>
      <c r="F69" s="24"/>
      <c r="G69" s="24"/>
      <c r="H69" s="24">
        <v>241</v>
      </c>
      <c r="I69" s="24">
        <v>252</v>
      </c>
      <c r="J69" s="24"/>
      <c r="K69" s="168">
        <f>129+51</f>
        <v>180</v>
      </c>
      <c r="L69" s="168">
        <f>50+161</f>
        <v>211</v>
      </c>
      <c r="M69" s="168"/>
      <c r="N69" s="719">
        <v>493</v>
      </c>
      <c r="O69" s="716">
        <f t="shared" si="2"/>
        <v>0.97578295702840501</v>
      </c>
      <c r="P69" s="707"/>
      <c r="Q69" s="754"/>
    </row>
    <row r="70" spans="1:17" ht="15.6">
      <c r="A70" s="231"/>
      <c r="B70" s="763"/>
      <c r="C70" s="764"/>
      <c r="D70" s="688"/>
      <c r="E70" s="765"/>
      <c r="F70" s="766"/>
      <c r="G70" s="766"/>
      <c r="H70" s="766"/>
      <c r="I70" s="766"/>
      <c r="J70" s="766"/>
      <c r="K70" s="780"/>
      <c r="L70" s="780"/>
      <c r="M70" s="780"/>
      <c r="N70" s="781"/>
      <c r="O70" s="716"/>
      <c r="P70" s="707"/>
    </row>
    <row r="71" spans="1:17" ht="15">
      <c r="A71" s="767" t="s">
        <v>71</v>
      </c>
      <c r="B71" s="768">
        <f>B6+B30+B37+B51+B61</f>
        <v>19294570</v>
      </c>
      <c r="C71" s="768">
        <f>C6+C30+C37+C51+C61</f>
        <v>16633026</v>
      </c>
      <c r="D71" s="769">
        <f>D6+D30+D37+D51+D61</f>
        <v>15922157</v>
      </c>
      <c r="E71" s="770">
        <f>E6+E30+E37+E51+E61</f>
        <v>1755705</v>
      </c>
      <c r="F71" s="771">
        <f>F6+F30+F37+F51+F61</f>
        <v>702951</v>
      </c>
      <c r="G71" s="771">
        <f t="shared" ref="G71:N71" si="14">G6+G30+F37+G51+G61</f>
        <v>693327</v>
      </c>
      <c r="H71" s="771">
        <f t="shared" si="14"/>
        <v>282119</v>
      </c>
      <c r="I71" s="771">
        <f t="shared" si="14"/>
        <v>102717</v>
      </c>
      <c r="J71" s="771">
        <f t="shared" si="14"/>
        <v>223651</v>
      </c>
      <c r="K71" s="771">
        <f t="shared" si="14"/>
        <v>69176</v>
      </c>
      <c r="L71" s="771">
        <f t="shared" si="14"/>
        <v>43168</v>
      </c>
      <c r="M71" s="771">
        <f t="shared" si="14"/>
        <v>4619</v>
      </c>
      <c r="N71" s="782">
        <f t="shared" si="14"/>
        <v>68976</v>
      </c>
      <c r="O71" s="716">
        <f t="shared" ref="O71:O72" si="15">+D71/C71</f>
        <v>0.95726159509400155</v>
      </c>
      <c r="P71" s="783"/>
    </row>
    <row r="72" spans="1:17">
      <c r="A72" s="237" t="s">
        <v>72</v>
      </c>
      <c r="B72" s="238">
        <f>+B71+B28+B49+B59</f>
        <v>24051041</v>
      </c>
      <c r="C72" s="238">
        <f>+C71+C28+C49+C59</f>
        <v>18668891</v>
      </c>
      <c r="D72" s="239">
        <f>+D71+D28+D49+D59</f>
        <v>19321578</v>
      </c>
      <c r="E72" s="239">
        <f>+E71+E28+E49+E59</f>
        <v>2123270.111111111</v>
      </c>
      <c r="F72" s="772"/>
      <c r="G72" s="772"/>
      <c r="H72" s="772"/>
      <c r="I72" s="772"/>
      <c r="J72" s="772"/>
      <c r="K72" s="772"/>
      <c r="L72" s="772"/>
      <c r="M72" s="784"/>
      <c r="N72" s="772"/>
      <c r="O72" s="785">
        <f t="shared" si="15"/>
        <v>1.0349612089973637</v>
      </c>
    </row>
    <row r="73" spans="1:17">
      <c r="A73" s="2"/>
      <c r="B73" s="241"/>
      <c r="C73" s="241"/>
      <c r="D73" s="242"/>
      <c r="E73" s="242"/>
      <c r="F73" s="3"/>
      <c r="G73" s="3"/>
      <c r="H73" s="3"/>
      <c r="I73" s="3"/>
      <c r="J73" s="3"/>
      <c r="K73" s="3"/>
      <c r="L73" s="3"/>
      <c r="M73" s="3" t="s">
        <v>150</v>
      </c>
      <c r="N73" s="3"/>
      <c r="O73" s="2"/>
    </row>
    <row r="74" spans="1:17">
      <c r="B74" s="2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2"/>
    </row>
    <row r="75" spans="1:17">
      <c r="B75" s="2"/>
      <c r="C75" s="2"/>
      <c r="D75" s="773" t="s">
        <v>74</v>
      </c>
      <c r="E75" s="773" t="s">
        <v>75</v>
      </c>
      <c r="F75" s="773" t="s">
        <v>76</v>
      </c>
      <c r="G75" s="773" t="s">
        <v>77</v>
      </c>
      <c r="H75" s="773" t="s">
        <v>78</v>
      </c>
      <c r="I75" s="773" t="s">
        <v>79</v>
      </c>
      <c r="J75" s="773" t="s">
        <v>80</v>
      </c>
      <c r="K75" s="773" t="s">
        <v>81</v>
      </c>
      <c r="L75" s="773" t="s">
        <v>82</v>
      </c>
      <c r="M75" s="773" t="s">
        <v>83</v>
      </c>
      <c r="N75" s="773" t="s">
        <v>84</v>
      </c>
      <c r="O75" s="786" t="s">
        <v>85</v>
      </c>
      <c r="P75" s="786" t="s">
        <v>86</v>
      </c>
    </row>
    <row r="76" spans="1:17">
      <c r="B76" s="246" t="s">
        <v>87</v>
      </c>
      <c r="C76" s="246"/>
      <c r="D76" s="248">
        <v>1737613</v>
      </c>
      <c r="E76" s="248">
        <v>1447754</v>
      </c>
      <c r="F76" s="774">
        <f>E71</f>
        <v>1755705</v>
      </c>
      <c r="G76" s="248">
        <v>1891960</v>
      </c>
      <c r="H76" s="248">
        <v>1972368</v>
      </c>
      <c r="I76" s="3">
        <v>1787673</v>
      </c>
      <c r="J76" s="248">
        <v>1808050</v>
      </c>
      <c r="K76" s="787">
        <v>1902721</v>
      </c>
      <c r="L76" s="788">
        <v>1755705</v>
      </c>
      <c r="M76" s="787"/>
      <c r="N76" s="252"/>
      <c r="O76" s="789"/>
      <c r="P76" s="790">
        <v>10156932</v>
      </c>
    </row>
    <row r="77" spans="1:17">
      <c r="A77" s="2"/>
      <c r="B77" s="249" t="s">
        <v>88</v>
      </c>
      <c r="C77" s="249"/>
      <c r="D77" s="250"/>
      <c r="E77" s="250">
        <f>IF(D76&gt;0,E76/D76,0)*100</f>
        <v>83.318552520037542</v>
      </c>
      <c r="F77" s="250">
        <f t="shared" ref="F77:O77" si="16">IF(E76&gt;0,F76/E76,0)*100</f>
        <v>121.27094796491669</v>
      </c>
      <c r="G77" s="250">
        <f t="shared" si="16"/>
        <v>107.76070011761657</v>
      </c>
      <c r="H77" s="250">
        <f t="shared" si="16"/>
        <v>104.24998414342798</v>
      </c>
      <c r="I77" s="250">
        <f t="shared" si="16"/>
        <v>90.63587525248839</v>
      </c>
      <c r="J77" s="250">
        <f t="shared" si="16"/>
        <v>101.13986170848919</v>
      </c>
      <c r="K77" s="250">
        <f t="shared" si="16"/>
        <v>105.23608307292388</v>
      </c>
      <c r="L77" s="250">
        <f t="shared" si="16"/>
        <v>92.273381121036664</v>
      </c>
      <c r="M77" s="250">
        <f t="shared" si="16"/>
        <v>0</v>
      </c>
      <c r="N77" s="250">
        <f t="shared" si="16"/>
        <v>0</v>
      </c>
      <c r="O77" s="271">
        <f t="shared" si="16"/>
        <v>0</v>
      </c>
      <c r="P77" s="791">
        <f>P76/B71</f>
        <v>0.52641401181783265</v>
      </c>
    </row>
    <row r="78" spans="1:17">
      <c r="A78" s="2"/>
      <c r="B78" s="251"/>
      <c r="C78" s="251"/>
      <c r="D78" s="253"/>
      <c r="E78" s="252"/>
      <c r="F78" s="253"/>
      <c r="G78" s="3" t="s">
        <v>115</v>
      </c>
      <c r="H78" s="3"/>
      <c r="I78" s="3"/>
      <c r="J78" s="3"/>
      <c r="K78" s="3"/>
      <c r="L78" s="3"/>
      <c r="M78" s="3"/>
      <c r="N78" s="3"/>
      <c r="O78" s="152"/>
      <c r="P78" s="2"/>
    </row>
    <row r="79" spans="1:17">
      <c r="A79" s="1442" t="s">
        <v>89</v>
      </c>
      <c r="B79" s="152"/>
      <c r="C79" s="15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152"/>
      <c r="P79" s="2"/>
      <c r="Q79" s="3"/>
    </row>
    <row r="80" spans="1:17">
      <c r="A80" s="2" t="s">
        <v>90</v>
      </c>
      <c r="B80" s="152"/>
      <c r="C80" s="15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152"/>
      <c r="P80" s="2"/>
      <c r="Q80" s="3"/>
    </row>
    <row r="81" spans="1:17">
      <c r="A81" s="1442" t="s">
        <v>91</v>
      </c>
      <c r="B81" s="152"/>
      <c r="C81" s="15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152"/>
      <c r="P81" s="2"/>
      <c r="Q81" s="3"/>
    </row>
    <row r="82" spans="1:17">
      <c r="A82" s="1443" t="s">
        <v>92</v>
      </c>
      <c r="B82" s="152"/>
      <c r="C82" s="15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152"/>
      <c r="P82" s="2"/>
      <c r="Q82" s="281"/>
    </row>
    <row r="83" spans="1:17">
      <c r="A83" s="2" t="s">
        <v>93</v>
      </c>
      <c r="B83" s="2"/>
      <c r="C83" s="2"/>
      <c r="D83" s="3"/>
      <c r="E83" s="3"/>
      <c r="F83" s="3"/>
      <c r="G83" s="3"/>
      <c r="H83" s="3"/>
      <c r="I83" s="3"/>
      <c r="K83" s="3"/>
      <c r="M83" s="3"/>
      <c r="N83" s="3"/>
      <c r="O83" s="152"/>
      <c r="P83" s="2"/>
    </row>
    <row r="84" spans="1:17">
      <c r="A84" s="2" t="s">
        <v>94</v>
      </c>
      <c r="B84" s="2"/>
      <c r="C84" s="2"/>
      <c r="D84" s="3"/>
      <c r="E84" s="3"/>
      <c r="F84" s="3"/>
      <c r="G84" s="3"/>
      <c r="H84" s="3"/>
      <c r="I84" s="3"/>
      <c r="K84" s="3"/>
      <c r="M84" s="3"/>
      <c r="N84" s="3"/>
      <c r="O84" s="273"/>
      <c r="P84" s="2"/>
    </row>
    <row r="85" spans="1:17">
      <c r="A85" s="2" t="s">
        <v>95</v>
      </c>
      <c r="B85" s="2"/>
      <c r="C85" s="2"/>
      <c r="D85" s="3"/>
      <c r="E85" s="3"/>
      <c r="F85" s="3"/>
      <c r="G85" s="3"/>
      <c r="H85" s="3"/>
      <c r="I85" s="3"/>
      <c r="K85" s="3"/>
      <c r="L85" s="3"/>
      <c r="M85" s="3"/>
      <c r="N85" s="3"/>
      <c r="O85" s="152"/>
      <c r="P85" s="2"/>
    </row>
    <row r="87" spans="1:17" ht="15.6">
      <c r="B87" s="254" t="s">
        <v>165</v>
      </c>
      <c r="C87" s="254"/>
      <c r="D87" s="254"/>
      <c r="E87" s="254"/>
      <c r="F87" s="254"/>
      <c r="G87" s="254"/>
      <c r="H87" s="254"/>
      <c r="I87" s="254"/>
      <c r="J87" s="254"/>
      <c r="K87" s="254"/>
      <c r="L87" s="254"/>
      <c r="M87" s="254"/>
      <c r="N87" s="254"/>
      <c r="O87" s="254"/>
    </row>
    <row r="88" spans="1:17">
      <c r="A88" s="775" t="s">
        <v>97</v>
      </c>
      <c r="B88" s="776" t="s">
        <v>74</v>
      </c>
      <c r="C88" s="776" t="s">
        <v>75</v>
      </c>
      <c r="D88" s="776" t="s">
        <v>76</v>
      </c>
      <c r="E88" s="776" t="s">
        <v>77</v>
      </c>
      <c r="F88" s="776" t="s">
        <v>78</v>
      </c>
      <c r="G88" s="776" t="s">
        <v>79</v>
      </c>
      <c r="H88" s="776" t="s">
        <v>80</v>
      </c>
      <c r="I88" s="776" t="s">
        <v>81</v>
      </c>
      <c r="J88" s="776" t="s">
        <v>82</v>
      </c>
      <c r="K88" s="776" t="s">
        <v>83</v>
      </c>
      <c r="L88" s="776" t="s">
        <v>84</v>
      </c>
      <c r="M88" s="776" t="s">
        <v>85</v>
      </c>
      <c r="N88" s="776" t="s">
        <v>86</v>
      </c>
      <c r="O88" s="775" t="s">
        <v>98</v>
      </c>
    </row>
    <row r="89" spans="1:17">
      <c r="A89" s="777" t="s">
        <v>99</v>
      </c>
      <c r="B89" s="778">
        <f>SUM(B90:B96)</f>
        <v>5559901</v>
      </c>
      <c r="C89" s="778">
        <f t="shared" ref="C89:J89" si="17">SUM(C90:C96)</f>
        <v>4699172</v>
      </c>
      <c r="D89" s="778">
        <f t="shared" si="17"/>
        <v>6626289</v>
      </c>
      <c r="E89" s="778">
        <f t="shared" si="17"/>
        <v>7289664</v>
      </c>
      <c r="F89" s="778">
        <f t="shared" si="17"/>
        <v>7552957</v>
      </c>
      <c r="G89" s="778">
        <f t="shared" si="17"/>
        <v>7137978</v>
      </c>
      <c r="H89" s="778">
        <f t="shared" si="17"/>
        <v>7261577</v>
      </c>
      <c r="I89" s="778">
        <f t="shared" si="17"/>
        <v>7423642.6568181785</v>
      </c>
      <c r="J89" s="778">
        <f t="shared" si="17"/>
        <v>7317274.6456277864</v>
      </c>
      <c r="K89" s="778"/>
      <c r="L89" s="778"/>
      <c r="M89" s="264"/>
      <c r="N89" s="778">
        <f t="shared" ref="N89:N105" si="18">SUM(B89:M89)</f>
        <v>60868455.30244597</v>
      </c>
      <c r="O89" s="792">
        <f>N89/$N$89</f>
        <v>1</v>
      </c>
    </row>
    <row r="90" spans="1:17">
      <c r="A90" s="259" t="s">
        <v>100</v>
      </c>
      <c r="B90" s="260">
        <v>1809898</v>
      </c>
      <c r="C90" s="260">
        <v>1730564</v>
      </c>
      <c r="D90" s="260">
        <v>2112389</v>
      </c>
      <c r="E90" s="260">
        <v>2570971</v>
      </c>
      <c r="F90" s="260">
        <v>2877822</v>
      </c>
      <c r="G90" s="260">
        <v>2522285</v>
      </c>
      <c r="H90" s="260">
        <v>2379861</v>
      </c>
      <c r="I90" s="276">
        <v>1649483.96140941</v>
      </c>
      <c r="J90" s="277">
        <v>2145448.2027232898</v>
      </c>
      <c r="K90" s="260"/>
      <c r="L90" s="260"/>
      <c r="M90" s="260"/>
      <c r="N90" s="277">
        <f t="shared" si="18"/>
        <v>19798722.164132699</v>
      </c>
      <c r="O90" s="278">
        <f t="shared" ref="O90:O96" si="19">N90/$N$89</f>
        <v>0.32527065235606689</v>
      </c>
    </row>
    <row r="91" spans="1:17">
      <c r="A91" s="259" t="s">
        <v>101</v>
      </c>
      <c r="B91" s="260">
        <v>216643</v>
      </c>
      <c r="C91" s="260">
        <v>165584</v>
      </c>
      <c r="D91" s="260">
        <v>464816</v>
      </c>
      <c r="E91" s="260">
        <v>179363</v>
      </c>
      <c r="F91" s="260">
        <v>325949</v>
      </c>
      <c r="G91" s="260">
        <v>301067</v>
      </c>
      <c r="H91" s="260">
        <v>208263</v>
      </c>
      <c r="I91" s="276">
        <v>556923.47207816201</v>
      </c>
      <c r="J91" s="277">
        <v>415004.996358937</v>
      </c>
      <c r="K91" s="260"/>
      <c r="L91" s="260"/>
      <c r="M91" s="260"/>
      <c r="N91" s="277">
        <f t="shared" si="18"/>
        <v>2833613.4684370994</v>
      </c>
      <c r="O91" s="278">
        <f t="shared" si="19"/>
        <v>4.6553070130617095E-2</v>
      </c>
    </row>
    <row r="92" spans="1:17">
      <c r="A92" s="259" t="s">
        <v>102</v>
      </c>
      <c r="B92" s="260">
        <v>1371301</v>
      </c>
      <c r="C92" s="260">
        <v>870579</v>
      </c>
      <c r="D92" s="260">
        <v>1114225</v>
      </c>
      <c r="E92" s="260">
        <v>1074841</v>
      </c>
      <c r="F92" s="260">
        <v>1197562</v>
      </c>
      <c r="G92" s="260">
        <v>1270373</v>
      </c>
      <c r="H92" s="260">
        <v>1356812</v>
      </c>
      <c r="I92" s="276">
        <v>1428637.4627896</v>
      </c>
      <c r="J92" s="277">
        <v>1247824.8462519899</v>
      </c>
      <c r="K92" s="260"/>
      <c r="L92" s="260"/>
      <c r="M92" s="260"/>
      <c r="N92" s="277">
        <f t="shared" si="18"/>
        <v>10932155.309041591</v>
      </c>
      <c r="O92" s="278">
        <f t="shared" si="19"/>
        <v>0.17960296930029515</v>
      </c>
    </row>
    <row r="93" spans="1:17">
      <c r="A93" s="259" t="s">
        <v>103</v>
      </c>
      <c r="B93" s="260">
        <v>758783</v>
      </c>
      <c r="C93" s="260">
        <v>620788</v>
      </c>
      <c r="D93" s="260">
        <v>832464</v>
      </c>
      <c r="E93" s="260">
        <v>805760</v>
      </c>
      <c r="F93" s="260">
        <v>873484</v>
      </c>
      <c r="G93" s="260">
        <v>767484</v>
      </c>
      <c r="H93" s="260">
        <v>901143</v>
      </c>
      <c r="I93" s="276">
        <v>1048065.44177413</v>
      </c>
      <c r="J93" s="277">
        <v>885187.76367192296</v>
      </c>
      <c r="K93" s="260"/>
      <c r="L93" s="260"/>
      <c r="M93" s="260"/>
      <c r="N93" s="277">
        <f t="shared" si="18"/>
        <v>7493159.2054460533</v>
      </c>
      <c r="O93" s="278">
        <f t="shared" si="19"/>
        <v>0.12310414595234428</v>
      </c>
    </row>
    <row r="94" spans="1:17">
      <c r="A94" s="259" t="s">
        <v>104</v>
      </c>
      <c r="B94" s="260">
        <v>663451</v>
      </c>
      <c r="C94" s="260">
        <v>687147</v>
      </c>
      <c r="D94" s="260">
        <v>1074747</v>
      </c>
      <c r="E94" s="260">
        <v>1431356</v>
      </c>
      <c r="F94" s="260">
        <v>1344265</v>
      </c>
      <c r="G94" s="260">
        <v>1186850</v>
      </c>
      <c r="H94" s="260">
        <v>1525557</v>
      </c>
      <c r="I94" s="276">
        <v>1204868.26132492</v>
      </c>
      <c r="J94" s="277">
        <v>789731.61168467801</v>
      </c>
      <c r="K94" s="260"/>
      <c r="L94" s="260"/>
      <c r="M94" s="260"/>
      <c r="N94" s="277">
        <f t="shared" si="18"/>
        <v>9907972.8730095979</v>
      </c>
      <c r="O94" s="278">
        <f t="shared" si="19"/>
        <v>0.16277680818050019</v>
      </c>
    </row>
    <row r="95" spans="1:17">
      <c r="A95" s="259" t="s">
        <v>105</v>
      </c>
      <c r="B95" s="260">
        <v>94829</v>
      </c>
      <c r="C95" s="260">
        <v>74713</v>
      </c>
      <c r="D95" s="260">
        <v>126500</v>
      </c>
      <c r="E95" s="260">
        <v>117804</v>
      </c>
      <c r="F95" s="260">
        <v>116232</v>
      </c>
      <c r="G95" s="260">
        <v>117017</v>
      </c>
      <c r="H95" s="260">
        <v>119409</v>
      </c>
      <c r="I95" s="276">
        <v>426707.09230535798</v>
      </c>
      <c r="J95" s="277">
        <v>516802.34385403898</v>
      </c>
      <c r="K95" s="260"/>
      <c r="L95" s="260"/>
      <c r="M95" s="260"/>
      <c r="N95" s="277">
        <f t="shared" si="18"/>
        <v>1710013.436159397</v>
      </c>
      <c r="O95" s="278">
        <f t="shared" si="19"/>
        <v>2.8093590147188784E-2</v>
      </c>
    </row>
    <row r="96" spans="1:17">
      <c r="A96" s="259" t="s">
        <v>58</v>
      </c>
      <c r="B96" s="260">
        <v>644996</v>
      </c>
      <c r="C96" s="260">
        <v>549797</v>
      </c>
      <c r="D96" s="260">
        <v>901148</v>
      </c>
      <c r="E96" s="260">
        <v>1109569</v>
      </c>
      <c r="F96" s="260">
        <v>817643</v>
      </c>
      <c r="G96" s="260">
        <v>972902</v>
      </c>
      <c r="H96" s="260">
        <v>770532</v>
      </c>
      <c r="I96" s="276">
        <v>1108956.9651366</v>
      </c>
      <c r="J96" s="277">
        <v>1317274.8810829299</v>
      </c>
      <c r="K96" s="260"/>
      <c r="L96" s="260"/>
      <c r="M96" s="260"/>
      <c r="N96" s="277">
        <f t="shared" si="18"/>
        <v>8192818.8462195294</v>
      </c>
      <c r="O96" s="278">
        <f t="shared" si="19"/>
        <v>0.13459876393298756</v>
      </c>
    </row>
    <row r="97" spans="1:15">
      <c r="A97" s="777" t="s">
        <v>106</v>
      </c>
      <c r="B97" s="778">
        <f>SUM(B98:B104)</f>
        <v>6806119</v>
      </c>
      <c r="C97" s="778">
        <f t="shared" ref="C97:J97" si="20">SUM(C98:C104)</f>
        <v>5512491</v>
      </c>
      <c r="D97" s="778">
        <f t="shared" si="20"/>
        <v>8179108</v>
      </c>
      <c r="E97" s="778">
        <f t="shared" si="20"/>
        <v>8765844</v>
      </c>
      <c r="F97" s="778">
        <f t="shared" si="20"/>
        <v>8376295</v>
      </c>
      <c r="G97" s="778">
        <f t="shared" si="20"/>
        <v>8199263</v>
      </c>
      <c r="H97" s="778">
        <f t="shared" si="20"/>
        <v>8405793</v>
      </c>
      <c r="I97" s="778">
        <f t="shared" si="20"/>
        <v>9120088.1304625664</v>
      </c>
      <c r="J97" s="778">
        <f t="shared" si="20"/>
        <v>8422294.5254808925</v>
      </c>
      <c r="K97" s="778"/>
      <c r="L97" s="778"/>
      <c r="M97" s="777"/>
      <c r="N97" s="778">
        <f t="shared" si="18"/>
        <v>71787295.655943453</v>
      </c>
      <c r="O97" s="792">
        <f>N97/$N$97</f>
        <v>1</v>
      </c>
    </row>
    <row r="98" spans="1:15">
      <c r="A98" s="259" t="s">
        <v>100</v>
      </c>
      <c r="B98" s="260">
        <v>2135077</v>
      </c>
      <c r="C98" s="260">
        <v>1954967</v>
      </c>
      <c r="D98" s="260">
        <v>2573893</v>
      </c>
      <c r="E98" s="260">
        <v>3073887</v>
      </c>
      <c r="F98" s="260">
        <v>3261336</v>
      </c>
      <c r="G98" s="260">
        <v>3026937</v>
      </c>
      <c r="H98" s="260">
        <v>2813170</v>
      </c>
      <c r="I98" s="276">
        <v>2771764.24442368</v>
      </c>
      <c r="J98" s="277">
        <v>2874199.5261229998</v>
      </c>
      <c r="K98" s="260"/>
      <c r="L98" s="260"/>
      <c r="M98" s="260"/>
      <c r="N98" s="277">
        <f t="shared" si="18"/>
        <v>24485230.770546678</v>
      </c>
      <c r="O98" s="278">
        <f t="shared" ref="O98:O104" si="21">N98/$N$97</f>
        <v>0.34108027815809611</v>
      </c>
    </row>
    <row r="99" spans="1:15">
      <c r="A99" s="259" t="s">
        <v>101</v>
      </c>
      <c r="B99" s="260">
        <v>263002</v>
      </c>
      <c r="C99" s="260">
        <v>221352</v>
      </c>
      <c r="D99" s="260">
        <v>387773</v>
      </c>
      <c r="E99" s="260">
        <v>258017</v>
      </c>
      <c r="F99" s="260">
        <v>388537</v>
      </c>
      <c r="G99" s="260">
        <v>292594</v>
      </c>
      <c r="H99" s="260">
        <v>286187</v>
      </c>
      <c r="I99" s="276">
        <v>371162.45418796502</v>
      </c>
      <c r="J99" s="277">
        <v>377418.838031133</v>
      </c>
      <c r="K99" s="260"/>
      <c r="L99" s="260"/>
      <c r="M99" s="260"/>
      <c r="N99" s="277">
        <f t="shared" si="18"/>
        <v>2846043.2922190982</v>
      </c>
      <c r="O99" s="278">
        <f t="shared" si="21"/>
        <v>3.9645500867721672E-2</v>
      </c>
    </row>
    <row r="100" spans="1:15">
      <c r="A100" s="259" t="s">
        <v>102</v>
      </c>
      <c r="B100" s="260">
        <v>1600519</v>
      </c>
      <c r="C100" s="260">
        <v>975825</v>
      </c>
      <c r="D100" s="260">
        <v>1500811</v>
      </c>
      <c r="E100" s="260">
        <v>1431201</v>
      </c>
      <c r="F100" s="260">
        <v>1312883</v>
      </c>
      <c r="G100" s="260">
        <v>1628844</v>
      </c>
      <c r="H100" s="260">
        <v>1563650</v>
      </c>
      <c r="I100" s="276">
        <v>1567478.3799777699</v>
      </c>
      <c r="J100" s="277">
        <v>1218496.8775750101</v>
      </c>
      <c r="K100" s="260"/>
      <c r="L100" s="260"/>
      <c r="M100" s="260"/>
      <c r="N100" s="277">
        <f t="shared" si="18"/>
        <v>12799708.25755278</v>
      </c>
      <c r="O100" s="278">
        <f t="shared" si="21"/>
        <v>0.1783004658498103</v>
      </c>
    </row>
    <row r="101" spans="1:15">
      <c r="A101" s="259" t="s">
        <v>103</v>
      </c>
      <c r="B101" s="260">
        <v>906127</v>
      </c>
      <c r="C101" s="260">
        <v>684506</v>
      </c>
      <c r="D101" s="260">
        <v>1019356</v>
      </c>
      <c r="E101" s="260">
        <v>936276</v>
      </c>
      <c r="F101" s="260">
        <v>1009873</v>
      </c>
      <c r="G101" s="260">
        <v>790066</v>
      </c>
      <c r="H101" s="260">
        <v>1001312</v>
      </c>
      <c r="I101" s="276">
        <v>1059004.6865963</v>
      </c>
      <c r="J101" s="277">
        <v>1115659.7180649899</v>
      </c>
      <c r="K101" s="260"/>
      <c r="L101" s="260"/>
      <c r="M101" s="260"/>
      <c r="N101" s="277">
        <f t="shared" si="18"/>
        <v>8522180.4046612903</v>
      </c>
      <c r="O101" s="278">
        <f t="shared" si="21"/>
        <v>0.11871432579805948</v>
      </c>
    </row>
    <row r="102" spans="1:15">
      <c r="A102" s="259" t="s">
        <v>104</v>
      </c>
      <c r="B102" s="260">
        <v>910303</v>
      </c>
      <c r="C102" s="260">
        <v>843503</v>
      </c>
      <c r="D102" s="260">
        <v>1350561</v>
      </c>
      <c r="E102" s="260">
        <v>1603712</v>
      </c>
      <c r="F102" s="260">
        <v>1322029</v>
      </c>
      <c r="G102" s="260">
        <v>1326834</v>
      </c>
      <c r="H102" s="260">
        <v>1615435</v>
      </c>
      <c r="I102" s="276">
        <v>1427094.8094327101</v>
      </c>
      <c r="J102" s="277">
        <v>1040755.49606988</v>
      </c>
      <c r="K102" s="260"/>
      <c r="L102" s="260"/>
      <c r="M102" s="260"/>
      <c r="N102" s="277">
        <f t="shared" si="18"/>
        <v>11440227.30550259</v>
      </c>
      <c r="O102" s="278">
        <f t="shared" si="21"/>
        <v>0.15936283991435501</v>
      </c>
    </row>
    <row r="103" spans="1:15">
      <c r="A103" s="259" t="s">
        <v>105</v>
      </c>
      <c r="B103" s="260">
        <v>73110</v>
      </c>
      <c r="C103" s="260">
        <v>87700</v>
      </c>
      <c r="D103" s="260">
        <v>119850</v>
      </c>
      <c r="E103" s="260">
        <v>120063</v>
      </c>
      <c r="F103" s="260">
        <v>106070</v>
      </c>
      <c r="G103" s="260">
        <v>105910</v>
      </c>
      <c r="H103" s="260">
        <v>116555</v>
      </c>
      <c r="I103" s="276">
        <v>318808.68661145098</v>
      </c>
      <c r="J103" s="277">
        <v>279913.02113921801</v>
      </c>
      <c r="K103" s="260"/>
      <c r="L103" s="260"/>
      <c r="M103" s="260"/>
      <c r="N103" s="277">
        <f t="shared" si="18"/>
        <v>1327979.707750669</v>
      </c>
      <c r="O103" s="278">
        <f t="shared" si="21"/>
        <v>1.8498812298422641E-2</v>
      </c>
    </row>
    <row r="104" spans="1:15">
      <c r="A104" s="259" t="s">
        <v>58</v>
      </c>
      <c r="B104" s="260">
        <v>917981</v>
      </c>
      <c r="C104" s="260">
        <v>744638</v>
      </c>
      <c r="D104" s="260">
        <v>1226864</v>
      </c>
      <c r="E104" s="260">
        <v>1342688</v>
      </c>
      <c r="F104" s="260">
        <v>975567</v>
      </c>
      <c r="G104" s="260">
        <v>1028078</v>
      </c>
      <c r="H104" s="260">
        <v>1009484</v>
      </c>
      <c r="I104" s="276">
        <v>1604774.86923269</v>
      </c>
      <c r="J104" s="277">
        <v>1515851.0484776599</v>
      </c>
      <c r="K104" s="260"/>
      <c r="L104" s="260"/>
      <c r="M104" s="260"/>
      <c r="N104" s="277">
        <f t="shared" si="18"/>
        <v>10365925.917710349</v>
      </c>
      <c r="O104" s="278">
        <f t="shared" si="21"/>
        <v>0.14439777711353483</v>
      </c>
    </row>
    <row r="105" spans="1:15">
      <c r="A105" s="775" t="s">
        <v>107</v>
      </c>
      <c r="B105" s="779">
        <f>B89+B97</f>
        <v>12366020</v>
      </c>
      <c r="C105" s="779">
        <v>10413069</v>
      </c>
      <c r="D105" s="779">
        <f>D89+D97</f>
        <v>14805397</v>
      </c>
      <c r="E105" s="779">
        <f>E89+E97</f>
        <v>16055508</v>
      </c>
      <c r="F105" s="779">
        <f t="shared" ref="F105:L105" si="22">F89+F97</f>
        <v>15929252</v>
      </c>
      <c r="G105" s="779">
        <f t="shared" si="22"/>
        <v>15337241</v>
      </c>
      <c r="H105" s="779">
        <f t="shared" si="22"/>
        <v>15667370</v>
      </c>
      <c r="I105" s="793">
        <f t="shared" si="22"/>
        <v>16543730.787280746</v>
      </c>
      <c r="J105" s="779">
        <f t="shared" si="22"/>
        <v>15739569.171108678</v>
      </c>
      <c r="K105" s="779">
        <f t="shared" si="22"/>
        <v>0</v>
      </c>
      <c r="L105" s="779">
        <f t="shared" si="22"/>
        <v>0</v>
      </c>
      <c r="M105" s="775"/>
      <c r="N105" s="794">
        <f t="shared" si="18"/>
        <v>132857156.95838942</v>
      </c>
      <c r="O105" s="795"/>
    </row>
    <row r="106" spans="1:15">
      <c r="C106" s="262">
        <f t="shared" ref="C106" si="23">C105/B105</f>
        <v>0.8420711756895104</v>
      </c>
      <c r="D106" s="262">
        <f t="shared" ref="D106" si="24">D105/C105</f>
        <v>1.4218091707641618</v>
      </c>
      <c r="E106" s="262">
        <f t="shared" ref="E106" si="25">E105/D105</f>
        <v>1.0844361687835862</v>
      </c>
      <c r="F106" s="262">
        <f t="shared" ref="F106" si="26">F105/E105</f>
        <v>0.99213628120642461</v>
      </c>
      <c r="G106" s="262">
        <f t="shared" ref="G106" si="27">G105/F105</f>
        <v>0.96283497806425566</v>
      </c>
      <c r="H106" s="262">
        <f t="shared" ref="H106" si="28">H105/G105</f>
        <v>1.0215246666594076</v>
      </c>
      <c r="I106" s="262">
        <f t="shared" ref="I106:J106" si="29">I105/H105</f>
        <v>1.0559354114494486</v>
      </c>
      <c r="J106" s="262">
        <f t="shared" si="29"/>
        <v>0.95139176123499736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28"/>
  <sheetViews>
    <sheetView zoomScale="80" zoomScaleNormal="80" workbookViewId="0">
      <selection activeCell="E14" sqref="E14"/>
    </sheetView>
  </sheetViews>
  <sheetFormatPr defaultColWidth="9" defaultRowHeight="14.4"/>
  <cols>
    <col min="1" max="1" width="40.6640625" customWidth="1"/>
    <col min="2" max="5" width="11.88671875" customWidth="1"/>
    <col min="6" max="13" width="9" customWidth="1"/>
  </cols>
  <sheetData>
    <row r="1" spans="1:17" ht="15.6">
      <c r="A1" s="1779" t="s">
        <v>166</v>
      </c>
      <c r="B1" s="1779"/>
      <c r="C1" s="1779"/>
      <c r="D1" s="1779"/>
      <c r="E1" s="1779"/>
      <c r="F1" s="1779"/>
      <c r="G1" s="1779"/>
      <c r="H1" s="1779"/>
      <c r="I1" s="1779"/>
      <c r="J1" s="1779"/>
      <c r="K1" s="1779"/>
      <c r="L1" s="1779"/>
      <c r="M1" s="1779"/>
      <c r="N1" s="1779"/>
      <c r="O1" s="1779"/>
      <c r="P1" s="443"/>
      <c r="Q1" s="524"/>
    </row>
    <row r="2" spans="1:17">
      <c r="A2" s="313"/>
      <c r="B2" s="313"/>
      <c r="C2" s="313"/>
      <c r="D2" s="313"/>
      <c r="E2" s="314"/>
      <c r="F2" s="314"/>
      <c r="G2" s="314"/>
      <c r="H2" s="314"/>
      <c r="I2" s="314"/>
      <c r="J2" s="314"/>
      <c r="K2" s="314"/>
      <c r="L2" s="314"/>
      <c r="M2" s="314"/>
      <c r="N2" s="314"/>
      <c r="O2" s="444"/>
      <c r="P2" s="313"/>
    </row>
    <row r="3" spans="1:17" ht="41.4">
      <c r="A3" s="315" t="s">
        <v>1</v>
      </c>
      <c r="B3" s="316" t="s">
        <v>2</v>
      </c>
      <c r="C3" s="317" t="s">
        <v>167</v>
      </c>
      <c r="D3" s="318" t="s">
        <v>168</v>
      </c>
      <c r="E3" s="319" t="s">
        <v>169</v>
      </c>
      <c r="F3" s="320"/>
      <c r="G3" s="320"/>
      <c r="H3" s="320"/>
      <c r="I3" s="320"/>
      <c r="J3" s="320"/>
      <c r="K3" s="320"/>
      <c r="L3" s="320"/>
      <c r="M3" s="320"/>
      <c r="N3" s="445"/>
      <c r="O3" s="446" t="s">
        <v>170</v>
      </c>
      <c r="P3" s="447"/>
    </row>
    <row r="4" spans="1:17" ht="27.6">
      <c r="A4" s="321"/>
      <c r="B4" s="322"/>
      <c r="C4" s="323"/>
      <c r="D4" s="324"/>
      <c r="E4" s="325" t="s">
        <v>7</v>
      </c>
      <c r="F4" s="326" t="s">
        <v>8</v>
      </c>
      <c r="G4" s="326" t="s">
        <v>9</v>
      </c>
      <c r="H4" s="326" t="s">
        <v>10</v>
      </c>
      <c r="I4" s="326" t="s">
        <v>11</v>
      </c>
      <c r="J4" s="448" t="s">
        <v>12</v>
      </c>
      <c r="K4" s="449" t="s">
        <v>13</v>
      </c>
      <c r="L4" s="449" t="s">
        <v>14</v>
      </c>
      <c r="M4" s="450" t="s">
        <v>15</v>
      </c>
      <c r="N4" s="451" t="s">
        <v>16</v>
      </c>
      <c r="O4" s="452"/>
      <c r="P4" s="447"/>
    </row>
    <row r="5" spans="1:17" ht="15.6">
      <c r="A5" s="327"/>
      <c r="B5" s="328"/>
      <c r="C5" s="328"/>
      <c r="D5" s="329"/>
      <c r="E5" s="330"/>
      <c r="F5" s="331"/>
      <c r="G5" s="331"/>
      <c r="H5" s="331"/>
      <c r="I5" s="331"/>
      <c r="J5" s="453"/>
      <c r="K5" s="331"/>
      <c r="L5" s="331"/>
      <c r="M5" s="453"/>
      <c r="N5" s="454"/>
      <c r="O5" s="455"/>
      <c r="P5" s="447"/>
    </row>
    <row r="6" spans="1:17" ht="15">
      <c r="A6" s="72" t="s">
        <v>17</v>
      </c>
      <c r="B6" s="73">
        <f>SUM(B8:B18)</f>
        <v>4976683</v>
      </c>
      <c r="C6" s="73">
        <f>SUM(C8:C18)</f>
        <v>4117059</v>
      </c>
      <c r="D6" s="332">
        <f>SUM(D9:D18)</f>
        <v>4509607</v>
      </c>
      <c r="E6" s="333">
        <f t="shared" ref="E6:N6" si="0">SUM(E8:E18)</f>
        <v>525607</v>
      </c>
      <c r="F6" s="334">
        <f t="shared" si="0"/>
        <v>208210</v>
      </c>
      <c r="G6" s="334">
        <f t="shared" si="0"/>
        <v>200169</v>
      </c>
      <c r="H6" s="334">
        <f t="shared" si="0"/>
        <v>25522</v>
      </c>
      <c r="I6" s="334">
        <f t="shared" si="0"/>
        <v>24399</v>
      </c>
      <c r="J6" s="334">
        <f t="shared" si="0"/>
        <v>503</v>
      </c>
      <c r="K6" s="334">
        <f t="shared" si="0"/>
        <v>46575</v>
      </c>
      <c r="L6" s="334">
        <f t="shared" si="0"/>
        <v>17637</v>
      </c>
      <c r="M6" s="334">
        <f t="shared" si="0"/>
        <v>530</v>
      </c>
      <c r="N6" s="333">
        <f t="shared" si="0"/>
        <v>5190</v>
      </c>
      <c r="O6" s="456">
        <f>+D6/C6</f>
        <v>1.0953467025855106</v>
      </c>
      <c r="P6" s="457"/>
    </row>
    <row r="7" spans="1:17" ht="15">
      <c r="A7" s="18" t="s">
        <v>18</v>
      </c>
      <c r="B7" s="19"/>
      <c r="C7" s="19"/>
      <c r="D7" s="335"/>
      <c r="E7" s="336">
        <f>SUM(F7:J7)</f>
        <v>0</v>
      </c>
      <c r="F7" s="337"/>
      <c r="G7" s="337"/>
      <c r="H7" s="337"/>
      <c r="I7" s="337"/>
      <c r="J7" s="390"/>
      <c r="K7" s="386"/>
      <c r="L7" s="386"/>
      <c r="M7" s="386"/>
      <c r="N7" s="458"/>
      <c r="O7" s="459"/>
      <c r="P7" s="457"/>
    </row>
    <row r="8" spans="1:17">
      <c r="A8" s="18" t="s">
        <v>19</v>
      </c>
      <c r="B8" s="19"/>
      <c r="C8" s="19"/>
      <c r="D8" s="335"/>
      <c r="E8" s="336">
        <f>SUM(F8:J8)</f>
        <v>0</v>
      </c>
      <c r="F8" s="77"/>
      <c r="G8" s="77"/>
      <c r="H8" s="77"/>
      <c r="I8" s="77"/>
      <c r="J8" s="389"/>
      <c r="K8" s="460"/>
      <c r="L8" s="460"/>
      <c r="M8" s="460"/>
      <c r="N8" s="461"/>
      <c r="O8" s="459"/>
      <c r="P8" s="462"/>
    </row>
    <row r="9" spans="1:17">
      <c r="A9" s="18" t="s">
        <v>20</v>
      </c>
      <c r="B9" s="19">
        <f>108077+85467+113186+113042+116756+109995+110509+101300+92745+107226+101895+113016</f>
        <v>1273214</v>
      </c>
      <c r="C9" s="19">
        <v>1058303</v>
      </c>
      <c r="D9" s="335">
        <f>195272+119565+111251+124577+111240+113765+121727+107555+127919</f>
        <v>1132871</v>
      </c>
      <c r="E9" s="336">
        <f t="shared" ref="E9:E11" si="1">SUM(F9:J9)</f>
        <v>127919</v>
      </c>
      <c r="F9" s="77">
        <v>43429</v>
      </c>
      <c r="G9" s="77">
        <v>46854</v>
      </c>
      <c r="H9" s="77">
        <v>19654</v>
      </c>
      <c r="I9" s="77">
        <v>17982</v>
      </c>
      <c r="J9" s="390"/>
      <c r="K9" s="386"/>
      <c r="L9" s="386"/>
      <c r="M9" s="460"/>
      <c r="N9" s="461"/>
      <c r="O9" s="459">
        <f t="shared" ref="O9:O69" si="2">+D9/C9</f>
        <v>1.0704599722385744</v>
      </c>
      <c r="P9" s="463"/>
      <c r="Q9" s="525"/>
    </row>
    <row r="10" spans="1:17" ht="15.6">
      <c r="A10" s="338" t="s">
        <v>135</v>
      </c>
      <c r="B10" s="339">
        <v>0</v>
      </c>
      <c r="C10" s="340">
        <v>0</v>
      </c>
      <c r="D10" s="341">
        <f>111446+37016</f>
        <v>148462</v>
      </c>
      <c r="E10" s="342">
        <f t="shared" si="1"/>
        <v>37016</v>
      </c>
      <c r="F10" s="343">
        <v>16650</v>
      </c>
      <c r="G10" s="343">
        <v>19863</v>
      </c>
      <c r="H10" s="343"/>
      <c r="I10" s="343"/>
      <c r="J10" s="343">
        <v>503</v>
      </c>
      <c r="K10" s="464">
        <v>7734</v>
      </c>
      <c r="L10" s="464">
        <f>9083</f>
        <v>9083</v>
      </c>
      <c r="M10" s="464">
        <v>530</v>
      </c>
      <c r="N10" s="465">
        <v>2150</v>
      </c>
      <c r="O10" s="459"/>
      <c r="P10" s="463"/>
      <c r="Q10" s="525"/>
    </row>
    <row r="11" spans="1:17">
      <c r="A11" s="344" t="s">
        <v>21</v>
      </c>
      <c r="B11" s="19">
        <f>148719+103732+138638+114388+149772+144287+154524+162231+134683+114242+101779+138292</f>
        <v>1605287</v>
      </c>
      <c r="C11" s="19">
        <v>1365216</v>
      </c>
      <c r="D11" s="345">
        <f>131015+78250+105874+111968+99207+123596+111773+110146+91651+118422</f>
        <v>1081902</v>
      </c>
      <c r="E11" s="346">
        <f t="shared" si="1"/>
        <v>118422</v>
      </c>
      <c r="F11" s="347">
        <v>63061</v>
      </c>
      <c r="G11" s="347">
        <v>55361</v>
      </c>
      <c r="H11" s="348"/>
      <c r="I11" s="348"/>
      <c r="J11" s="389"/>
      <c r="K11" s="460">
        <f>5717+6046</f>
        <v>11763</v>
      </c>
      <c r="L11" s="460">
        <f>1724+743</f>
        <v>2467</v>
      </c>
      <c r="M11" s="460"/>
      <c r="N11" s="74"/>
      <c r="O11" s="459">
        <f t="shared" si="2"/>
        <v>0.79247679488081002</v>
      </c>
      <c r="P11" s="462"/>
      <c r="Q11" s="525"/>
    </row>
    <row r="12" spans="1:17">
      <c r="A12" s="18" t="s">
        <v>22</v>
      </c>
      <c r="B12" s="19"/>
      <c r="C12" s="19"/>
      <c r="D12" s="349">
        <v>3147</v>
      </c>
      <c r="E12" s="336">
        <v>138</v>
      </c>
      <c r="F12" s="77"/>
      <c r="G12" s="77"/>
      <c r="H12" s="77"/>
      <c r="I12" s="77"/>
      <c r="J12" s="389"/>
      <c r="K12" s="460"/>
      <c r="L12" s="460"/>
      <c r="M12" s="460"/>
      <c r="N12" s="461"/>
      <c r="O12" s="459"/>
      <c r="P12" s="463"/>
      <c r="Q12" s="525"/>
    </row>
    <row r="13" spans="1:17">
      <c r="A13" s="344" t="s">
        <v>23</v>
      </c>
      <c r="B13" s="19">
        <f>39231+38035+45839+55212+55252+51874+53719+51193+43893+46338+47055+45738</f>
        <v>573379</v>
      </c>
      <c r="C13" s="19">
        <v>480586</v>
      </c>
      <c r="D13" s="349">
        <f>74332+41587+36538+49878+32546+31277+34151+28168+37725</f>
        <v>366202</v>
      </c>
      <c r="E13" s="336">
        <f>SUM(F13:J13)</f>
        <v>37725</v>
      </c>
      <c r="F13" s="77">
        <v>18042</v>
      </c>
      <c r="G13" s="77">
        <v>18087</v>
      </c>
      <c r="H13" s="77">
        <v>866</v>
      </c>
      <c r="I13" s="77">
        <v>730</v>
      </c>
      <c r="J13" s="389"/>
      <c r="K13" s="460"/>
      <c r="L13" s="460"/>
      <c r="M13" s="460"/>
      <c r="N13" s="461"/>
      <c r="O13" s="459">
        <f t="shared" si="2"/>
        <v>0.76199056984597968</v>
      </c>
      <c r="P13" s="462"/>
      <c r="Q13" s="525"/>
    </row>
    <row r="14" spans="1:17">
      <c r="A14" s="350" t="s">
        <v>24</v>
      </c>
      <c r="B14" s="19">
        <v>0</v>
      </c>
      <c r="C14" s="19"/>
      <c r="D14" s="349">
        <v>319798</v>
      </c>
      <c r="E14" s="336">
        <v>39874</v>
      </c>
      <c r="F14" s="77"/>
      <c r="G14" s="77"/>
      <c r="H14" s="77"/>
      <c r="I14" s="77"/>
      <c r="J14" s="389"/>
      <c r="K14" s="460"/>
      <c r="L14" s="460"/>
      <c r="M14" s="460"/>
      <c r="N14" s="461"/>
      <c r="O14" s="459"/>
      <c r="P14" s="463"/>
      <c r="Q14" s="525"/>
    </row>
    <row r="15" spans="1:17">
      <c r="A15" s="35" t="s">
        <v>25</v>
      </c>
      <c r="B15" s="19">
        <f>107401+71667+97692+112321+100543+91682+100061+119410+112186+136804+148168+145637</f>
        <v>1343572</v>
      </c>
      <c r="C15" s="19">
        <v>1049867</v>
      </c>
      <c r="D15" s="335">
        <f>1255391</f>
        <v>1255391</v>
      </c>
      <c r="E15" s="336">
        <f>SUM(F15:J15)</f>
        <v>137721</v>
      </c>
      <c r="F15" s="351">
        <v>67028</v>
      </c>
      <c r="G15" s="351">
        <v>60004</v>
      </c>
      <c r="H15" s="351">
        <v>5002</v>
      </c>
      <c r="I15" s="351">
        <v>5687</v>
      </c>
      <c r="J15" s="466"/>
      <c r="K15" s="300">
        <f>14267+11082+611+1118</f>
        <v>27078</v>
      </c>
      <c r="L15" s="300">
        <f>1015+4796+145+131</f>
        <v>6087</v>
      </c>
      <c r="M15" s="300"/>
      <c r="N15" s="83">
        <v>3040</v>
      </c>
      <c r="O15" s="459"/>
      <c r="P15" s="462"/>
      <c r="Q15" s="525"/>
    </row>
    <row r="16" spans="1:17">
      <c r="A16" s="350" t="s">
        <v>26</v>
      </c>
      <c r="B16" s="19">
        <f>5818+3471+4879+3146+1868+3203+3535+2520+3649+3073+2995+3507</f>
        <v>41664</v>
      </c>
      <c r="C16" s="19">
        <v>35162</v>
      </c>
      <c r="D16" s="335">
        <v>39088</v>
      </c>
      <c r="E16" s="336">
        <v>6063</v>
      </c>
      <c r="F16" s="77"/>
      <c r="G16" s="77"/>
      <c r="H16" s="77"/>
      <c r="I16" s="77"/>
      <c r="J16" s="389"/>
      <c r="K16" s="467"/>
      <c r="L16" s="460"/>
      <c r="M16" s="460"/>
      <c r="N16" s="461"/>
      <c r="O16" s="459">
        <f t="shared" si="2"/>
        <v>1.1116546271543144</v>
      </c>
      <c r="P16" s="468"/>
      <c r="Q16" s="525"/>
    </row>
    <row r="17" spans="1:17">
      <c r="A17" s="18" t="s">
        <v>27</v>
      </c>
      <c r="B17" s="19">
        <f>528</f>
        <v>528</v>
      </c>
      <c r="C17" s="19">
        <v>528</v>
      </c>
      <c r="D17" s="335">
        <v>4226</v>
      </c>
      <c r="E17" s="336">
        <v>1079</v>
      </c>
      <c r="F17" s="77"/>
      <c r="G17" s="77"/>
      <c r="H17" s="77"/>
      <c r="I17" s="77"/>
      <c r="J17" s="389"/>
      <c r="K17" s="386"/>
      <c r="L17" s="467"/>
      <c r="M17" s="460"/>
      <c r="N17" s="461"/>
      <c r="O17" s="459">
        <f t="shared" si="2"/>
        <v>8.0037878787878789</v>
      </c>
      <c r="P17" s="468"/>
      <c r="Q17" s="525"/>
    </row>
    <row r="18" spans="1:17">
      <c r="A18" s="352" t="s">
        <v>28</v>
      </c>
      <c r="B18" s="284">
        <f>127397+11642</f>
        <v>139039</v>
      </c>
      <c r="C18" s="285">
        <v>127397</v>
      </c>
      <c r="D18" s="353">
        <f>19907+16036+17100+18000+13965+16816+21546+15500+19650</f>
        <v>158520</v>
      </c>
      <c r="E18" s="354">
        <v>19650</v>
      </c>
      <c r="F18" s="355"/>
      <c r="G18" s="355"/>
      <c r="H18" s="355"/>
      <c r="I18" s="355"/>
      <c r="J18" s="355"/>
      <c r="K18" s="269"/>
      <c r="L18" s="269"/>
      <c r="M18" s="269"/>
      <c r="N18" s="469"/>
      <c r="O18" s="459">
        <f t="shared" si="2"/>
        <v>1.2442993163104312</v>
      </c>
      <c r="P18" s="470"/>
      <c r="Q18" s="526"/>
    </row>
    <row r="19" spans="1:17" ht="15.6">
      <c r="A19" s="356" t="s">
        <v>29</v>
      </c>
      <c r="B19" s="357">
        <f>534688+54911+55025</f>
        <v>644624</v>
      </c>
      <c r="C19" s="357">
        <v>470059</v>
      </c>
      <c r="D19" s="358">
        <v>591853</v>
      </c>
      <c r="E19" s="359">
        <v>56422</v>
      </c>
      <c r="F19" s="360"/>
      <c r="G19" s="360"/>
      <c r="H19" s="360"/>
      <c r="I19" s="360"/>
      <c r="J19" s="360"/>
      <c r="K19" s="471"/>
      <c r="L19" s="471"/>
      <c r="M19" s="471"/>
      <c r="N19" s="472"/>
      <c r="O19" s="473"/>
      <c r="P19" s="474"/>
      <c r="Q19" s="474"/>
    </row>
    <row r="20" spans="1:17" ht="15.6">
      <c r="A20" s="361" t="s">
        <v>30</v>
      </c>
      <c r="B20" s="362">
        <f>228437+18717+26622</f>
        <v>273776</v>
      </c>
      <c r="C20" s="362">
        <v>189056</v>
      </c>
      <c r="D20" s="363">
        <v>205666</v>
      </c>
      <c r="E20" s="364">
        <v>19867</v>
      </c>
      <c r="F20" s="365"/>
      <c r="G20" s="365"/>
      <c r="H20" s="365"/>
      <c r="I20" s="365"/>
      <c r="J20" s="365"/>
      <c r="K20" s="475"/>
      <c r="L20" s="475"/>
      <c r="M20" s="475"/>
      <c r="N20" s="476"/>
      <c r="O20" s="473"/>
      <c r="P20" s="477"/>
      <c r="Q20" s="527"/>
    </row>
    <row r="21" spans="1:17" ht="15.6">
      <c r="A21" s="361" t="s">
        <v>31</v>
      </c>
      <c r="B21" s="362">
        <f>76626+5290+8224</f>
        <v>90140</v>
      </c>
      <c r="C21" s="362">
        <v>81690</v>
      </c>
      <c r="D21" s="363">
        <v>55266</v>
      </c>
      <c r="E21" s="366">
        <v>4481</v>
      </c>
      <c r="F21" s="367"/>
      <c r="G21" s="367"/>
      <c r="H21" s="367"/>
      <c r="I21" s="367"/>
      <c r="J21" s="367"/>
      <c r="K21" s="478"/>
      <c r="L21" s="478"/>
      <c r="M21" s="478"/>
      <c r="N21" s="479"/>
      <c r="O21" s="473"/>
      <c r="P21" s="480"/>
    </row>
    <row r="22" spans="1:17" ht="15.6">
      <c r="A22" s="361" t="s">
        <v>32</v>
      </c>
      <c r="B22" s="362">
        <v>483790</v>
      </c>
      <c r="C22" s="362">
        <v>292113</v>
      </c>
      <c r="D22" s="363">
        <v>378692</v>
      </c>
      <c r="E22" s="366">
        <v>30539</v>
      </c>
      <c r="F22" s="367"/>
      <c r="G22" s="367"/>
      <c r="H22" s="367"/>
      <c r="I22" s="367"/>
      <c r="J22" s="367"/>
      <c r="K22" s="478"/>
      <c r="L22" s="478"/>
      <c r="M22" s="478"/>
      <c r="N22" s="479"/>
      <c r="O22" s="473"/>
      <c r="P22" s="480"/>
    </row>
    <row r="23" spans="1:17" ht="15.6">
      <c r="A23" s="361" t="s">
        <v>33</v>
      </c>
      <c r="B23" s="362">
        <f>159887+13631+13177</f>
        <v>186695</v>
      </c>
      <c r="C23" s="362">
        <v>122036</v>
      </c>
      <c r="D23" s="363">
        <v>119906</v>
      </c>
      <c r="E23" s="366">
        <v>11535</v>
      </c>
      <c r="F23" s="367"/>
      <c r="G23" s="367"/>
      <c r="H23" s="367"/>
      <c r="I23" s="367"/>
      <c r="J23" s="367"/>
      <c r="K23" s="478"/>
      <c r="L23" s="478"/>
      <c r="M23" s="478"/>
      <c r="N23" s="479"/>
      <c r="O23" s="473"/>
      <c r="P23" s="480"/>
    </row>
    <row r="24" spans="1:17" ht="15.6">
      <c r="A24" s="361" t="s">
        <v>34</v>
      </c>
      <c r="B24" s="362">
        <f>199276+27729+38601</f>
        <v>265606</v>
      </c>
      <c r="C24" s="362">
        <v>222249</v>
      </c>
      <c r="D24" s="363">
        <v>319798</v>
      </c>
      <c r="E24" s="366">
        <v>39874</v>
      </c>
      <c r="F24" s="367"/>
      <c r="G24" s="367"/>
      <c r="H24" s="367"/>
      <c r="I24" s="367"/>
      <c r="J24" s="367"/>
      <c r="K24" s="478"/>
      <c r="L24" s="478"/>
      <c r="M24" s="478"/>
      <c r="N24" s="479"/>
      <c r="O24" s="473"/>
      <c r="P24" s="480"/>
    </row>
    <row r="25" spans="1:17" ht="15.6">
      <c r="A25" s="368" t="s">
        <v>35</v>
      </c>
      <c r="B25" s="369">
        <v>169502</v>
      </c>
      <c r="C25" s="369"/>
      <c r="D25" s="370">
        <v>133928</v>
      </c>
      <c r="E25" s="371">
        <v>9331</v>
      </c>
      <c r="F25" s="367"/>
      <c r="G25" s="367"/>
      <c r="H25" s="367"/>
      <c r="I25" s="367"/>
      <c r="J25" s="367"/>
      <c r="K25" s="478"/>
      <c r="L25" s="478"/>
      <c r="M25" s="478"/>
      <c r="N25" s="479"/>
      <c r="O25" s="473"/>
      <c r="P25" s="480"/>
    </row>
    <row r="26" spans="1:17" ht="15.6">
      <c r="A26" s="368" t="s">
        <v>121</v>
      </c>
      <c r="B26" s="372">
        <v>0</v>
      </c>
      <c r="C26" s="372"/>
      <c r="D26" s="373">
        <v>625408</v>
      </c>
      <c r="E26" s="371">
        <v>69371</v>
      </c>
      <c r="F26" s="374"/>
      <c r="G26" s="374"/>
      <c r="H26" s="374"/>
      <c r="I26" s="374"/>
      <c r="J26" s="374"/>
      <c r="K26" s="481"/>
      <c r="L26" s="481"/>
      <c r="M26" s="481"/>
      <c r="N26" s="482"/>
      <c r="O26" s="473"/>
      <c r="P26" s="480"/>
    </row>
    <row r="27" spans="1:17" ht="15.6">
      <c r="A27" s="361" t="s">
        <v>142</v>
      </c>
      <c r="B27" s="375">
        <f>29509+14652+23209+24242+23009+26529+25218+28150+30612+24870+21148+23890</f>
        <v>295038</v>
      </c>
      <c r="C27" s="375">
        <v>250000</v>
      </c>
      <c r="D27" s="376">
        <v>225080</v>
      </c>
      <c r="E27" s="377">
        <v>23586</v>
      </c>
      <c r="F27" s="374"/>
      <c r="G27" s="374"/>
      <c r="H27" s="378">
        <v>11079</v>
      </c>
      <c r="I27" s="378">
        <v>12607</v>
      </c>
      <c r="J27" s="378"/>
      <c r="K27" s="483">
        <f>2893+2949</f>
        <v>5842</v>
      </c>
      <c r="L27" s="483">
        <f>10+288</f>
        <v>298</v>
      </c>
      <c r="M27" s="481"/>
      <c r="N27" s="482"/>
      <c r="O27" s="473">
        <f t="shared" si="2"/>
        <v>0.90032000000000001</v>
      </c>
      <c r="P27" s="480"/>
    </row>
    <row r="28" spans="1:17" ht="15.6">
      <c r="A28" s="379"/>
      <c r="B28" s="63">
        <f>SUM(B19:B27)</f>
        <v>2409171</v>
      </c>
      <c r="C28" s="65">
        <v>1627203</v>
      </c>
      <c r="D28" s="380">
        <v>2655597</v>
      </c>
      <c r="E28" s="381">
        <v>178360.11111111101</v>
      </c>
      <c r="F28" s="378"/>
      <c r="G28" s="378"/>
      <c r="H28" s="378"/>
      <c r="I28" s="378"/>
      <c r="J28" s="378"/>
      <c r="K28" s="483"/>
      <c r="L28" s="483"/>
      <c r="M28" s="481"/>
      <c r="N28" s="482"/>
      <c r="O28" s="473"/>
      <c r="P28" s="480"/>
    </row>
    <row r="29" spans="1:17" ht="15.6">
      <c r="A29" s="382"/>
      <c r="B29" s="383"/>
      <c r="C29" s="383"/>
      <c r="D29" s="384"/>
      <c r="E29" s="385"/>
      <c r="F29" s="386"/>
      <c r="G29" s="386"/>
      <c r="H29" s="386"/>
      <c r="I29" s="386"/>
      <c r="J29" s="386"/>
      <c r="K29" s="386"/>
      <c r="L29" s="386"/>
      <c r="M29" s="386"/>
      <c r="N29" s="484"/>
      <c r="O29" s="459"/>
      <c r="P29" s="480"/>
    </row>
    <row r="30" spans="1:17" ht="15.6">
      <c r="A30" s="72" t="s">
        <v>37</v>
      </c>
      <c r="B30" s="73">
        <f>SUM(B31:B35)</f>
        <v>975868</v>
      </c>
      <c r="C30" s="387">
        <f>SUM(C31:C35)</f>
        <v>798605</v>
      </c>
      <c r="D30" s="334">
        <f>SUM(D31:D35)</f>
        <v>935730</v>
      </c>
      <c r="E30" s="388">
        <f t="shared" ref="E30:E35" si="3">SUM(F30:J30)</f>
        <v>102192</v>
      </c>
      <c r="F30" s="333">
        <f t="shared" ref="F30:N30" si="4">SUM(F31:F35)</f>
        <v>41649</v>
      </c>
      <c r="G30" s="334">
        <f t="shared" si="4"/>
        <v>39208</v>
      </c>
      <c r="H30" s="334">
        <f t="shared" si="4"/>
        <v>10972</v>
      </c>
      <c r="I30" s="334">
        <f t="shared" si="4"/>
        <v>10363</v>
      </c>
      <c r="J30" s="334"/>
      <c r="K30" s="334">
        <f t="shared" si="4"/>
        <v>16109</v>
      </c>
      <c r="L30" s="334">
        <f t="shared" si="4"/>
        <v>4832</v>
      </c>
      <c r="M30" s="334">
        <f t="shared" si="4"/>
        <v>0</v>
      </c>
      <c r="N30" s="485">
        <f t="shared" si="4"/>
        <v>4131</v>
      </c>
      <c r="O30" s="456">
        <f t="shared" si="2"/>
        <v>1.1717056617476724</v>
      </c>
      <c r="P30" s="486"/>
    </row>
    <row r="31" spans="1:17" ht="15">
      <c r="A31" s="18" t="s">
        <v>38</v>
      </c>
      <c r="B31" s="74">
        <f>31848+3560+3666</f>
        <v>39074</v>
      </c>
      <c r="C31" s="298">
        <v>31848</v>
      </c>
      <c r="D31" s="389">
        <f>46707</f>
        <v>46707</v>
      </c>
      <c r="E31" s="336">
        <f t="shared" si="3"/>
        <v>4131</v>
      </c>
      <c r="F31" s="390"/>
      <c r="G31" s="390"/>
      <c r="H31" s="77">
        <v>2249</v>
      </c>
      <c r="I31" s="77">
        <v>1882</v>
      </c>
      <c r="J31" s="337"/>
      <c r="K31" s="460">
        <f>671+669</f>
        <v>1340</v>
      </c>
      <c r="L31" s="460">
        <f>330+21</f>
        <v>351</v>
      </c>
      <c r="M31" s="460"/>
      <c r="N31" s="487">
        <v>4131</v>
      </c>
      <c r="O31" s="459">
        <f t="shared" si="2"/>
        <v>1.4665599095704598</v>
      </c>
      <c r="P31" s="488"/>
    </row>
    <row r="32" spans="1:17" ht="15">
      <c r="A32" s="18" t="s">
        <v>149</v>
      </c>
      <c r="B32" s="74"/>
      <c r="C32" s="298">
        <v>0</v>
      </c>
      <c r="D32" s="389">
        <f>42673+4851</f>
        <v>47524</v>
      </c>
      <c r="E32" s="336">
        <f t="shared" si="3"/>
        <v>4851</v>
      </c>
      <c r="F32" s="391">
        <v>2387</v>
      </c>
      <c r="G32" s="390">
        <v>2464</v>
      </c>
      <c r="H32" s="77">
        <v>0</v>
      </c>
      <c r="I32" s="77"/>
      <c r="J32" s="337"/>
      <c r="K32" s="460">
        <f>671+669</f>
        <v>1340</v>
      </c>
      <c r="L32" s="460">
        <f>330+21</f>
        <v>351</v>
      </c>
      <c r="M32" s="460"/>
      <c r="N32" s="487"/>
      <c r="O32" s="459"/>
      <c r="P32" s="488"/>
    </row>
    <row r="33" spans="1:16" ht="15.6">
      <c r="A33" s="80" t="s">
        <v>39</v>
      </c>
      <c r="B33" s="74">
        <f>64505+48073+62185+62452+59765+64280+67096+71165+61780+66528+63320+71042</f>
        <v>762191</v>
      </c>
      <c r="C33" s="298">
        <v>627829</v>
      </c>
      <c r="D33" s="77">
        <f>122864+65834+68474+77377+68757+73572+78703+65592+72568</f>
        <v>693741</v>
      </c>
      <c r="E33" s="336">
        <f t="shared" si="3"/>
        <v>72568</v>
      </c>
      <c r="F33" s="82">
        <v>29787</v>
      </c>
      <c r="G33" s="82">
        <v>28121</v>
      </c>
      <c r="H33" s="82">
        <v>6409</v>
      </c>
      <c r="I33" s="82">
        <v>8251</v>
      </c>
      <c r="J33" s="337"/>
      <c r="K33" s="467">
        <f>4435+4438+1442+927</f>
        <v>11242</v>
      </c>
      <c r="L33" s="467">
        <f>290+813+121+466</f>
        <v>1690</v>
      </c>
      <c r="M33" s="467"/>
      <c r="N33" s="489"/>
      <c r="O33" s="459">
        <f t="shared" si="2"/>
        <v>1.1049840004204967</v>
      </c>
      <c r="P33" s="490"/>
    </row>
    <row r="34" spans="1:16" ht="15.6">
      <c r="A34" s="80" t="s">
        <v>40</v>
      </c>
      <c r="B34" s="83">
        <f>22490+11900+19473+16591+12914+13370+11563+9278+10032+11317+15030+20645</f>
        <v>174603</v>
      </c>
      <c r="C34" s="300">
        <v>138928</v>
      </c>
      <c r="D34" s="351">
        <f>35860+15843+15535+12262+10916+12135+12744+11821+20642</f>
        <v>147758</v>
      </c>
      <c r="E34" s="336">
        <f t="shared" si="3"/>
        <v>20642</v>
      </c>
      <c r="F34" s="85">
        <v>9475</v>
      </c>
      <c r="G34" s="82">
        <v>8623</v>
      </c>
      <c r="H34" s="82">
        <v>2314</v>
      </c>
      <c r="I34" s="82">
        <v>230</v>
      </c>
      <c r="J34" s="491"/>
      <c r="K34" s="467">
        <f>316+1814+57</f>
        <v>2187</v>
      </c>
      <c r="L34" s="467">
        <f>1819+15+495+111</f>
        <v>2440</v>
      </c>
      <c r="M34" s="298"/>
      <c r="N34" s="492"/>
      <c r="O34" s="459">
        <f t="shared" si="2"/>
        <v>1.0635581020384659</v>
      </c>
      <c r="P34" s="490"/>
    </row>
    <row r="35" spans="1:16" ht="15.6">
      <c r="A35" s="80" t="s">
        <v>41</v>
      </c>
      <c r="B35" s="19"/>
      <c r="C35" s="86"/>
      <c r="D35" s="392"/>
      <c r="E35" s="336">
        <f t="shared" si="3"/>
        <v>0</v>
      </c>
      <c r="F35" s="77"/>
      <c r="G35" s="77"/>
      <c r="H35" s="77"/>
      <c r="I35" s="77"/>
      <c r="J35" s="77"/>
      <c r="K35" s="460"/>
      <c r="L35" s="460"/>
      <c r="M35" s="460"/>
      <c r="N35" s="487"/>
      <c r="O35" s="459"/>
      <c r="P35" s="490"/>
    </row>
    <row r="36" spans="1:16" ht="15.6">
      <c r="A36" s="80"/>
      <c r="B36" s="393"/>
      <c r="C36" s="394"/>
      <c r="D36" s="395"/>
      <c r="E36" s="396"/>
      <c r="F36" s="397"/>
      <c r="G36" s="397"/>
      <c r="H36" s="397"/>
      <c r="I36" s="397"/>
      <c r="J36" s="397"/>
      <c r="K36" s="493"/>
      <c r="L36" s="493"/>
      <c r="M36" s="493"/>
      <c r="N36" s="494"/>
      <c r="O36" s="459"/>
      <c r="P36" s="490"/>
    </row>
    <row r="37" spans="1:16" ht="15.6">
      <c r="A37" s="72" t="s">
        <v>42</v>
      </c>
      <c r="B37" s="73">
        <f t="shared" ref="B37:N37" si="5">SUM(B38:B48)</f>
        <v>8566129</v>
      </c>
      <c r="C37" s="387">
        <f t="shared" si="5"/>
        <v>7061167</v>
      </c>
      <c r="D37" s="334">
        <f t="shared" ref="D37" si="6">SUM(D38:D48)</f>
        <v>7797640</v>
      </c>
      <c r="E37" s="388">
        <f t="shared" ref="E37:E49" si="7">SUM(F37:J37)</f>
        <v>841460</v>
      </c>
      <c r="F37" s="334">
        <f t="shared" si="5"/>
        <v>324876</v>
      </c>
      <c r="G37" s="334">
        <f t="shared" si="5"/>
        <v>255205</v>
      </c>
      <c r="H37" s="334">
        <f t="shared" si="5"/>
        <v>84526</v>
      </c>
      <c r="I37" s="334">
        <f t="shared" si="5"/>
        <v>169904</v>
      </c>
      <c r="J37" s="334">
        <f t="shared" si="5"/>
        <v>6949</v>
      </c>
      <c r="K37" s="334">
        <f t="shared" si="5"/>
        <v>143448</v>
      </c>
      <c r="L37" s="334">
        <f t="shared" si="5"/>
        <v>19582</v>
      </c>
      <c r="M37" s="334">
        <f t="shared" si="5"/>
        <v>2411</v>
      </c>
      <c r="N37" s="332">
        <f t="shared" si="5"/>
        <v>93773</v>
      </c>
      <c r="O37" s="456">
        <f t="shared" si="2"/>
        <v>1.1042990485850286</v>
      </c>
      <c r="P37" s="447"/>
    </row>
    <row r="38" spans="1:16" ht="15.6">
      <c r="A38" s="18" t="s">
        <v>43</v>
      </c>
      <c r="B38" s="19">
        <f>176793+71526+59980+65204+71423+79211+71917+76068+84439+81079</f>
        <v>837640</v>
      </c>
      <c r="C38" s="86">
        <v>672122</v>
      </c>
      <c r="D38" s="392">
        <f>141659+76024+81669+80656+83401+82771+90144+86739+86664</f>
        <v>809727</v>
      </c>
      <c r="E38" s="336">
        <f>SUM(H38:J38)</f>
        <v>86664</v>
      </c>
      <c r="F38" s="398"/>
      <c r="G38" s="398"/>
      <c r="H38" s="77">
        <v>23292</v>
      </c>
      <c r="I38" s="77">
        <v>63372</v>
      </c>
      <c r="J38" s="77"/>
      <c r="K38" s="495">
        <f>22+1430</f>
        <v>1452</v>
      </c>
      <c r="L38" s="495">
        <f>122</f>
        <v>122</v>
      </c>
      <c r="M38" s="495"/>
      <c r="N38" s="496"/>
      <c r="O38" s="459">
        <f t="shared" si="2"/>
        <v>1.2047321765988912</v>
      </c>
      <c r="P38" s="490"/>
    </row>
    <row r="39" spans="1:16" ht="15.6">
      <c r="A39" s="18" t="s">
        <v>44</v>
      </c>
      <c r="B39" s="19">
        <f>315296+56739+61665+55007+62647+65661+65065</f>
        <v>682080</v>
      </c>
      <c r="C39" s="86">
        <v>551354</v>
      </c>
      <c r="D39" s="399">
        <f>104618+64282+60352+64355+61155+69820+67741+61649+65796</f>
        <v>619768</v>
      </c>
      <c r="E39" s="336">
        <f>SUM(H39:J39)</f>
        <v>65836</v>
      </c>
      <c r="F39" s="390"/>
      <c r="G39" s="390"/>
      <c r="H39" s="337">
        <v>9492</v>
      </c>
      <c r="I39" s="337">
        <v>56344</v>
      </c>
      <c r="J39" s="77"/>
      <c r="K39" s="460">
        <f>16+1501</f>
        <v>1517</v>
      </c>
      <c r="L39" s="497">
        <f>54+175</f>
        <v>229</v>
      </c>
      <c r="M39" s="497"/>
      <c r="N39" s="498">
        <v>65796</v>
      </c>
      <c r="O39" s="459">
        <f t="shared" si="2"/>
        <v>1.1240836195982979</v>
      </c>
      <c r="P39" s="490"/>
    </row>
    <row r="40" spans="1:16" ht="15.6">
      <c r="A40" s="18" t="s">
        <v>128</v>
      </c>
      <c r="B40" s="19">
        <v>0</v>
      </c>
      <c r="C40" s="86">
        <v>0</v>
      </c>
      <c r="D40" s="399">
        <f>169980+39843</f>
        <v>209823</v>
      </c>
      <c r="E40" s="336">
        <f t="shared" si="7"/>
        <v>39843</v>
      </c>
      <c r="F40" s="337">
        <v>17403</v>
      </c>
      <c r="G40" s="337">
        <v>15620</v>
      </c>
      <c r="H40" s="400"/>
      <c r="I40" s="400">
        <v>0</v>
      </c>
      <c r="J40" s="400">
        <v>6820</v>
      </c>
      <c r="K40" s="499">
        <f>3100+5300+1405</f>
        <v>9805</v>
      </c>
      <c r="L40" s="499">
        <f>903</f>
        <v>903</v>
      </c>
      <c r="M40" s="497">
        <v>1400</v>
      </c>
      <c r="N40" s="498">
        <v>25324</v>
      </c>
      <c r="O40" s="459"/>
      <c r="P40" s="500"/>
    </row>
    <row r="41" spans="1:16" ht="15.6">
      <c r="A41" s="80" t="s">
        <v>45</v>
      </c>
      <c r="B41" s="96">
        <f>20214+11681+23581+25619+22301+21824+20127+19528+19926+20275+23052+20682</f>
        <v>248810</v>
      </c>
      <c r="C41" s="301">
        <v>205075</v>
      </c>
      <c r="D41" s="351">
        <f>35539+25020+25012+26281+22284+23157+20948+19597+31370</f>
        <v>229208</v>
      </c>
      <c r="E41" s="336">
        <f>SUM(H41:J41)</f>
        <v>31370</v>
      </c>
      <c r="F41" s="390"/>
      <c r="G41" s="390"/>
      <c r="H41" s="77">
        <v>16072</v>
      </c>
      <c r="I41" s="77">
        <v>15298</v>
      </c>
      <c r="J41" s="501"/>
      <c r="K41" s="502">
        <f>3175+2998</f>
        <v>6173</v>
      </c>
      <c r="L41" s="460">
        <f>455+392</f>
        <v>847</v>
      </c>
      <c r="M41" s="460">
        <v>561</v>
      </c>
      <c r="N41" s="487"/>
      <c r="O41" s="459">
        <f t="shared" si="2"/>
        <v>1.1176788979641594</v>
      </c>
      <c r="P41" s="490"/>
    </row>
    <row r="42" spans="1:16" ht="15.6">
      <c r="A42" s="80" t="s">
        <v>46</v>
      </c>
      <c r="B42" s="97">
        <f>36191+20920+29070+23929+27875+30427+28473+27605+28149+32945+33352+27283</f>
        <v>346219</v>
      </c>
      <c r="C42" s="302">
        <v>285584</v>
      </c>
      <c r="D42" s="82">
        <f>42541+28883+28001+23533+23137+31624+30682+26896+34161</f>
        <v>269458</v>
      </c>
      <c r="E42" s="336">
        <f t="shared" si="7"/>
        <v>34161</v>
      </c>
      <c r="F42" s="390"/>
      <c r="G42" s="390"/>
      <c r="H42" s="401">
        <v>17447</v>
      </c>
      <c r="I42" s="390">
        <v>16714</v>
      </c>
      <c r="J42" s="337"/>
      <c r="K42" s="460">
        <f>5309+5314</f>
        <v>10623</v>
      </c>
      <c r="L42" s="460">
        <f>220+164</f>
        <v>384</v>
      </c>
      <c r="M42" s="460">
        <v>450</v>
      </c>
      <c r="N42" s="487">
        <v>81</v>
      </c>
      <c r="O42" s="459">
        <f t="shared" si="2"/>
        <v>0.94353325116253006</v>
      </c>
      <c r="P42" s="490"/>
    </row>
    <row r="43" spans="1:16" ht="15.6">
      <c r="A43" s="80" t="s">
        <v>47</v>
      </c>
      <c r="B43" s="97">
        <f>12008+9467+14763+14113+14691+14606+10209+8082+10081+11470+13518+17152</f>
        <v>150160</v>
      </c>
      <c r="C43" s="302">
        <v>119490</v>
      </c>
      <c r="D43" s="100">
        <v>265227</v>
      </c>
      <c r="E43" s="336">
        <f t="shared" si="7"/>
        <v>26851</v>
      </c>
      <c r="F43" s="77">
        <v>12421</v>
      </c>
      <c r="G43" s="77">
        <v>14301</v>
      </c>
      <c r="H43" s="77"/>
      <c r="I43" s="77"/>
      <c r="J43" s="77">
        <v>129</v>
      </c>
      <c r="K43" s="460">
        <f>3745+3244+97</f>
        <v>7086</v>
      </c>
      <c r="L43" s="460">
        <f>22+941+0</f>
        <v>963</v>
      </c>
      <c r="M43" s="460"/>
      <c r="N43" s="487"/>
      <c r="O43" s="459">
        <f t="shared" si="2"/>
        <v>2.2196585488325384</v>
      </c>
      <c r="P43" s="490"/>
    </row>
    <row r="44" spans="1:16" ht="15.6">
      <c r="A44" s="80" t="s">
        <v>48</v>
      </c>
      <c r="B44" s="97">
        <f>492323+373517+489518+501319+498148+483300+509517+496996+483525+491240+487179+505109</f>
        <v>5811691</v>
      </c>
      <c r="C44" s="302">
        <v>4819403</v>
      </c>
      <c r="D44" s="82">
        <f>890002+542749+505450+501865+511958+508971+512557+491530+514214</f>
        <v>4979296</v>
      </c>
      <c r="E44" s="336">
        <f t="shared" si="7"/>
        <v>514214</v>
      </c>
      <c r="F44" s="77">
        <v>292405</v>
      </c>
      <c r="G44" s="77">
        <f>221809</f>
        <v>221809</v>
      </c>
      <c r="H44" s="77"/>
      <c r="I44" s="337"/>
      <c r="J44" s="77"/>
      <c r="K44" s="467">
        <f>45879+60471</f>
        <v>106350</v>
      </c>
      <c r="L44" s="467">
        <f>3494+12192</f>
        <v>15686</v>
      </c>
      <c r="M44" s="460"/>
      <c r="N44" s="487"/>
      <c r="O44" s="459">
        <f t="shared" si="2"/>
        <v>1.0331769308356242</v>
      </c>
      <c r="P44" s="490"/>
    </row>
    <row r="45" spans="1:16" ht="15.6">
      <c r="A45" s="80" t="s">
        <v>49</v>
      </c>
      <c r="B45" s="97">
        <f>41444+27037+39698+37856+42480+38521+41958+41846+36877+41203+36023+42811</f>
        <v>467754</v>
      </c>
      <c r="C45" s="302">
        <v>388920</v>
      </c>
      <c r="D45" s="402">
        <f>400483</f>
        <v>400483</v>
      </c>
      <c r="E45" s="336">
        <f t="shared" si="7"/>
        <v>39667</v>
      </c>
      <c r="F45" s="403">
        <v>1126</v>
      </c>
      <c r="G45" s="403">
        <v>2142</v>
      </c>
      <c r="H45" s="403">
        <v>18223</v>
      </c>
      <c r="I45" s="403">
        <v>18176</v>
      </c>
      <c r="J45" s="400"/>
      <c r="K45" s="497"/>
      <c r="L45" s="497"/>
      <c r="M45" s="497"/>
      <c r="N45" s="498"/>
      <c r="O45" s="459">
        <f t="shared" si="2"/>
        <v>1.0297310500874215</v>
      </c>
      <c r="P45" s="490"/>
    </row>
    <row r="46" spans="1:16" ht="15.6">
      <c r="A46" s="80" t="s">
        <v>50</v>
      </c>
      <c r="B46" s="74"/>
      <c r="C46" s="298">
        <v>0</v>
      </c>
      <c r="D46" s="400"/>
      <c r="E46" s="336">
        <f t="shared" si="7"/>
        <v>0</v>
      </c>
      <c r="F46" s="400"/>
      <c r="G46" s="400"/>
      <c r="H46" s="400"/>
      <c r="I46" s="400"/>
      <c r="J46" s="400"/>
      <c r="K46" s="497"/>
      <c r="L46" s="497"/>
      <c r="M46" s="497"/>
      <c r="N46" s="498"/>
      <c r="O46" s="459"/>
      <c r="P46" s="500"/>
    </row>
    <row r="47" spans="1:16" ht="15.6">
      <c r="A47" s="80" t="s">
        <v>51</v>
      </c>
      <c r="B47" s="105">
        <f>1591+185+300+228+282+250+254+222+245+289+277+286</f>
        <v>4409</v>
      </c>
      <c r="C47" s="303">
        <v>3846</v>
      </c>
      <c r="D47" s="404">
        <f>571+277+257+232+206+265+308+287+320</f>
        <v>2723</v>
      </c>
      <c r="E47" s="336">
        <f t="shared" si="7"/>
        <v>320</v>
      </c>
      <c r="F47" s="400">
        <v>154</v>
      </c>
      <c r="G47" s="400">
        <v>166</v>
      </c>
      <c r="H47" s="400"/>
      <c r="I47" s="400"/>
      <c r="J47" s="400"/>
      <c r="K47" s="497">
        <f>166</f>
        <v>166</v>
      </c>
      <c r="L47" s="497">
        <v>154</v>
      </c>
      <c r="M47" s="497"/>
      <c r="N47" s="498">
        <v>38</v>
      </c>
      <c r="O47" s="459">
        <f t="shared" si="2"/>
        <v>0.70800832033281336</v>
      </c>
      <c r="P47" s="490"/>
    </row>
    <row r="48" spans="1:16" ht="15.6">
      <c r="A48" s="107" t="s">
        <v>52</v>
      </c>
      <c r="B48" s="108">
        <f>5554+2707+1759+1797+950+1036+1570+888+1105</f>
        <v>17366</v>
      </c>
      <c r="C48" s="303">
        <v>15373</v>
      </c>
      <c r="D48" s="82">
        <f>2295+1345+583+1118+1050+991+910+1101+2534</f>
        <v>11927</v>
      </c>
      <c r="E48" s="405">
        <f t="shared" si="7"/>
        <v>2534</v>
      </c>
      <c r="F48" s="406">
        <v>1367</v>
      </c>
      <c r="G48" s="406">
        <v>1167</v>
      </c>
      <c r="H48" s="406"/>
      <c r="I48" s="406"/>
      <c r="J48" s="503"/>
      <c r="K48" s="504">
        <f>49+227</f>
        <v>276</v>
      </c>
      <c r="L48" s="505">
        <f>294</f>
        <v>294</v>
      </c>
      <c r="M48" s="505"/>
      <c r="N48" s="506">
        <v>2534</v>
      </c>
      <c r="O48" s="459">
        <f t="shared" si="2"/>
        <v>0.7758407597736291</v>
      </c>
      <c r="P48" s="490"/>
    </row>
    <row r="49" spans="1:17" ht="15.6">
      <c r="A49" s="407" t="s">
        <v>53</v>
      </c>
      <c r="B49" s="408">
        <f>43919+38655+49389+49920+41452+46211+54147+61115+45816+53985+53251+54204</f>
        <v>592064</v>
      </c>
      <c r="C49" s="409">
        <v>484510</v>
      </c>
      <c r="D49" s="410">
        <f>46498+25145+53554+45477+47222+51070+47167+41808+32662+49246</f>
        <v>439849</v>
      </c>
      <c r="E49" s="411">
        <f t="shared" si="7"/>
        <v>49246</v>
      </c>
      <c r="F49" s="412">
        <f>28312</f>
        <v>28312</v>
      </c>
      <c r="G49" s="412">
        <v>19601</v>
      </c>
      <c r="H49" s="412"/>
      <c r="I49" s="507"/>
      <c r="J49" s="412">
        <v>1333</v>
      </c>
      <c r="K49" s="508">
        <f>4143+4543+241</f>
        <v>8927</v>
      </c>
      <c r="L49" s="508">
        <f>613+222+386</f>
        <v>1221</v>
      </c>
      <c r="M49" s="509"/>
      <c r="N49" s="510">
        <v>2291</v>
      </c>
      <c r="O49" s="473">
        <f t="shared" si="2"/>
        <v>0.90782233596829787</v>
      </c>
      <c r="P49" s="511"/>
    </row>
    <row r="50" spans="1:17">
      <c r="A50" s="80"/>
      <c r="B50" s="413"/>
      <c r="C50" s="414"/>
      <c r="D50" s="414"/>
      <c r="E50" s="415"/>
      <c r="F50" s="416"/>
      <c r="G50" s="416"/>
      <c r="H50" s="416"/>
      <c r="I50" s="416"/>
      <c r="J50" s="416"/>
      <c r="K50" s="512"/>
      <c r="L50" s="512"/>
      <c r="M50" s="512"/>
      <c r="N50" s="513"/>
      <c r="O50" s="459"/>
      <c r="P50" s="514"/>
    </row>
    <row r="51" spans="1:17" ht="15.6">
      <c r="A51" s="72" t="s">
        <v>54</v>
      </c>
      <c r="B51" s="73">
        <f t="shared" ref="B51:I51" si="8">SUM(B52:B58)</f>
        <v>4719935</v>
      </c>
      <c r="C51" s="387">
        <f t="shared" si="8"/>
        <v>3863644</v>
      </c>
      <c r="D51" s="334">
        <f t="shared" ref="D51" si="9">SUM(D52:D58)</f>
        <v>4703559</v>
      </c>
      <c r="E51" s="388">
        <f t="shared" si="8"/>
        <v>520188</v>
      </c>
      <c r="F51" s="417">
        <f t="shared" si="8"/>
        <v>213526</v>
      </c>
      <c r="G51" s="417">
        <f t="shared" si="8"/>
        <v>247594</v>
      </c>
      <c r="H51" s="417">
        <f t="shared" si="8"/>
        <v>3919</v>
      </c>
      <c r="I51" s="417">
        <f t="shared" si="8"/>
        <v>674</v>
      </c>
      <c r="J51" s="334">
        <f>SUM(J52:J59)</f>
        <v>92864</v>
      </c>
      <c r="K51" s="334">
        <f>SUM(K52:K59)</f>
        <v>21050</v>
      </c>
      <c r="L51" s="334">
        <f>SUM(L52:L59)</f>
        <v>17592</v>
      </c>
      <c r="M51" s="334">
        <f>SUM(M52:M59)</f>
        <v>0</v>
      </c>
      <c r="N51" s="332">
        <f>SUM(N52:N59)</f>
        <v>94153</v>
      </c>
      <c r="O51" s="456">
        <f t="shared" si="2"/>
        <v>1.2173893350422555</v>
      </c>
      <c r="P51" s="447"/>
    </row>
    <row r="52" spans="1:17" ht="15.6">
      <c r="A52" s="80" t="s">
        <v>55</v>
      </c>
      <c r="B52" s="19"/>
      <c r="C52" s="86"/>
      <c r="D52" s="392"/>
      <c r="E52" s="336">
        <f t="shared" ref="E52:E57" si="10">SUM(F52:J52)</f>
        <v>0</v>
      </c>
      <c r="F52" s="77"/>
      <c r="G52" s="77"/>
      <c r="H52" s="77"/>
      <c r="I52" s="77"/>
      <c r="J52" s="77"/>
      <c r="K52" s="467"/>
      <c r="L52" s="467"/>
      <c r="M52" s="467"/>
      <c r="N52" s="489"/>
      <c r="O52" s="459"/>
      <c r="P52" s="490"/>
    </row>
    <row r="53" spans="1:17" ht="15">
      <c r="A53" s="123" t="s">
        <v>56</v>
      </c>
      <c r="B53" s="74">
        <f>152617+131920+130997+153389+149066+196349+174625+189556+159615+174414+174638+173536</f>
        <v>1960722</v>
      </c>
      <c r="C53" s="298">
        <v>1612548</v>
      </c>
      <c r="D53" s="77">
        <f>209453+123222+177525+182527+179497+190574+195216+216952+167184+207469</f>
        <v>1849619</v>
      </c>
      <c r="E53" s="418">
        <f t="shared" si="10"/>
        <v>207469</v>
      </c>
      <c r="F53" s="77">
        <v>95246</v>
      </c>
      <c r="G53" s="419">
        <v>98568</v>
      </c>
      <c r="H53" s="419">
        <v>3751</v>
      </c>
      <c r="I53" s="77">
        <v>536</v>
      </c>
      <c r="J53" s="77">
        <v>9368</v>
      </c>
      <c r="K53" s="460"/>
      <c r="L53" s="460">
        <f>4353+26+230+75</f>
        <v>4684</v>
      </c>
      <c r="M53" s="460"/>
      <c r="N53" s="487"/>
      <c r="O53" s="459">
        <f t="shared" si="2"/>
        <v>1.1470163988916919</v>
      </c>
      <c r="P53" s="515"/>
    </row>
    <row r="54" spans="1:17" ht="15">
      <c r="A54" s="306"/>
      <c r="B54" s="74"/>
      <c r="C54" s="298"/>
      <c r="D54" s="77"/>
      <c r="E54" s="420"/>
      <c r="F54" s="77"/>
      <c r="G54" s="421"/>
      <c r="H54" s="421"/>
      <c r="I54" s="77"/>
      <c r="J54" s="77"/>
      <c r="K54" s="460"/>
      <c r="L54" s="460"/>
      <c r="M54" s="460"/>
      <c r="N54" s="487"/>
      <c r="O54" s="459"/>
      <c r="P54" s="516"/>
    </row>
    <row r="55" spans="1:17" ht="15.6">
      <c r="A55" s="80" t="s">
        <v>57</v>
      </c>
      <c r="B55" s="126">
        <f>97537+55586+99611+80866+84077+87464+89817+110297+103108+86858+89238+102094</f>
        <v>1086553</v>
      </c>
      <c r="C55" s="309">
        <v>895221</v>
      </c>
      <c r="D55" s="351">
        <f>104773+79448+108729+100750+114908+101767+109538+102101+96227+101348</f>
        <v>1019589</v>
      </c>
      <c r="E55" s="336">
        <f>SUM(F55:J55)</f>
        <v>101348</v>
      </c>
      <c r="F55" s="401">
        <v>46279</v>
      </c>
      <c r="G55" s="82">
        <v>49862</v>
      </c>
      <c r="H55" s="401"/>
      <c r="I55" s="337"/>
      <c r="J55" s="82">
        <v>5207</v>
      </c>
      <c r="K55" s="467">
        <f>1516+3864+1443</f>
        <v>6823</v>
      </c>
      <c r="L55" s="467">
        <f>1325+163+653</f>
        <v>2141</v>
      </c>
      <c r="M55" s="467"/>
      <c r="N55" s="489"/>
      <c r="O55" s="459">
        <f t="shared" si="2"/>
        <v>1.1389243549916725</v>
      </c>
      <c r="P55" s="517"/>
    </row>
    <row r="56" spans="1:17" ht="15.6">
      <c r="A56" s="35" t="s">
        <v>58</v>
      </c>
      <c r="B56" s="105">
        <f>59734+65037+69566+76869+85180+98871+84349+95878+74900+91720+96454+90939</f>
        <v>989497</v>
      </c>
      <c r="C56" s="303">
        <v>802104</v>
      </c>
      <c r="D56" s="82">
        <f>90832+90726+97425+112194+114431+98379+101821+103316+100021+117218</f>
        <v>1026363</v>
      </c>
      <c r="E56" s="336">
        <f t="shared" ref="E56" si="11">SUM(F56:J56)</f>
        <v>117218</v>
      </c>
      <c r="F56" s="77">
        <v>36079</v>
      </c>
      <c r="G56" s="77">
        <v>58953</v>
      </c>
      <c r="H56" s="77"/>
      <c r="I56" s="518"/>
      <c r="J56" s="77">
        <v>22186</v>
      </c>
      <c r="K56" s="460">
        <f>1537+3886+1666</f>
        <v>7089</v>
      </c>
      <c r="L56" s="460">
        <f>1333+96+15</f>
        <v>1444</v>
      </c>
      <c r="M56" s="467"/>
      <c r="N56" s="489"/>
      <c r="O56" s="459">
        <f t="shared" si="2"/>
        <v>1.2795884324227282</v>
      </c>
      <c r="P56" s="490"/>
    </row>
    <row r="57" spans="1:17" ht="15.6">
      <c r="A57" s="35" t="s">
        <v>59</v>
      </c>
      <c r="B57" s="105">
        <f>47624+41548+39771+61527+61540+40461+59109+75205+60419+66567+64451+64941</f>
        <v>683163</v>
      </c>
      <c r="C57" s="303">
        <v>553771</v>
      </c>
      <c r="D57" s="82">
        <f>85962+38994+58375+82416+99455+86639+82659+105881+73454+94153</f>
        <v>807988</v>
      </c>
      <c r="E57" s="336">
        <f t="shared" si="10"/>
        <v>94153</v>
      </c>
      <c r="F57" s="77">
        <v>35922</v>
      </c>
      <c r="G57" s="77">
        <v>40211</v>
      </c>
      <c r="H57" s="77">
        <v>168</v>
      </c>
      <c r="I57" s="518">
        <v>138</v>
      </c>
      <c r="J57" s="77">
        <v>17714</v>
      </c>
      <c r="K57" s="460">
        <f>1088+4547+24+26+1453</f>
        <v>7138</v>
      </c>
      <c r="L57" s="460">
        <f>8048+48+34+1193</f>
        <v>9323</v>
      </c>
      <c r="M57" s="467">
        <v>0</v>
      </c>
      <c r="N57" s="489">
        <v>94153</v>
      </c>
      <c r="O57" s="459">
        <f t="shared" si="2"/>
        <v>1.4590652092652017</v>
      </c>
      <c r="P57" s="511"/>
    </row>
    <row r="58" spans="1:17" ht="15.6">
      <c r="A58" s="128" t="s">
        <v>113</v>
      </c>
      <c r="B58" s="422"/>
      <c r="C58" s="422"/>
      <c r="D58" s="423"/>
      <c r="E58" s="424"/>
      <c r="F58" s="423"/>
      <c r="G58" s="423"/>
      <c r="H58" s="423"/>
      <c r="I58" s="423"/>
      <c r="J58" s="423"/>
      <c r="K58" s="519"/>
      <c r="L58" s="519"/>
      <c r="M58" s="519"/>
      <c r="N58" s="520"/>
      <c r="O58" s="459"/>
      <c r="P58" s="517"/>
      <c r="Q58" s="528"/>
    </row>
    <row r="59" spans="1:17" ht="15.6">
      <c r="A59" s="425" t="s">
        <v>61</v>
      </c>
      <c r="B59" s="426">
        <v>1755236</v>
      </c>
      <c r="C59" s="427">
        <v>1968570</v>
      </c>
      <c r="D59" s="412">
        <v>1585050</v>
      </c>
      <c r="E59" s="428">
        <f t="shared" ref="E59" si="12">SUM(F59:J59)</f>
        <v>181473</v>
      </c>
      <c r="F59" s="429">
        <v>68934</v>
      </c>
      <c r="G59" s="429">
        <v>74150</v>
      </c>
      <c r="H59" s="430"/>
      <c r="I59" s="430"/>
      <c r="J59" s="412">
        <v>38389</v>
      </c>
      <c r="K59" s="509"/>
      <c r="L59" s="509"/>
      <c r="M59" s="509"/>
      <c r="N59" s="521"/>
      <c r="O59" s="473">
        <f t="shared" si="2"/>
        <v>0.80517837821362714</v>
      </c>
      <c r="P59" s="511"/>
      <c r="Q59" s="529"/>
    </row>
    <row r="60" spans="1:17" ht="15.6">
      <c r="A60" s="35"/>
      <c r="B60" s="431"/>
      <c r="C60" s="432"/>
      <c r="D60" s="432"/>
      <c r="E60" s="396"/>
      <c r="F60" s="433"/>
      <c r="G60" s="386"/>
      <c r="H60" s="432"/>
      <c r="I60" s="433"/>
      <c r="J60" s="512"/>
      <c r="K60" s="467"/>
      <c r="L60" s="467"/>
      <c r="M60" s="467"/>
      <c r="N60" s="522"/>
      <c r="O60" s="459"/>
      <c r="P60" s="511"/>
      <c r="Q60" s="529"/>
    </row>
    <row r="61" spans="1:17" ht="15.6">
      <c r="A61" s="434" t="s">
        <v>62</v>
      </c>
      <c r="B61" s="435">
        <f>SUM(B62:B69)</f>
        <v>55955</v>
      </c>
      <c r="C61" s="436">
        <f>SUM(C62:C69)</f>
        <v>46258</v>
      </c>
      <c r="D61" s="437">
        <f>SUM(D62:D69)</f>
        <v>50910</v>
      </c>
      <c r="E61" s="438">
        <f t="shared" ref="E61" si="13">SUM(E62:E69)</f>
        <v>6067</v>
      </c>
      <c r="F61" s="437"/>
      <c r="G61" s="438"/>
      <c r="H61" s="438"/>
      <c r="I61" s="438"/>
      <c r="J61" s="437"/>
      <c r="K61" s="438"/>
      <c r="L61" s="438"/>
      <c r="M61" s="438"/>
      <c r="N61" s="523"/>
      <c r="O61" s="456">
        <f t="shared" si="2"/>
        <v>1.1005663885165808</v>
      </c>
      <c r="P61" s="447"/>
      <c r="Q61" s="530"/>
    </row>
    <row r="62" spans="1:17" ht="15.6">
      <c r="A62" s="35" t="s">
        <v>122</v>
      </c>
      <c r="B62" s="105">
        <f>335+74+675+1816+624+522+232+273+655+1600+1480+1538</f>
        <v>9824</v>
      </c>
      <c r="C62" s="303">
        <v>6806</v>
      </c>
      <c r="D62" s="439">
        <f>9380</f>
        <v>9380</v>
      </c>
      <c r="E62" s="336">
        <f t="shared" ref="E62:E69" si="14">SUM(F62:J62)</f>
        <v>787</v>
      </c>
      <c r="F62" s="440"/>
      <c r="G62" s="77"/>
      <c r="H62" s="347">
        <v>377</v>
      </c>
      <c r="I62" s="77">
        <v>410</v>
      </c>
      <c r="J62" s="77"/>
      <c r="K62" s="467">
        <f>102+3</f>
        <v>105</v>
      </c>
      <c r="L62" s="467">
        <f>5+43</f>
        <v>48</v>
      </c>
      <c r="M62" s="467"/>
      <c r="N62" s="522"/>
      <c r="O62" s="459">
        <f t="shared" si="2"/>
        <v>1.37819570966794</v>
      </c>
      <c r="P62" s="490"/>
    </row>
    <row r="63" spans="1:17" ht="15.6">
      <c r="A63" s="35" t="s">
        <v>64</v>
      </c>
      <c r="B63" s="19"/>
      <c r="C63" s="86"/>
      <c r="D63" s="441"/>
      <c r="E63" s="336">
        <f t="shared" si="14"/>
        <v>0</v>
      </c>
      <c r="F63" s="442"/>
      <c r="G63" s="336"/>
      <c r="H63" s="77"/>
      <c r="I63" s="77"/>
      <c r="J63" s="77"/>
      <c r="K63" s="467"/>
      <c r="L63" s="467"/>
      <c r="M63" s="467"/>
      <c r="N63" s="522"/>
      <c r="O63" s="459"/>
      <c r="P63" s="490"/>
    </row>
    <row r="64" spans="1:17" ht="15.6">
      <c r="A64" s="35" t="s">
        <v>65</v>
      </c>
      <c r="B64" s="105">
        <f>1670+1062+1129+1350+1391+1439+1192+1252+1332+1078+1196+1258</f>
        <v>15349</v>
      </c>
      <c r="C64" s="303">
        <v>12895</v>
      </c>
      <c r="D64" s="439">
        <f>1143+584+1068+1170+1018+1940+2160+2337+2201</f>
        <v>13621</v>
      </c>
      <c r="E64" s="336">
        <f t="shared" si="14"/>
        <v>2201</v>
      </c>
      <c r="F64" s="347"/>
      <c r="G64" s="336"/>
      <c r="H64" s="77">
        <v>1090</v>
      </c>
      <c r="I64" s="77">
        <v>1111</v>
      </c>
      <c r="J64" s="77"/>
      <c r="K64" s="467">
        <f>289+616</f>
        <v>905</v>
      </c>
      <c r="L64" s="467">
        <f>559+378</f>
        <v>937</v>
      </c>
      <c r="M64" s="467"/>
      <c r="N64" s="522">
        <v>1578</v>
      </c>
      <c r="O64" s="459">
        <f t="shared" si="2"/>
        <v>1.0563008918185344</v>
      </c>
      <c r="P64" s="490"/>
    </row>
    <row r="65" spans="1:17" ht="15.6">
      <c r="A65" s="35" t="s">
        <v>66</v>
      </c>
      <c r="B65" s="19">
        <f>1089+517+1381+2546+1336+1503+1713+1785+1646+1436+909+1418</f>
        <v>17279</v>
      </c>
      <c r="C65" s="86">
        <v>14952</v>
      </c>
      <c r="D65" s="441">
        <f>9020+1300+1328+1755+1870</f>
        <v>15273</v>
      </c>
      <c r="E65" s="336">
        <f t="shared" si="14"/>
        <v>1870</v>
      </c>
      <c r="F65" s="442"/>
      <c r="G65" s="336"/>
      <c r="H65" s="77">
        <v>937</v>
      </c>
      <c r="I65" s="77">
        <v>933</v>
      </c>
      <c r="J65" s="77"/>
      <c r="K65" s="460"/>
      <c r="L65" s="460"/>
      <c r="M65" s="467"/>
      <c r="N65" s="522"/>
      <c r="O65" s="459">
        <f t="shared" si="2"/>
        <v>1.0214686998394864</v>
      </c>
      <c r="P65" s="490"/>
    </row>
    <row r="66" spans="1:17" ht="15.6">
      <c r="A66" s="226" t="s">
        <v>67</v>
      </c>
      <c r="B66" s="74"/>
      <c r="C66" s="298"/>
      <c r="D66" s="389"/>
      <c r="E66" s="336">
        <f t="shared" si="14"/>
        <v>0</v>
      </c>
      <c r="F66" s="531"/>
      <c r="G66" s="336"/>
      <c r="H66" s="77"/>
      <c r="I66" s="77"/>
      <c r="J66" s="77"/>
      <c r="K66" s="467"/>
      <c r="L66" s="467"/>
      <c r="M66" s="467"/>
      <c r="N66" s="522"/>
      <c r="O66" s="459"/>
      <c r="P66" s="490"/>
    </row>
    <row r="67" spans="1:17" ht="15.6">
      <c r="A67" s="35" t="s">
        <v>68</v>
      </c>
      <c r="B67" s="19">
        <f>949+632+800+680+378+254+120+150+155+159+135+133</f>
        <v>4545</v>
      </c>
      <c r="C67" s="86">
        <v>4277</v>
      </c>
      <c r="D67" s="442">
        <f>492+846+747+924+857+985+907+803+716</f>
        <v>7277</v>
      </c>
      <c r="E67" s="336">
        <f t="shared" si="14"/>
        <v>716</v>
      </c>
      <c r="F67" s="442"/>
      <c r="G67" s="336"/>
      <c r="H67" s="77">
        <v>261</v>
      </c>
      <c r="I67" s="77">
        <v>455</v>
      </c>
      <c r="J67" s="77"/>
      <c r="K67" s="460">
        <f>455</f>
        <v>455</v>
      </c>
      <c r="L67" s="460">
        <v>261</v>
      </c>
      <c r="M67" s="467"/>
      <c r="N67" s="522">
        <v>716</v>
      </c>
      <c r="O67" s="459">
        <f t="shared" si="2"/>
        <v>1.701426233341127</v>
      </c>
      <c r="P67" s="490"/>
    </row>
    <row r="68" spans="1:17" ht="15.6">
      <c r="A68" s="532" t="s">
        <v>69</v>
      </c>
      <c r="B68" s="105"/>
      <c r="C68" s="303"/>
      <c r="D68" s="439"/>
      <c r="E68" s="336">
        <f t="shared" si="14"/>
        <v>0</v>
      </c>
      <c r="F68" s="347"/>
      <c r="G68" s="533"/>
      <c r="H68" s="337"/>
      <c r="I68" s="337"/>
      <c r="J68" s="337"/>
      <c r="K68" s="386"/>
      <c r="L68" s="386"/>
      <c r="M68" s="386"/>
      <c r="N68" s="458"/>
      <c r="O68" s="459"/>
      <c r="P68" s="490"/>
    </row>
    <row r="69" spans="1:17" ht="15.6">
      <c r="A69" s="35" t="s">
        <v>70</v>
      </c>
      <c r="B69" s="105">
        <f>703+210+509+267+526+508+670+637+1462+1836+801+829</f>
        <v>8958</v>
      </c>
      <c r="C69" s="303">
        <v>7328</v>
      </c>
      <c r="D69" s="534">
        <f>1225+704+651+766+757+322+441+493</f>
        <v>5359</v>
      </c>
      <c r="E69" s="336">
        <f t="shared" si="14"/>
        <v>493</v>
      </c>
      <c r="F69" s="77"/>
      <c r="G69" s="77"/>
      <c r="H69" s="77">
        <v>241</v>
      </c>
      <c r="I69" s="77">
        <v>252</v>
      </c>
      <c r="J69" s="77"/>
      <c r="K69" s="460">
        <f>129+51</f>
        <v>180</v>
      </c>
      <c r="L69" s="460">
        <f>50+161</f>
        <v>211</v>
      </c>
      <c r="M69" s="460"/>
      <c r="N69" s="461">
        <v>493</v>
      </c>
      <c r="O69" s="459">
        <f t="shared" si="2"/>
        <v>0.73130458515283847</v>
      </c>
      <c r="P69" s="490"/>
      <c r="Q69" s="527"/>
    </row>
    <row r="70" spans="1:17" ht="15.6">
      <c r="A70" s="535"/>
      <c r="B70" s="536"/>
      <c r="C70" s="537"/>
      <c r="D70" s="423"/>
      <c r="E70" s="538"/>
      <c r="F70" s="539"/>
      <c r="G70" s="539"/>
      <c r="H70" s="539"/>
      <c r="I70" s="539"/>
      <c r="J70" s="539"/>
      <c r="K70" s="565"/>
      <c r="L70" s="565"/>
      <c r="M70" s="565"/>
      <c r="N70" s="566"/>
      <c r="O70" s="459"/>
      <c r="P70" s="490"/>
    </row>
    <row r="71" spans="1:17" ht="15.6">
      <c r="A71" s="540" t="s">
        <v>71</v>
      </c>
      <c r="B71" s="541">
        <f>B6+B30+B37+B51+B61</f>
        <v>19294570</v>
      </c>
      <c r="C71" s="541">
        <f>C6+C30+C37+C51+C61</f>
        <v>15886733</v>
      </c>
      <c r="D71" s="542">
        <f>D6+D30+D37+D51+D61</f>
        <v>17997446</v>
      </c>
      <c r="E71" s="543">
        <f>E6+E30+E37+E51+E61</f>
        <v>1995514</v>
      </c>
      <c r="F71" s="544">
        <f>F6+F30+F37+F51+F61</f>
        <v>788261</v>
      </c>
      <c r="G71" s="544">
        <f t="shared" ref="G71:N71" si="15">G6+G30+F37+G51+G61</f>
        <v>811847</v>
      </c>
      <c r="H71" s="544">
        <f t="shared" si="15"/>
        <v>295618</v>
      </c>
      <c r="I71" s="544">
        <f t="shared" si="15"/>
        <v>119962</v>
      </c>
      <c r="J71" s="544">
        <f t="shared" si="15"/>
        <v>263271</v>
      </c>
      <c r="K71" s="544">
        <f t="shared" si="15"/>
        <v>90683</v>
      </c>
      <c r="L71" s="544">
        <f t="shared" si="15"/>
        <v>183509</v>
      </c>
      <c r="M71" s="544">
        <f t="shared" si="15"/>
        <v>20112</v>
      </c>
      <c r="N71" s="567">
        <f t="shared" si="15"/>
        <v>105885</v>
      </c>
      <c r="O71" s="568">
        <f t="shared" ref="O71:O72" si="16">+D71/C71</f>
        <v>1.1328601040881092</v>
      </c>
      <c r="P71" s="569"/>
    </row>
    <row r="72" spans="1:17">
      <c r="A72" s="237" t="s">
        <v>72</v>
      </c>
      <c r="B72" s="238">
        <f>+B71+B28+B49+B59</f>
        <v>24051041</v>
      </c>
      <c r="C72" s="238">
        <f>+C71+C28+C49+C59</f>
        <v>19967016</v>
      </c>
      <c r="D72" s="239">
        <f>+D71+D28+D49+D59</f>
        <v>22677942</v>
      </c>
      <c r="E72" s="239">
        <f>+E71+E28+E49+E59</f>
        <v>2404593.111111111</v>
      </c>
      <c r="F72" s="545"/>
      <c r="G72" s="545"/>
      <c r="H72" s="545"/>
      <c r="I72" s="545"/>
      <c r="J72" s="545"/>
      <c r="K72" s="545"/>
      <c r="L72" s="545"/>
      <c r="M72" s="570"/>
      <c r="N72" s="545"/>
      <c r="O72" s="571">
        <f t="shared" si="16"/>
        <v>1.1357702122340163</v>
      </c>
    </row>
    <row r="73" spans="1:17">
      <c r="A73" s="313"/>
      <c r="B73" s="546"/>
      <c r="C73" s="546"/>
      <c r="D73" s="546"/>
      <c r="E73" s="547"/>
      <c r="F73" s="314"/>
      <c r="G73" s="314"/>
      <c r="H73" s="314"/>
      <c r="I73" s="314"/>
      <c r="J73" s="314"/>
      <c r="K73" s="314"/>
      <c r="L73" s="314"/>
      <c r="M73" s="314" t="s">
        <v>171</v>
      </c>
      <c r="N73" s="314"/>
      <c r="O73" s="313"/>
    </row>
    <row r="74" spans="1:17">
      <c r="B74" s="313"/>
      <c r="C74" s="313"/>
      <c r="D74" s="313"/>
      <c r="E74" s="314"/>
      <c r="F74" s="314"/>
      <c r="G74" s="314"/>
      <c r="H74" s="314"/>
      <c r="I74" s="314"/>
      <c r="J74" s="314"/>
      <c r="K74" s="314"/>
      <c r="L74" s="314"/>
      <c r="M74" s="314"/>
      <c r="N74" s="314"/>
      <c r="O74" s="313"/>
    </row>
    <row r="75" spans="1:17">
      <c r="B75" s="313"/>
      <c r="C75" s="313"/>
      <c r="D75" s="548" t="s">
        <v>74</v>
      </c>
      <c r="E75" s="549" t="s">
        <v>75</v>
      </c>
      <c r="F75" s="549" t="s">
        <v>76</v>
      </c>
      <c r="G75" s="549" t="s">
        <v>77</v>
      </c>
      <c r="H75" s="549" t="s">
        <v>78</v>
      </c>
      <c r="I75" s="549" t="s">
        <v>79</v>
      </c>
      <c r="J75" s="549" t="s">
        <v>80</v>
      </c>
      <c r="K75" s="549" t="s">
        <v>81</v>
      </c>
      <c r="L75" s="549" t="s">
        <v>82</v>
      </c>
      <c r="M75" s="549" t="s">
        <v>83</v>
      </c>
      <c r="N75" s="549" t="s">
        <v>84</v>
      </c>
      <c r="O75" s="572" t="s">
        <v>85</v>
      </c>
      <c r="P75" s="572" t="s">
        <v>86</v>
      </c>
    </row>
    <row r="76" spans="1:17">
      <c r="B76" s="550" t="s">
        <v>87</v>
      </c>
      <c r="C76" s="550"/>
      <c r="D76" s="550">
        <v>1737613</v>
      </c>
      <c r="E76" s="551">
        <v>1447754</v>
      </c>
      <c r="F76" s="552">
        <f>E71</f>
        <v>1995514</v>
      </c>
      <c r="G76" s="551">
        <v>1891960</v>
      </c>
      <c r="H76" s="551">
        <v>1972368</v>
      </c>
      <c r="I76" s="314">
        <v>1787673</v>
      </c>
      <c r="J76" s="551">
        <v>1808050</v>
      </c>
      <c r="K76" s="269">
        <v>1902721</v>
      </c>
      <c r="L76" s="573">
        <v>1755705</v>
      </c>
      <c r="M76" s="269">
        <v>1995514</v>
      </c>
      <c r="N76" s="556"/>
      <c r="O76" s="574"/>
      <c r="P76" s="575">
        <v>10156932</v>
      </c>
    </row>
    <row r="77" spans="1:17">
      <c r="A77" s="313"/>
      <c r="B77" s="553" t="s">
        <v>88</v>
      </c>
      <c r="C77" s="553"/>
      <c r="D77" s="553"/>
      <c r="E77" s="554">
        <f t="shared" ref="E77:O77" si="17">IF(D76&gt;0,E76/D76,0)*100</f>
        <v>83.318552520037542</v>
      </c>
      <c r="F77" s="554">
        <f t="shared" si="17"/>
        <v>137.83515707779083</v>
      </c>
      <c r="G77" s="554">
        <f t="shared" si="17"/>
        <v>94.81066031107774</v>
      </c>
      <c r="H77" s="554">
        <f t="shared" si="17"/>
        <v>104.24998414342798</v>
      </c>
      <c r="I77" s="554">
        <f t="shared" si="17"/>
        <v>90.63587525248839</v>
      </c>
      <c r="J77" s="554">
        <f t="shared" si="17"/>
        <v>101.13986170848919</v>
      </c>
      <c r="K77" s="554">
        <f t="shared" si="17"/>
        <v>105.23608307292388</v>
      </c>
      <c r="L77" s="554">
        <f t="shared" si="17"/>
        <v>92.273381121036664</v>
      </c>
      <c r="M77" s="554">
        <f t="shared" si="17"/>
        <v>113.65884359844051</v>
      </c>
      <c r="N77" s="554">
        <f t="shared" si="17"/>
        <v>0</v>
      </c>
      <c r="O77" s="576">
        <f t="shared" si="17"/>
        <v>0</v>
      </c>
      <c r="P77" s="577">
        <f>P76/B71</f>
        <v>0.52641401181783265</v>
      </c>
    </row>
    <row r="78" spans="1:17">
      <c r="A78" s="313"/>
      <c r="B78" s="555"/>
      <c r="C78" s="555"/>
      <c r="D78" s="555"/>
      <c r="E78" s="556"/>
      <c r="F78" s="557"/>
      <c r="G78" s="314" t="s">
        <v>115</v>
      </c>
      <c r="H78" s="314"/>
      <c r="I78" s="314"/>
      <c r="J78" s="314"/>
      <c r="K78" s="314"/>
      <c r="L78" s="314"/>
      <c r="M78" s="314"/>
      <c r="N78" s="314"/>
      <c r="O78" s="444"/>
      <c r="P78" s="313"/>
    </row>
    <row r="79" spans="1:17">
      <c r="A79" s="1444" t="s">
        <v>89</v>
      </c>
      <c r="B79" s="444"/>
      <c r="C79" s="444"/>
      <c r="D79" s="444"/>
      <c r="E79" s="314"/>
      <c r="F79" s="314"/>
      <c r="G79" s="314"/>
      <c r="H79" s="314"/>
      <c r="I79" s="314"/>
      <c r="J79" s="314"/>
      <c r="K79" s="314"/>
      <c r="L79" s="314"/>
      <c r="M79" s="314"/>
      <c r="N79" s="314"/>
      <c r="O79" s="444"/>
      <c r="P79" s="313"/>
      <c r="Q79" s="314"/>
    </row>
    <row r="80" spans="1:17">
      <c r="A80" s="313" t="s">
        <v>90</v>
      </c>
      <c r="B80" s="444"/>
      <c r="C80" s="444"/>
      <c r="D80" s="444"/>
      <c r="E80" s="314"/>
      <c r="F80" s="314"/>
      <c r="G80" s="314"/>
      <c r="H80" s="314"/>
      <c r="I80" s="314"/>
      <c r="J80" s="314"/>
      <c r="K80" s="314"/>
      <c r="L80" s="314"/>
      <c r="M80" s="314"/>
      <c r="N80" s="314"/>
      <c r="O80" s="444"/>
      <c r="P80" s="313"/>
      <c r="Q80" s="314"/>
    </row>
    <row r="81" spans="1:17">
      <c r="A81" s="1444" t="s">
        <v>91</v>
      </c>
      <c r="B81" s="444"/>
      <c r="C81" s="444"/>
      <c r="D81" s="444"/>
      <c r="E81" s="314"/>
      <c r="F81" s="314"/>
      <c r="G81" s="314"/>
      <c r="H81" s="314"/>
      <c r="I81" s="314"/>
      <c r="J81" s="314"/>
      <c r="K81" s="314"/>
      <c r="L81" s="314"/>
      <c r="M81" s="314"/>
      <c r="N81" s="314"/>
      <c r="O81" s="444"/>
      <c r="P81" s="313"/>
      <c r="Q81" s="314"/>
    </row>
    <row r="82" spans="1:17">
      <c r="A82" s="1445" t="s">
        <v>92</v>
      </c>
      <c r="B82" s="444"/>
      <c r="C82" s="444"/>
      <c r="D82" s="444"/>
      <c r="E82" s="314"/>
      <c r="F82" s="314"/>
      <c r="G82" s="314"/>
      <c r="H82" s="314"/>
      <c r="J82" s="314"/>
      <c r="K82" s="314"/>
      <c r="L82" s="314"/>
      <c r="M82" s="314"/>
      <c r="N82" s="314"/>
      <c r="O82" s="444"/>
      <c r="P82" s="313"/>
      <c r="Q82" s="585"/>
    </row>
    <row r="83" spans="1:17">
      <c r="A83" s="313" t="s">
        <v>93</v>
      </c>
      <c r="B83" s="313"/>
      <c r="C83" s="313"/>
      <c r="D83" s="313"/>
      <c r="E83" s="314"/>
      <c r="F83" s="314"/>
      <c r="G83" s="314"/>
      <c r="H83" s="314"/>
      <c r="K83" s="314"/>
      <c r="M83" s="314"/>
      <c r="N83" s="314"/>
      <c r="O83" s="444"/>
      <c r="P83" s="313"/>
    </row>
    <row r="84" spans="1:17">
      <c r="A84" s="313" t="s">
        <v>94</v>
      </c>
      <c r="B84" s="313"/>
      <c r="C84" s="313"/>
      <c r="D84" s="313"/>
      <c r="E84" s="314"/>
      <c r="F84" s="314"/>
      <c r="G84" s="314"/>
      <c r="H84" s="314"/>
      <c r="K84" s="314"/>
      <c r="M84" s="314"/>
      <c r="N84" s="314"/>
      <c r="O84" s="578"/>
      <c r="P84" s="313"/>
    </row>
    <row r="85" spans="1:17">
      <c r="A85" s="313" t="s">
        <v>95</v>
      </c>
      <c r="B85" s="313"/>
      <c r="C85" s="313"/>
      <c r="D85" s="313"/>
      <c r="E85" s="314"/>
      <c r="F85" s="314"/>
      <c r="G85" s="314"/>
      <c r="H85" s="314"/>
      <c r="K85" s="314"/>
      <c r="L85" s="314"/>
      <c r="M85" s="314"/>
      <c r="N85" s="314"/>
      <c r="O85" s="444"/>
      <c r="P85" s="313"/>
    </row>
    <row r="87" spans="1:17" ht="15.6">
      <c r="B87" s="254" t="s">
        <v>165</v>
      </c>
      <c r="C87" s="254"/>
      <c r="D87" s="254"/>
      <c r="E87" s="254"/>
      <c r="F87" s="254"/>
      <c r="G87" s="254"/>
      <c r="H87" s="254"/>
      <c r="I87" s="254"/>
      <c r="J87" s="254"/>
      <c r="K87" s="254"/>
      <c r="L87" s="254"/>
      <c r="M87" s="254"/>
      <c r="N87" s="254"/>
      <c r="O87" s="254"/>
    </row>
    <row r="88" spans="1:17">
      <c r="A88" s="558" t="s">
        <v>97</v>
      </c>
      <c r="B88" s="559" t="s">
        <v>74</v>
      </c>
      <c r="C88" s="559" t="s">
        <v>75</v>
      </c>
      <c r="D88" s="559" t="s">
        <v>76</v>
      </c>
      <c r="E88" s="559" t="s">
        <v>77</v>
      </c>
      <c r="F88" s="559" t="s">
        <v>78</v>
      </c>
      <c r="G88" s="559" t="s">
        <v>79</v>
      </c>
      <c r="H88" s="559" t="s">
        <v>80</v>
      </c>
      <c r="I88" s="559">
        <v>111761</v>
      </c>
      <c r="J88" s="559" t="s">
        <v>82</v>
      </c>
      <c r="K88" s="559" t="s">
        <v>83</v>
      </c>
      <c r="L88" s="559" t="s">
        <v>84</v>
      </c>
      <c r="M88" s="559" t="s">
        <v>85</v>
      </c>
      <c r="N88" s="559" t="s">
        <v>86</v>
      </c>
      <c r="O88" s="558" t="s">
        <v>98</v>
      </c>
    </row>
    <row r="89" spans="1:17">
      <c r="A89" s="560" t="s">
        <v>99</v>
      </c>
      <c r="B89" s="561">
        <f>SUM(B90:B96)</f>
        <v>5559901</v>
      </c>
      <c r="C89" s="561">
        <v>4699172</v>
      </c>
      <c r="D89" s="561">
        <v>6626289</v>
      </c>
      <c r="E89" s="561">
        <f t="shared" ref="E89:K89" si="18">SUM(E90:E96)</f>
        <v>7289664</v>
      </c>
      <c r="F89" s="561">
        <f t="shared" si="18"/>
        <v>7552957</v>
      </c>
      <c r="G89" s="561">
        <f t="shared" si="18"/>
        <v>7137978</v>
      </c>
      <c r="H89" s="561">
        <f t="shared" si="18"/>
        <v>7261577</v>
      </c>
      <c r="I89" s="561">
        <f t="shared" si="18"/>
        <v>7423642.6568181785</v>
      </c>
      <c r="J89" s="561">
        <f t="shared" si="18"/>
        <v>7317274.6456277864</v>
      </c>
      <c r="K89" s="561">
        <f t="shared" si="18"/>
        <v>7810844.0238295384</v>
      </c>
      <c r="L89" s="561"/>
      <c r="M89" s="579"/>
      <c r="N89" s="561">
        <f t="shared" ref="N89:N105" si="19">SUM(B89:M89)</f>
        <v>68679299.326275513</v>
      </c>
      <c r="O89" s="580">
        <f>N89/$N$89</f>
        <v>1</v>
      </c>
    </row>
    <row r="90" spans="1:17">
      <c r="A90" s="562" t="s">
        <v>100</v>
      </c>
      <c r="B90" s="432">
        <v>1809898</v>
      </c>
      <c r="C90" s="432">
        <v>1730564</v>
      </c>
      <c r="D90" s="432">
        <v>2112389</v>
      </c>
      <c r="E90" s="432">
        <v>2570971</v>
      </c>
      <c r="F90" s="432">
        <v>2877822</v>
      </c>
      <c r="G90" s="432">
        <v>2522285</v>
      </c>
      <c r="H90" s="432">
        <v>2379861</v>
      </c>
      <c r="I90" s="581">
        <v>1649483.96140941</v>
      </c>
      <c r="J90" s="582">
        <v>2145448.2027232898</v>
      </c>
      <c r="K90" s="432">
        <v>2185241.3473768402</v>
      </c>
      <c r="L90" s="432"/>
      <c r="M90" s="432"/>
      <c r="N90" s="582">
        <f t="shared" si="19"/>
        <v>21983963.511509538</v>
      </c>
      <c r="O90" s="583">
        <f t="shared" ref="O90:O96" si="20">N90/$N$89</f>
        <v>0.32009592012682131</v>
      </c>
    </row>
    <row r="91" spans="1:17">
      <c r="A91" s="562" t="s">
        <v>101</v>
      </c>
      <c r="B91" s="432">
        <v>216643</v>
      </c>
      <c r="C91" s="432">
        <v>165584</v>
      </c>
      <c r="D91" s="432">
        <v>464816</v>
      </c>
      <c r="E91" s="432">
        <v>179363</v>
      </c>
      <c r="F91" s="432">
        <v>325949</v>
      </c>
      <c r="G91" s="432">
        <v>301067</v>
      </c>
      <c r="H91" s="432">
        <v>208263</v>
      </c>
      <c r="I91" s="581">
        <v>556923.47207816201</v>
      </c>
      <c r="J91" s="582">
        <v>415004.996358937</v>
      </c>
      <c r="K91" s="432">
        <v>351758.76002235099</v>
      </c>
      <c r="L91" s="432"/>
      <c r="M91" s="432"/>
      <c r="N91" s="582">
        <f t="shared" si="19"/>
        <v>3185372.2284594504</v>
      </c>
      <c r="O91" s="583">
        <f t="shared" si="20"/>
        <v>4.6380383313561008E-2</v>
      </c>
    </row>
    <row r="92" spans="1:17">
      <c r="A92" s="562" t="s">
        <v>102</v>
      </c>
      <c r="B92" s="432">
        <v>1371301</v>
      </c>
      <c r="C92" s="432">
        <v>870579</v>
      </c>
      <c r="D92" s="432">
        <v>1114225</v>
      </c>
      <c r="E92" s="432">
        <v>1074841</v>
      </c>
      <c r="F92" s="432">
        <v>1197562</v>
      </c>
      <c r="G92" s="432">
        <v>1270373</v>
      </c>
      <c r="H92" s="432">
        <v>1356812</v>
      </c>
      <c r="I92" s="581">
        <v>1428637.4627896</v>
      </c>
      <c r="J92" s="582">
        <v>1247824.8462519899</v>
      </c>
      <c r="K92" s="432">
        <v>957946.88996302499</v>
      </c>
      <c r="L92" s="432"/>
      <c r="M92" s="432"/>
      <c r="N92" s="582">
        <f t="shared" si="19"/>
        <v>11890102.199004617</v>
      </c>
      <c r="O92" s="583">
        <f t="shared" si="20"/>
        <v>0.17312497820512374</v>
      </c>
    </row>
    <row r="93" spans="1:17">
      <c r="A93" s="562" t="s">
        <v>103</v>
      </c>
      <c r="B93" s="432">
        <v>758783</v>
      </c>
      <c r="C93" s="432">
        <v>620788</v>
      </c>
      <c r="D93" s="432">
        <v>832464</v>
      </c>
      <c r="E93" s="432">
        <v>805760</v>
      </c>
      <c r="F93" s="432">
        <v>873484</v>
      </c>
      <c r="G93" s="432">
        <v>767484</v>
      </c>
      <c r="H93" s="432">
        <v>901143</v>
      </c>
      <c r="I93" s="581">
        <v>1048065.44177413</v>
      </c>
      <c r="J93" s="582">
        <v>885187.76367192296</v>
      </c>
      <c r="K93" s="432">
        <v>1644774.5354611899</v>
      </c>
      <c r="L93" s="432"/>
      <c r="M93" s="432"/>
      <c r="N93" s="582">
        <f t="shared" si="19"/>
        <v>9137933.7409072425</v>
      </c>
      <c r="O93" s="583">
        <f t="shared" si="20"/>
        <v>0.13305222724383892</v>
      </c>
    </row>
    <row r="94" spans="1:17">
      <c r="A94" s="562" t="s">
        <v>104</v>
      </c>
      <c r="B94" s="432">
        <v>663451</v>
      </c>
      <c r="C94" s="432">
        <v>687147</v>
      </c>
      <c r="D94" s="432">
        <v>1074747</v>
      </c>
      <c r="E94" s="432">
        <v>1431356</v>
      </c>
      <c r="F94" s="432">
        <v>1344265</v>
      </c>
      <c r="G94" s="432">
        <v>1186850</v>
      </c>
      <c r="H94" s="432">
        <v>1525557</v>
      </c>
      <c r="I94" s="581">
        <v>1204868.26132492</v>
      </c>
      <c r="J94" s="582">
        <v>789731.61168467801</v>
      </c>
      <c r="K94" s="432">
        <v>631262.43774486496</v>
      </c>
      <c r="L94" s="432"/>
      <c r="M94" s="432"/>
      <c r="N94" s="582">
        <f t="shared" si="19"/>
        <v>10539235.310754463</v>
      </c>
      <c r="O94" s="583">
        <f t="shared" si="20"/>
        <v>0.15345577800212551</v>
      </c>
    </row>
    <row r="95" spans="1:17">
      <c r="A95" s="562" t="s">
        <v>105</v>
      </c>
      <c r="B95" s="432">
        <v>94829</v>
      </c>
      <c r="C95" s="432">
        <v>74713</v>
      </c>
      <c r="D95" s="432">
        <v>126500</v>
      </c>
      <c r="E95" s="432">
        <v>117804</v>
      </c>
      <c r="F95" s="432">
        <v>116232</v>
      </c>
      <c r="G95" s="432">
        <v>117017</v>
      </c>
      <c r="H95" s="432">
        <v>119409</v>
      </c>
      <c r="I95" s="581">
        <v>426707.09230535798</v>
      </c>
      <c r="J95" s="582">
        <v>516802.34385403898</v>
      </c>
      <c r="K95" s="432">
        <v>712885.31554481795</v>
      </c>
      <c r="L95" s="432"/>
      <c r="M95" s="432"/>
      <c r="N95" s="582">
        <f t="shared" si="19"/>
        <v>2422898.7517042151</v>
      </c>
      <c r="O95" s="583">
        <f t="shared" si="20"/>
        <v>3.5278443074873593E-2</v>
      </c>
    </row>
    <row r="96" spans="1:17">
      <c r="A96" s="562" t="s">
        <v>58</v>
      </c>
      <c r="B96" s="432">
        <v>644996</v>
      </c>
      <c r="C96" s="432">
        <v>549797</v>
      </c>
      <c r="D96" s="432">
        <v>901148</v>
      </c>
      <c r="E96" s="432">
        <v>1109569</v>
      </c>
      <c r="F96" s="432">
        <v>817643</v>
      </c>
      <c r="G96" s="432">
        <v>972902</v>
      </c>
      <c r="H96" s="432">
        <v>770532</v>
      </c>
      <c r="I96" s="581">
        <v>1108956.9651366</v>
      </c>
      <c r="J96" s="582">
        <v>1317274.8810829299</v>
      </c>
      <c r="K96" s="432">
        <v>1326974.7377164499</v>
      </c>
      <c r="L96" s="432"/>
      <c r="M96" s="432"/>
      <c r="N96" s="582">
        <f t="shared" si="19"/>
        <v>9519793.5839359798</v>
      </c>
      <c r="O96" s="583">
        <f t="shared" si="20"/>
        <v>0.13861227003365587</v>
      </c>
    </row>
    <row r="97" spans="1:15">
      <c r="A97" s="560" t="s">
        <v>106</v>
      </c>
      <c r="B97" s="561">
        <f>SUM(B98:B104)</f>
        <v>6806119</v>
      </c>
      <c r="C97" s="561">
        <v>5512491</v>
      </c>
      <c r="D97" s="561">
        <v>8179108</v>
      </c>
      <c r="E97" s="561">
        <f t="shared" ref="E97:K97" si="21">SUM(E98:E104)</f>
        <v>8765844</v>
      </c>
      <c r="F97" s="561">
        <f t="shared" si="21"/>
        <v>8376295</v>
      </c>
      <c r="G97" s="561">
        <f t="shared" si="21"/>
        <v>8199263</v>
      </c>
      <c r="H97" s="561">
        <f t="shared" si="21"/>
        <v>8405793</v>
      </c>
      <c r="I97" s="561">
        <f t="shared" si="21"/>
        <v>9120088.1304625664</v>
      </c>
      <c r="J97" s="561">
        <f t="shared" si="21"/>
        <v>8422294.5254808925</v>
      </c>
      <c r="K97" s="561">
        <f t="shared" si="21"/>
        <v>10251987.251608843</v>
      </c>
      <c r="L97" s="561"/>
      <c r="M97" s="560"/>
      <c r="N97" s="561">
        <f t="shared" si="19"/>
        <v>82039282.907552302</v>
      </c>
      <c r="O97" s="580">
        <f>N97/$N$97</f>
        <v>1</v>
      </c>
    </row>
    <row r="98" spans="1:15">
      <c r="A98" s="562" t="s">
        <v>100</v>
      </c>
      <c r="B98" s="432">
        <v>2135077</v>
      </c>
      <c r="C98" s="432">
        <v>1954967</v>
      </c>
      <c r="D98" s="432">
        <v>2573893</v>
      </c>
      <c r="E98" s="432">
        <v>3073887</v>
      </c>
      <c r="F98" s="432">
        <v>3261336</v>
      </c>
      <c r="G98" s="432">
        <v>3026937</v>
      </c>
      <c r="H98" s="432">
        <v>2813170</v>
      </c>
      <c r="I98" s="581">
        <v>2771764.24442368</v>
      </c>
      <c r="J98" s="582">
        <v>2874199.5261229998</v>
      </c>
      <c r="K98" s="432">
        <v>3505747.6387520302</v>
      </c>
      <c r="L98" s="432"/>
      <c r="M98" s="432"/>
      <c r="N98" s="582">
        <f t="shared" si="19"/>
        <v>27990978.409298711</v>
      </c>
      <c r="O98" s="583">
        <f t="shared" ref="O98:O104" si="22">N98/$N$97</f>
        <v>0.34118994483217185</v>
      </c>
    </row>
    <row r="99" spans="1:15">
      <c r="A99" s="562" t="s">
        <v>101</v>
      </c>
      <c r="B99" s="432">
        <v>263002</v>
      </c>
      <c r="C99" s="432">
        <v>221352</v>
      </c>
      <c r="D99" s="432">
        <v>387773</v>
      </c>
      <c r="E99" s="432">
        <v>258017</v>
      </c>
      <c r="F99" s="432">
        <v>388537</v>
      </c>
      <c r="G99" s="432">
        <v>292594</v>
      </c>
      <c r="H99" s="432">
        <v>286187</v>
      </c>
      <c r="I99" s="581">
        <v>371162.45418796502</v>
      </c>
      <c r="J99" s="582">
        <v>377418.838031133</v>
      </c>
      <c r="K99" s="432">
        <v>526470.35569161596</v>
      </c>
      <c r="L99" s="432"/>
      <c r="M99" s="432"/>
      <c r="N99" s="582">
        <f t="shared" si="19"/>
        <v>3372513.6479107141</v>
      </c>
      <c r="O99" s="583">
        <f t="shared" si="22"/>
        <v>4.1108521776221547E-2</v>
      </c>
    </row>
    <row r="100" spans="1:15">
      <c r="A100" s="562" t="s">
        <v>102</v>
      </c>
      <c r="B100" s="432">
        <v>1600519</v>
      </c>
      <c r="C100" s="432">
        <v>975825</v>
      </c>
      <c r="D100" s="432">
        <v>1500811</v>
      </c>
      <c r="E100" s="432">
        <v>1431201</v>
      </c>
      <c r="F100" s="432">
        <v>1312883</v>
      </c>
      <c r="G100" s="432">
        <v>1628844</v>
      </c>
      <c r="H100" s="432">
        <v>1563650</v>
      </c>
      <c r="I100" s="581">
        <v>1567478.3799777699</v>
      </c>
      <c r="J100" s="582">
        <v>1218496.8775750101</v>
      </c>
      <c r="K100" s="432">
        <v>1009022.45347845</v>
      </c>
      <c r="L100" s="432"/>
      <c r="M100" s="432"/>
      <c r="N100" s="582">
        <f t="shared" si="19"/>
        <v>13808730.71103123</v>
      </c>
      <c r="O100" s="583">
        <f t="shared" si="22"/>
        <v>0.16831852036775954</v>
      </c>
    </row>
    <row r="101" spans="1:15">
      <c r="A101" s="562" t="s">
        <v>103</v>
      </c>
      <c r="B101" s="432">
        <v>906127</v>
      </c>
      <c r="C101" s="432">
        <v>684506</v>
      </c>
      <c r="D101" s="432">
        <v>1019356</v>
      </c>
      <c r="E101" s="432">
        <v>936276</v>
      </c>
      <c r="F101" s="432">
        <v>1009873</v>
      </c>
      <c r="G101" s="432">
        <v>790066</v>
      </c>
      <c r="H101" s="432">
        <v>1001312</v>
      </c>
      <c r="I101" s="581">
        <v>1059004.6865963</v>
      </c>
      <c r="J101" s="582">
        <v>1115659.7180649899</v>
      </c>
      <c r="K101" s="432">
        <v>2057804.0921621199</v>
      </c>
      <c r="L101" s="432"/>
      <c r="M101" s="432"/>
      <c r="N101" s="582">
        <f t="shared" si="19"/>
        <v>10579984.49682341</v>
      </c>
      <c r="O101" s="583">
        <f t="shared" si="22"/>
        <v>0.12896242046320283</v>
      </c>
    </row>
    <row r="102" spans="1:15">
      <c r="A102" s="562" t="s">
        <v>104</v>
      </c>
      <c r="B102" s="432">
        <v>910303</v>
      </c>
      <c r="C102" s="432">
        <v>843503</v>
      </c>
      <c r="D102" s="432">
        <v>1350561</v>
      </c>
      <c r="E102" s="432">
        <v>1603712</v>
      </c>
      <c r="F102" s="432">
        <v>1322029</v>
      </c>
      <c r="G102" s="432">
        <v>1326834</v>
      </c>
      <c r="H102" s="432">
        <v>1615435</v>
      </c>
      <c r="I102" s="581">
        <v>1427094.8094327101</v>
      </c>
      <c r="J102" s="582">
        <v>1040755.49606988</v>
      </c>
      <c r="K102" s="432">
        <v>1260870.4950699899</v>
      </c>
      <c r="L102" s="432"/>
      <c r="M102" s="432"/>
      <c r="N102" s="582">
        <f t="shared" si="19"/>
        <v>12701097.80057258</v>
      </c>
      <c r="O102" s="583">
        <f t="shared" si="22"/>
        <v>0.15481726985455346</v>
      </c>
    </row>
    <row r="103" spans="1:15">
      <c r="A103" s="562" t="s">
        <v>105</v>
      </c>
      <c r="B103" s="432">
        <v>73110</v>
      </c>
      <c r="C103" s="432">
        <v>87700</v>
      </c>
      <c r="D103" s="432">
        <v>119850</v>
      </c>
      <c r="E103" s="432">
        <v>120063</v>
      </c>
      <c r="F103" s="432">
        <v>106070</v>
      </c>
      <c r="G103" s="432">
        <v>105910</v>
      </c>
      <c r="H103" s="432">
        <v>116555</v>
      </c>
      <c r="I103" s="581">
        <v>318808.68661145098</v>
      </c>
      <c r="J103" s="582">
        <v>279913.02113921801</v>
      </c>
      <c r="K103" s="432">
        <v>280026.16302326799</v>
      </c>
      <c r="L103" s="432"/>
      <c r="M103" s="432"/>
      <c r="N103" s="582">
        <f t="shared" si="19"/>
        <v>1608005.8707739371</v>
      </c>
      <c r="O103" s="583">
        <f t="shared" si="22"/>
        <v>1.9600437909555506E-2</v>
      </c>
    </row>
    <row r="104" spans="1:15">
      <c r="A104" s="562" t="s">
        <v>58</v>
      </c>
      <c r="B104" s="432">
        <v>917981</v>
      </c>
      <c r="C104" s="432">
        <v>744638</v>
      </c>
      <c r="D104" s="432">
        <v>1226864</v>
      </c>
      <c r="E104" s="432">
        <v>1342688</v>
      </c>
      <c r="F104" s="432">
        <v>975567</v>
      </c>
      <c r="G104" s="432">
        <v>1028078</v>
      </c>
      <c r="H104" s="432">
        <v>1009484</v>
      </c>
      <c r="I104" s="581">
        <v>1604774.86923269</v>
      </c>
      <c r="J104" s="582">
        <v>1515851.0484776599</v>
      </c>
      <c r="K104" s="432">
        <v>1612046.0534313701</v>
      </c>
      <c r="L104" s="432"/>
      <c r="M104" s="432"/>
      <c r="N104" s="582">
        <f t="shared" si="19"/>
        <v>11977971.971141718</v>
      </c>
      <c r="O104" s="583">
        <f t="shared" si="22"/>
        <v>0.1460028847965352</v>
      </c>
    </row>
    <row r="105" spans="1:15">
      <c r="A105" s="560" t="s">
        <v>107</v>
      </c>
      <c r="B105" s="563">
        <f>B89+B97</f>
        <v>12366020</v>
      </c>
      <c r="C105" s="563">
        <v>10413069</v>
      </c>
      <c r="D105" s="563">
        <v>14805397</v>
      </c>
      <c r="E105" s="563">
        <f>E89+E97</f>
        <v>16055508</v>
      </c>
      <c r="F105" s="563">
        <f t="shared" ref="F105:L105" si="23">F89+F97</f>
        <v>15929252</v>
      </c>
      <c r="G105" s="563">
        <f t="shared" si="23"/>
        <v>15337241</v>
      </c>
      <c r="H105" s="563">
        <f t="shared" si="23"/>
        <v>15667370</v>
      </c>
      <c r="I105" s="584">
        <f t="shared" si="23"/>
        <v>16543730.787280746</v>
      </c>
      <c r="J105" s="563">
        <f t="shared" si="23"/>
        <v>15739569.171108678</v>
      </c>
      <c r="K105" s="563">
        <f t="shared" si="23"/>
        <v>18062831.275438383</v>
      </c>
      <c r="L105" s="563">
        <f t="shared" si="23"/>
        <v>0</v>
      </c>
      <c r="M105" s="560"/>
      <c r="N105" s="561">
        <f t="shared" si="19"/>
        <v>150919988.2338278</v>
      </c>
      <c r="O105" s="562"/>
    </row>
    <row r="106" spans="1:15">
      <c r="C106" s="564">
        <f t="shared" ref="C106" si="24">C105/B105</f>
        <v>0.8420711756895104</v>
      </c>
      <c r="D106" s="564">
        <f t="shared" ref="D106" si="25">D105/C105</f>
        <v>1.4218091707641618</v>
      </c>
      <c r="E106" s="564">
        <f t="shared" ref="E106" si="26">E105/D105</f>
        <v>1.0844361687835862</v>
      </c>
      <c r="F106" s="564">
        <f t="shared" ref="F106:K106" si="27">F105/E105</f>
        <v>0.99213628120642461</v>
      </c>
      <c r="G106" s="564">
        <f t="shared" si="27"/>
        <v>0.96283497806425566</v>
      </c>
      <c r="H106" s="564">
        <f t="shared" si="27"/>
        <v>1.0215246666594076</v>
      </c>
      <c r="I106" s="564">
        <f t="shared" si="27"/>
        <v>1.0559354114494486</v>
      </c>
      <c r="J106" s="564">
        <f t="shared" si="27"/>
        <v>0.95139176123499736</v>
      </c>
      <c r="K106" s="564">
        <f t="shared" si="27"/>
        <v>1.1476064610837158</v>
      </c>
    </row>
    <row r="109" spans="1:15">
      <c r="C109" s="529"/>
      <c r="D109" s="529"/>
    </row>
    <row r="110" spans="1:15">
      <c r="C110" s="529"/>
      <c r="D110" s="529"/>
      <c r="J110" s="314"/>
      <c r="O110" s="529"/>
    </row>
    <row r="111" spans="1:15">
      <c r="C111" s="529"/>
      <c r="D111" s="529"/>
      <c r="J111" s="314"/>
      <c r="O111" s="529"/>
    </row>
    <row r="112" spans="1:15">
      <c r="C112" s="529"/>
      <c r="D112" s="529"/>
      <c r="J112" s="314"/>
      <c r="O112" s="529"/>
    </row>
    <row r="113" spans="3:15">
      <c r="C113" s="529"/>
      <c r="D113" s="529"/>
      <c r="J113" s="314"/>
      <c r="O113" s="529"/>
    </row>
    <row r="114" spans="3:15">
      <c r="C114" s="529"/>
      <c r="D114" s="529"/>
      <c r="O114" s="529"/>
    </row>
    <row r="115" spans="3:15">
      <c r="C115" s="529"/>
      <c r="D115" s="529"/>
      <c r="O115" s="529"/>
    </row>
    <row r="116" spans="3:15">
      <c r="C116" s="529"/>
      <c r="D116" s="529"/>
      <c r="O116" s="529"/>
    </row>
    <row r="117" spans="3:15">
      <c r="C117" s="529"/>
      <c r="D117" s="529"/>
      <c r="O117" s="529"/>
    </row>
    <row r="118" spans="3:15">
      <c r="C118" s="529"/>
      <c r="D118" s="529"/>
      <c r="O118" s="529"/>
    </row>
    <row r="119" spans="3:15">
      <c r="C119" s="529"/>
      <c r="D119" s="529"/>
      <c r="O119" s="529"/>
    </row>
    <row r="120" spans="3:15">
      <c r="C120" s="529"/>
      <c r="D120" s="529"/>
      <c r="O120" s="529"/>
    </row>
    <row r="121" spans="3:15">
      <c r="C121" s="529"/>
      <c r="D121" s="529"/>
      <c r="O121" s="529"/>
    </row>
    <row r="122" spans="3:15">
      <c r="C122" s="529"/>
      <c r="D122" s="529"/>
      <c r="O122" s="529"/>
    </row>
    <row r="123" spans="3:15">
      <c r="C123" s="529"/>
      <c r="D123" s="529"/>
      <c r="O123" s="529"/>
    </row>
    <row r="124" spans="3:15">
      <c r="C124" s="529"/>
      <c r="D124" s="529"/>
      <c r="O124" s="529"/>
    </row>
    <row r="125" spans="3:15">
      <c r="C125" s="529"/>
      <c r="D125" s="529"/>
      <c r="O125" s="529"/>
    </row>
    <row r="126" spans="3:15">
      <c r="C126" s="529"/>
      <c r="D126" s="529"/>
      <c r="O126" s="529"/>
    </row>
    <row r="127" spans="3:15">
      <c r="C127" s="529"/>
      <c r="D127" s="529"/>
      <c r="O127" s="529"/>
    </row>
    <row r="128" spans="3:15">
      <c r="C128" s="529"/>
      <c r="D128" s="529"/>
      <c r="O128" s="529"/>
    </row>
  </sheetData>
  <mergeCells count="1">
    <mergeCell ref="A1:O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27"/>
  <sheetViews>
    <sheetView zoomScale="80" zoomScaleNormal="80" workbookViewId="0">
      <pane xSplit="1" ySplit="4" topLeftCell="B5" activePane="bottomRight" state="frozen"/>
      <selection pane="topRight"/>
      <selection pane="bottomLeft"/>
      <selection pane="bottomRight" activeCell="P16" sqref="P16"/>
    </sheetView>
  </sheetViews>
  <sheetFormatPr defaultColWidth="9" defaultRowHeight="14.4"/>
  <cols>
    <col min="1" max="1" width="28.88671875" customWidth="1"/>
    <col min="2" max="4" width="12.77734375" customWidth="1"/>
    <col min="5" max="5" width="12.88671875" customWidth="1"/>
    <col min="6" max="12" width="10.77734375" customWidth="1"/>
    <col min="13" max="13" width="10.88671875" customWidth="1"/>
    <col min="14" max="14" width="10.77734375" customWidth="1"/>
  </cols>
  <sheetData>
    <row r="1" spans="1:17" ht="15.6">
      <c r="A1" s="1780" t="s">
        <v>172</v>
      </c>
      <c r="B1" s="1780"/>
      <c r="C1" s="1780"/>
      <c r="D1" s="1780"/>
      <c r="E1" s="1780"/>
      <c r="F1" s="1780"/>
      <c r="G1" s="1780"/>
      <c r="H1" s="1780"/>
      <c r="I1" s="1780"/>
      <c r="J1" s="1780"/>
      <c r="K1" s="1780"/>
      <c r="L1" s="1780"/>
      <c r="M1" s="1780"/>
      <c r="N1" s="1780"/>
      <c r="O1" s="1780"/>
      <c r="P1" s="151"/>
      <c r="Q1" s="221"/>
    </row>
    <row r="2" spans="1:17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152"/>
      <c r="P2" s="2"/>
    </row>
    <row r="3" spans="1:17" ht="27" customHeight="1">
      <c r="A3" s="1784" t="s">
        <v>1</v>
      </c>
      <c r="B3" s="1786" t="s">
        <v>2</v>
      </c>
      <c r="C3" s="1786" t="s">
        <v>173</v>
      </c>
      <c r="D3" s="1788" t="s">
        <v>174</v>
      </c>
      <c r="E3" s="1781" t="s">
        <v>175</v>
      </c>
      <c r="F3" s="1782"/>
      <c r="G3" s="1782"/>
      <c r="H3" s="1782"/>
      <c r="I3" s="1782"/>
      <c r="J3" s="1782"/>
      <c r="K3" s="1782"/>
      <c r="L3" s="1782"/>
      <c r="M3" s="1782"/>
      <c r="N3" s="1783"/>
      <c r="O3" s="1790" t="s">
        <v>176</v>
      </c>
      <c r="P3" s="154"/>
    </row>
    <row r="4" spans="1:17" ht="27.6">
      <c r="A4" s="1785"/>
      <c r="B4" s="1787"/>
      <c r="C4" s="1787"/>
      <c r="D4" s="1789"/>
      <c r="E4" s="6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155" t="s">
        <v>12</v>
      </c>
      <c r="K4" s="156" t="s">
        <v>13</v>
      </c>
      <c r="L4" s="156" t="s">
        <v>14</v>
      </c>
      <c r="M4" s="157" t="s">
        <v>15</v>
      </c>
      <c r="N4" s="158" t="s">
        <v>16</v>
      </c>
      <c r="O4" s="1791"/>
      <c r="P4" s="154"/>
    </row>
    <row r="5" spans="1:17" ht="15.6">
      <c r="A5" s="8"/>
      <c r="B5" s="9"/>
      <c r="C5" s="9"/>
      <c r="D5" s="10"/>
      <c r="E5" s="11"/>
      <c r="F5" s="12"/>
      <c r="G5" s="12"/>
      <c r="H5" s="12"/>
      <c r="I5" s="12"/>
      <c r="J5" s="160"/>
      <c r="K5" s="12"/>
      <c r="L5" s="12"/>
      <c r="M5" s="160"/>
      <c r="N5" s="161"/>
      <c r="O5" s="162"/>
      <c r="P5" s="154"/>
    </row>
    <row r="6" spans="1:17">
      <c r="A6" s="13" t="s">
        <v>177</v>
      </c>
      <c r="B6" s="14">
        <f>SUM(B8:B18)</f>
        <v>4976683</v>
      </c>
      <c r="C6" s="14">
        <f>SUM(C8:C18)</f>
        <v>4470493</v>
      </c>
      <c r="D6" s="15">
        <f>SUM(D9:D18)</f>
        <v>4945138</v>
      </c>
      <c r="E6" s="16">
        <f t="shared" ref="E6:N6" si="0">SUM(E8:E18)</f>
        <v>481992</v>
      </c>
      <c r="F6" s="17">
        <f t="shared" si="0"/>
        <v>201427</v>
      </c>
      <c r="G6" s="17">
        <f t="shared" si="0"/>
        <v>175134</v>
      </c>
      <c r="H6" s="17">
        <f t="shared" si="0"/>
        <v>21780</v>
      </c>
      <c r="I6" s="17">
        <f t="shared" si="0"/>
        <v>24526</v>
      </c>
      <c r="J6" s="17">
        <f t="shared" si="0"/>
        <v>2936</v>
      </c>
      <c r="K6" s="17">
        <f t="shared" si="0"/>
        <v>62735</v>
      </c>
      <c r="L6" s="17">
        <f t="shared" si="0"/>
        <v>73691.399999999994</v>
      </c>
      <c r="M6" s="17">
        <f t="shared" si="0"/>
        <v>4520</v>
      </c>
      <c r="N6" s="163">
        <f t="shared" si="0"/>
        <v>23904</v>
      </c>
      <c r="O6" s="164">
        <f>+D6/C6</f>
        <v>1.1061728538664528</v>
      </c>
      <c r="P6" s="165"/>
      <c r="Q6" s="1447" t="s">
        <v>17</v>
      </c>
    </row>
    <row r="7" spans="1:17">
      <c r="A7" s="18" t="s">
        <v>178</v>
      </c>
      <c r="B7" s="19"/>
      <c r="C7" s="19"/>
      <c r="D7" s="20"/>
      <c r="E7" s="21">
        <f>SUM(F7:J7)</f>
        <v>0</v>
      </c>
      <c r="F7" s="22"/>
      <c r="G7" s="22"/>
      <c r="H7" s="22"/>
      <c r="I7" s="22"/>
      <c r="J7" s="99"/>
      <c r="K7" s="51"/>
      <c r="L7" s="51"/>
      <c r="M7" s="51"/>
      <c r="N7" s="166"/>
      <c r="O7" s="164"/>
      <c r="P7" s="165"/>
      <c r="Q7" s="1448" t="s">
        <v>18</v>
      </c>
    </row>
    <row r="8" spans="1:17">
      <c r="A8" s="23" t="s">
        <v>179</v>
      </c>
      <c r="B8" s="19"/>
      <c r="C8" s="19"/>
      <c r="D8" s="20"/>
      <c r="E8" s="21">
        <f>SUM(F8:J8)</f>
        <v>0</v>
      </c>
      <c r="F8" s="24"/>
      <c r="G8" s="24"/>
      <c r="H8" s="24"/>
      <c r="I8" s="24"/>
      <c r="J8" s="167"/>
      <c r="K8" s="168"/>
      <c r="L8" s="168"/>
      <c r="M8" s="168"/>
      <c r="N8" s="169"/>
      <c r="O8" s="164"/>
      <c r="P8" s="170"/>
      <c r="Q8" s="1449" t="s">
        <v>19</v>
      </c>
    </row>
    <row r="9" spans="1:17">
      <c r="A9" s="18" t="s">
        <v>180</v>
      </c>
      <c r="B9" s="19">
        <f>108077+85467+113186+113042+116756+109995+110509+101300+92745+107226+101895+113016</f>
        <v>1273214</v>
      </c>
      <c r="C9" s="19">
        <v>1160198</v>
      </c>
      <c r="D9" s="20">
        <f>195272+119565+111251+124577+111240+113765+121727+107555+127919+124121</f>
        <v>1256992</v>
      </c>
      <c r="E9" s="21">
        <f t="shared" ref="E9:E11" si="1">SUM(F9:J9)</f>
        <v>124121</v>
      </c>
      <c r="F9" s="24">
        <v>45477</v>
      </c>
      <c r="G9" s="24">
        <v>41207</v>
      </c>
      <c r="H9" s="24">
        <v>17937</v>
      </c>
      <c r="I9" s="24">
        <v>19500</v>
      </c>
      <c r="J9" s="171">
        <v>0</v>
      </c>
      <c r="K9" s="51"/>
      <c r="L9" s="51"/>
      <c r="M9" s="51"/>
      <c r="N9" s="166"/>
      <c r="O9" s="164">
        <f>+D9/C9</f>
        <v>1.0834288630044182</v>
      </c>
      <c r="P9" s="172"/>
      <c r="Q9" s="1450" t="s">
        <v>20</v>
      </c>
    </row>
    <row r="10" spans="1:17">
      <c r="A10" s="25" t="s">
        <v>181</v>
      </c>
      <c r="B10" s="26">
        <v>0</v>
      </c>
      <c r="C10" s="282">
        <v>0</v>
      </c>
      <c r="D10" s="27">
        <f>111446+37016+46962</f>
        <v>195424</v>
      </c>
      <c r="E10" s="28">
        <f t="shared" si="1"/>
        <v>46962</v>
      </c>
      <c r="F10" s="29">
        <v>25404</v>
      </c>
      <c r="G10" s="29">
        <v>18622</v>
      </c>
      <c r="H10" s="30">
        <v>0</v>
      </c>
      <c r="I10" s="30">
        <v>0</v>
      </c>
      <c r="J10" s="29">
        <v>2936</v>
      </c>
      <c r="K10" s="173">
        <v>11302</v>
      </c>
      <c r="L10" s="173">
        <f>6462+6+12</f>
        <v>6480</v>
      </c>
      <c r="M10" s="173">
        <v>1027</v>
      </c>
      <c r="N10" s="174">
        <v>504</v>
      </c>
      <c r="O10" s="164"/>
      <c r="P10" s="172"/>
      <c r="Q10" s="1451" t="s">
        <v>135</v>
      </c>
    </row>
    <row r="11" spans="1:17">
      <c r="A11" s="18" t="s">
        <v>21</v>
      </c>
      <c r="B11" s="19">
        <f>148719+103732+138638+114388+149772+144287+154524+162231+134683+114242+101779+138292</f>
        <v>1605287</v>
      </c>
      <c r="C11" s="19">
        <v>1406995</v>
      </c>
      <c r="D11" s="31">
        <f>131015+78250+105874+111968+99207+123596+111773+110146+91651+118422+115294</f>
        <v>1197196</v>
      </c>
      <c r="E11" s="32">
        <f t="shared" si="1"/>
        <v>115294</v>
      </c>
      <c r="F11" s="33">
        <v>60601</v>
      </c>
      <c r="G11" s="33">
        <v>54693</v>
      </c>
      <c r="H11" s="30">
        <v>0</v>
      </c>
      <c r="I11" s="30">
        <v>0</v>
      </c>
      <c r="J11" s="30">
        <v>0</v>
      </c>
      <c r="K11" s="168">
        <v>15164</v>
      </c>
      <c r="L11" s="168">
        <f>41663+745</f>
        <v>42408</v>
      </c>
      <c r="M11" s="51"/>
      <c r="N11" s="166"/>
      <c r="O11" s="164">
        <f>+D11/C11</f>
        <v>0.85088859590830102</v>
      </c>
      <c r="P11" s="170"/>
      <c r="Q11" s="1448" t="s">
        <v>21</v>
      </c>
    </row>
    <row r="12" spans="1:17">
      <c r="A12" s="18" t="s">
        <v>22</v>
      </c>
      <c r="B12" s="19"/>
      <c r="C12" s="19"/>
      <c r="D12" s="34"/>
      <c r="E12" s="21"/>
      <c r="F12" s="24"/>
      <c r="G12" s="24"/>
      <c r="H12" s="24"/>
      <c r="I12" s="24"/>
      <c r="J12" s="167"/>
      <c r="K12" s="168"/>
      <c r="L12" s="168"/>
      <c r="M12" s="168"/>
      <c r="N12" s="169"/>
      <c r="O12" s="164"/>
      <c r="P12" s="172"/>
      <c r="Q12" s="1448" t="s">
        <v>22</v>
      </c>
    </row>
    <row r="13" spans="1:17">
      <c r="A13" s="18" t="s">
        <v>182</v>
      </c>
      <c r="B13" s="19">
        <f>39231+38035+45839+55212+55252+51874+53719+51193+43893+46338+47055+45738</f>
        <v>573379</v>
      </c>
      <c r="C13" s="19">
        <v>527641</v>
      </c>
      <c r="D13" s="34">
        <f>74332+41587+36538+49878+32546+31277+34151+28168+37725+30539</f>
        <v>396741</v>
      </c>
      <c r="E13" s="21">
        <f>SUM(F13:J13)</f>
        <v>30539</v>
      </c>
      <c r="F13" s="24">
        <v>15232</v>
      </c>
      <c r="G13" s="24">
        <v>14431</v>
      </c>
      <c r="H13" s="24">
        <f>559</f>
        <v>559</v>
      </c>
      <c r="I13" s="24">
        <f>317</f>
        <v>317</v>
      </c>
      <c r="J13" s="30">
        <v>0</v>
      </c>
      <c r="K13" s="168">
        <v>8893</v>
      </c>
      <c r="L13" s="168">
        <f>225+6023+457+78</f>
        <v>6783</v>
      </c>
      <c r="M13" s="51"/>
      <c r="N13" s="166"/>
      <c r="O13" s="164">
        <f>+D13/C13</f>
        <v>0.75191465409246061</v>
      </c>
      <c r="P13" s="170"/>
      <c r="Q13" s="1450" t="s">
        <v>23</v>
      </c>
    </row>
    <row r="14" spans="1:17">
      <c r="A14" s="23" t="s">
        <v>183</v>
      </c>
      <c r="B14" s="19">
        <v>0</v>
      </c>
      <c r="C14" s="19"/>
      <c r="D14" s="1461">
        <f>'T10-2025'!D14+'T11-2025'!E14</f>
        <v>359798</v>
      </c>
      <c r="E14" s="1460">
        <v>40000</v>
      </c>
      <c r="F14" s="24"/>
      <c r="G14" s="24"/>
      <c r="H14" s="24"/>
      <c r="I14" s="24"/>
      <c r="J14" s="167"/>
      <c r="K14" s="168"/>
      <c r="L14" s="168"/>
      <c r="M14" s="168"/>
      <c r="N14" s="169"/>
      <c r="O14" s="164"/>
      <c r="P14" s="172"/>
      <c r="Q14" s="1452" t="s">
        <v>24</v>
      </c>
    </row>
    <row r="15" spans="1:17">
      <c r="A15" s="35" t="s">
        <v>25</v>
      </c>
      <c r="B15" s="19">
        <f>107401+71667+97692+112321+100543+91682+100061+119410+112186+136804+148168+145637</f>
        <v>1343572</v>
      </c>
      <c r="C15" s="19">
        <v>1197935</v>
      </c>
      <c r="D15" s="20">
        <f>1255391+108887</f>
        <v>1364278</v>
      </c>
      <c r="E15" s="21">
        <f>SUM(F15:J15)</f>
        <v>108887</v>
      </c>
      <c r="F15" s="36">
        <v>54713</v>
      </c>
      <c r="G15" s="36">
        <v>46181</v>
      </c>
      <c r="H15" s="36">
        <v>3284</v>
      </c>
      <c r="I15" s="36">
        <v>4709</v>
      </c>
      <c r="J15" s="30">
        <v>0</v>
      </c>
      <c r="K15" s="176">
        <v>27376</v>
      </c>
      <c r="L15" s="176">
        <v>18020.400000000001</v>
      </c>
      <c r="M15" s="176">
        <v>3493</v>
      </c>
      <c r="N15" s="177">
        <v>23400</v>
      </c>
      <c r="O15" s="164">
        <f>+D15/C15</f>
        <v>1.1388581183453192</v>
      </c>
      <c r="P15" s="170"/>
      <c r="Q15" s="1453" t="s">
        <v>25</v>
      </c>
    </row>
    <row r="16" spans="1:17">
      <c r="A16" s="18" t="s">
        <v>26</v>
      </c>
      <c r="B16" s="19">
        <f>5818+3471+4879+3146+1868+3203+3535+2520+3649+3073+2995+3507</f>
        <v>41664</v>
      </c>
      <c r="C16" s="19">
        <v>38157</v>
      </c>
      <c r="D16" s="1462"/>
      <c r="E16" s="1460"/>
      <c r="F16" s="24"/>
      <c r="G16" s="24"/>
      <c r="H16" s="24"/>
      <c r="I16" s="24"/>
      <c r="J16" s="167"/>
      <c r="K16" s="51"/>
      <c r="L16" s="168"/>
      <c r="M16" s="168"/>
      <c r="N16" s="169"/>
      <c r="O16" s="164"/>
      <c r="P16" s="178"/>
      <c r="Q16" s="1448" t="s">
        <v>26</v>
      </c>
    </row>
    <row r="17" spans="1:17">
      <c r="A17" s="18" t="s">
        <v>27</v>
      </c>
      <c r="B17" s="19">
        <f>528</f>
        <v>528</v>
      </c>
      <c r="C17" s="19">
        <v>528</v>
      </c>
      <c r="D17" s="20"/>
      <c r="E17" s="21"/>
      <c r="F17" s="24"/>
      <c r="G17" s="24"/>
      <c r="H17" s="24"/>
      <c r="I17" s="24"/>
      <c r="J17" s="167"/>
      <c r="K17" s="51"/>
      <c r="L17" s="51"/>
      <c r="M17" s="168"/>
      <c r="N17" s="169"/>
      <c r="O17" s="164"/>
      <c r="P17" s="178"/>
      <c r="Q17" s="1448" t="s">
        <v>27</v>
      </c>
    </row>
    <row r="18" spans="1:17" ht="15" thickBot="1">
      <c r="A18" s="283" t="s">
        <v>28</v>
      </c>
      <c r="B18" s="284">
        <f>127397+11642</f>
        <v>139039</v>
      </c>
      <c r="C18" s="285">
        <v>139039</v>
      </c>
      <c r="D18" s="286">
        <f>19907+16036+17100+18000+13965+16816+21546+15500+19650+16189</f>
        <v>174709</v>
      </c>
      <c r="E18" s="287">
        <v>16189</v>
      </c>
      <c r="F18" s="288"/>
      <c r="G18" s="288"/>
      <c r="H18" s="288"/>
      <c r="I18" s="288"/>
      <c r="J18" s="288"/>
      <c r="K18" s="51"/>
      <c r="L18" s="51"/>
      <c r="M18" s="51"/>
      <c r="N18" s="166"/>
      <c r="O18" s="164">
        <f t="shared" ref="O18:O25" si="2">+D18/C18</f>
        <v>1.2565467243003761</v>
      </c>
      <c r="P18" s="182"/>
      <c r="Q18" s="1454" t="s">
        <v>28</v>
      </c>
    </row>
    <row r="19" spans="1:17" ht="15.6">
      <c r="A19" s="289" t="s">
        <v>29</v>
      </c>
      <c r="B19" s="290">
        <f>534688+54911+55025</f>
        <v>644624</v>
      </c>
      <c r="C19" s="291">
        <v>583927</v>
      </c>
      <c r="D19" s="292">
        <v>583564</v>
      </c>
      <c r="E19" s="293">
        <v>48432</v>
      </c>
      <c r="F19" s="51"/>
      <c r="G19" s="51"/>
      <c r="H19" s="51"/>
      <c r="I19" s="51"/>
      <c r="J19" s="51"/>
      <c r="K19" s="51"/>
      <c r="L19" s="51"/>
      <c r="M19" s="51"/>
      <c r="N19" s="166"/>
      <c r="O19" s="164">
        <f t="shared" si="2"/>
        <v>0.99937834695090311</v>
      </c>
      <c r="P19" s="185"/>
      <c r="Q19" s="1455" t="s">
        <v>29</v>
      </c>
    </row>
    <row r="20" spans="1:17" ht="15.6">
      <c r="A20" s="47" t="s">
        <v>30</v>
      </c>
      <c r="B20" s="48">
        <f>228437+18717+26622</f>
        <v>273776</v>
      </c>
      <c r="C20" s="294">
        <v>244682</v>
      </c>
      <c r="D20" s="49">
        <v>232769</v>
      </c>
      <c r="E20" s="50">
        <v>22931</v>
      </c>
      <c r="F20" s="51"/>
      <c r="G20" s="51"/>
      <c r="H20" s="51"/>
      <c r="I20" s="51"/>
      <c r="J20" s="51"/>
      <c r="K20" s="51"/>
      <c r="L20" s="51"/>
      <c r="M20" s="51"/>
      <c r="N20" s="166"/>
      <c r="O20" s="164">
        <f t="shared" si="2"/>
        <v>0.95131231557695295</v>
      </c>
      <c r="P20" s="186"/>
      <c r="Q20" s="1456" t="s">
        <v>30</v>
      </c>
    </row>
    <row r="21" spans="1:17" ht="15.6">
      <c r="A21" s="47" t="s">
        <v>31</v>
      </c>
      <c r="B21" s="48">
        <f>76626+5290+8224</f>
        <v>90140</v>
      </c>
      <c r="C21" s="294">
        <v>81565</v>
      </c>
      <c r="D21" s="49">
        <v>59600</v>
      </c>
      <c r="E21" s="50">
        <v>3613</v>
      </c>
      <c r="F21" s="51"/>
      <c r="G21" s="51"/>
      <c r="H21" s="51"/>
      <c r="I21" s="51"/>
      <c r="J21" s="51"/>
      <c r="K21" s="51"/>
      <c r="L21" s="51"/>
      <c r="M21" s="51"/>
      <c r="N21" s="166"/>
      <c r="O21" s="164">
        <f t="shared" si="2"/>
        <v>0.73070557224299637</v>
      </c>
      <c r="P21" s="187"/>
      <c r="Q21" s="1457" t="s">
        <v>31</v>
      </c>
    </row>
    <row r="22" spans="1:17" ht="15.6">
      <c r="A22" s="47" t="s">
        <v>32</v>
      </c>
      <c r="B22" s="48">
        <v>483790</v>
      </c>
      <c r="C22" s="294">
        <v>442236</v>
      </c>
      <c r="D22" s="49">
        <v>405177</v>
      </c>
      <c r="E22" s="50">
        <v>34296</v>
      </c>
      <c r="F22" s="51"/>
      <c r="G22" s="51"/>
      <c r="H22" s="51"/>
      <c r="I22" s="51"/>
      <c r="J22" s="51"/>
      <c r="K22" s="51"/>
      <c r="L22" s="51"/>
      <c r="M22" s="51"/>
      <c r="N22" s="166"/>
      <c r="O22" s="164">
        <f t="shared" si="2"/>
        <v>0.91620085203375579</v>
      </c>
      <c r="P22" s="187"/>
      <c r="Q22" s="1456" t="s">
        <v>32</v>
      </c>
    </row>
    <row r="23" spans="1:17" ht="15.6">
      <c r="A23" s="47" t="s">
        <v>33</v>
      </c>
      <c r="B23" s="48">
        <f>159887+13631+13177</f>
        <v>186695</v>
      </c>
      <c r="C23" s="294">
        <v>158346</v>
      </c>
      <c r="D23" s="49">
        <v>133950</v>
      </c>
      <c r="E23" s="50">
        <v>9682</v>
      </c>
      <c r="F23" s="51"/>
      <c r="G23" s="51"/>
      <c r="H23" s="51"/>
      <c r="I23" s="51"/>
      <c r="J23" s="51"/>
      <c r="K23" s="51"/>
      <c r="L23" s="51"/>
      <c r="M23" s="51"/>
      <c r="N23" s="166"/>
      <c r="O23" s="164">
        <f t="shared" si="2"/>
        <v>0.8459323254139669</v>
      </c>
      <c r="P23" s="187"/>
      <c r="Q23" s="1456" t="s">
        <v>33</v>
      </c>
    </row>
    <row r="24" spans="1:17" ht="15.6">
      <c r="A24" s="47" t="s">
        <v>34</v>
      </c>
      <c r="B24" s="48">
        <f>199276+27729+38601</f>
        <v>265606</v>
      </c>
      <c r="C24" s="294">
        <v>211546</v>
      </c>
      <c r="D24" s="49">
        <v>364707</v>
      </c>
      <c r="E24" s="52">
        <v>46153</v>
      </c>
      <c r="F24" s="51"/>
      <c r="G24" s="51"/>
      <c r="H24" s="51"/>
      <c r="I24" s="51"/>
      <c r="J24" s="51"/>
      <c r="K24" s="51"/>
      <c r="L24" s="51"/>
      <c r="M24" s="51"/>
      <c r="N24" s="166"/>
      <c r="O24" s="164">
        <f t="shared" si="2"/>
        <v>1.7240080171688428</v>
      </c>
      <c r="P24" s="187"/>
      <c r="Q24" s="1456" t="s">
        <v>34</v>
      </c>
    </row>
    <row r="25" spans="1:17" ht="15.6">
      <c r="A25" s="53" t="s">
        <v>35</v>
      </c>
      <c r="B25" s="48">
        <v>169502</v>
      </c>
      <c r="C25" s="294">
        <v>142177</v>
      </c>
      <c r="D25" s="49">
        <v>127855</v>
      </c>
      <c r="E25" s="52">
        <v>8703</v>
      </c>
      <c r="F25" s="51"/>
      <c r="G25" s="51"/>
      <c r="H25" s="51"/>
      <c r="I25" s="51"/>
      <c r="J25" s="51"/>
      <c r="K25" s="51"/>
      <c r="L25" s="51"/>
      <c r="M25" s="51"/>
      <c r="N25" s="166"/>
      <c r="O25" s="164">
        <f t="shared" si="2"/>
        <v>0.89926640736546704</v>
      </c>
      <c r="P25" s="187"/>
      <c r="Q25" s="1458" t="s">
        <v>35</v>
      </c>
    </row>
    <row r="26" spans="1:17" ht="15.6">
      <c r="A26" s="53" t="s">
        <v>184</v>
      </c>
      <c r="B26" s="54">
        <v>0</v>
      </c>
      <c r="C26" s="295">
        <v>0</v>
      </c>
      <c r="D26" s="55">
        <v>655215</v>
      </c>
      <c r="E26" s="52">
        <v>69768</v>
      </c>
      <c r="F26" s="51"/>
      <c r="G26" s="51"/>
      <c r="H26" s="51"/>
      <c r="I26" s="51"/>
      <c r="J26" s="51"/>
      <c r="K26" s="51"/>
      <c r="L26" s="51"/>
      <c r="M26" s="51"/>
      <c r="N26" s="166"/>
      <c r="O26" s="164"/>
      <c r="P26" s="187"/>
      <c r="Q26" s="1459" t="s">
        <v>121</v>
      </c>
    </row>
    <row r="27" spans="1:17">
      <c r="A27" s="56" t="s">
        <v>142</v>
      </c>
      <c r="B27" s="57">
        <f>29509+14652+23209+24242+23009+26529+25218+28150+30612+24870+21148+23890</f>
        <v>295038</v>
      </c>
      <c r="C27" s="296">
        <v>281148</v>
      </c>
      <c r="D27" s="58">
        <f>225080+20763</f>
        <v>245843</v>
      </c>
      <c r="E27" s="297">
        <f>SUM(F27:J27)</f>
        <v>20763</v>
      </c>
      <c r="F27" s="60">
        <v>0</v>
      </c>
      <c r="G27" s="60">
        <v>0</v>
      </c>
      <c r="H27" s="61">
        <v>9713</v>
      </c>
      <c r="I27" s="61">
        <v>11050</v>
      </c>
      <c r="J27" s="61"/>
      <c r="K27" s="188">
        <f>2584+2598</f>
        <v>5182</v>
      </c>
      <c r="L27" s="188">
        <f>13+180</f>
        <v>193</v>
      </c>
      <c r="M27" s="189"/>
      <c r="N27" s="190"/>
      <c r="O27" s="164">
        <f>+D27/C27</f>
        <v>0.87442556945096528</v>
      </c>
      <c r="P27" s="187"/>
      <c r="Q27" s="1457" t="s">
        <v>142</v>
      </c>
    </row>
    <row r="28" spans="1:17">
      <c r="A28" s="62"/>
      <c r="B28" s="63">
        <f>SUM(B19:B27)</f>
        <v>2409171</v>
      </c>
      <c r="C28" s="64">
        <f>SUM(C19:C27)</f>
        <v>2145627</v>
      </c>
      <c r="D28" s="65">
        <f>SUM(D19:D27)</f>
        <v>2808680</v>
      </c>
      <c r="E28" s="66">
        <f>SUM(E19:E27)</f>
        <v>264341</v>
      </c>
      <c r="F28" s="67"/>
      <c r="G28" s="67"/>
      <c r="H28" s="67"/>
      <c r="I28" s="67"/>
      <c r="J28" s="67"/>
      <c r="K28" s="191"/>
      <c r="L28" s="191"/>
      <c r="M28" s="51"/>
      <c r="N28" s="166"/>
      <c r="O28" s="164">
        <f>+D28/C28</f>
        <v>1.3090252872470378</v>
      </c>
      <c r="P28" s="187"/>
      <c r="Q28" s="2"/>
    </row>
    <row r="29" spans="1:17">
      <c r="A29" s="68"/>
      <c r="B29" s="69"/>
      <c r="C29" s="69"/>
      <c r="D29" s="70"/>
      <c r="E29" s="71"/>
      <c r="F29" s="51"/>
      <c r="G29" s="51"/>
      <c r="H29" s="51"/>
      <c r="I29" s="51"/>
      <c r="J29" s="51"/>
      <c r="K29" s="51"/>
      <c r="L29" s="51"/>
      <c r="M29" s="51"/>
      <c r="N29" s="166"/>
      <c r="O29" s="164"/>
      <c r="P29" s="187"/>
      <c r="Q29" s="2"/>
    </row>
    <row r="30" spans="1:17">
      <c r="A30" s="72" t="s">
        <v>185</v>
      </c>
      <c r="B30" s="73">
        <f>SUM(B31:B32)</f>
        <v>39074</v>
      </c>
      <c r="C30" s="73">
        <f t="shared" ref="C30:N30" si="3">SUM(C31:C32)</f>
        <v>35408</v>
      </c>
      <c r="D30" s="73">
        <f t="shared" si="3"/>
        <v>105266</v>
      </c>
      <c r="E30" s="73">
        <f t="shared" si="3"/>
        <v>11025</v>
      </c>
      <c r="F30" s="73">
        <f t="shared" si="3"/>
        <v>0</v>
      </c>
      <c r="G30" s="73">
        <f t="shared" si="3"/>
        <v>0</v>
      </c>
      <c r="H30" s="73">
        <f t="shared" si="3"/>
        <v>5722</v>
      </c>
      <c r="I30" s="73">
        <f t="shared" si="3"/>
        <v>5303</v>
      </c>
      <c r="J30" s="73">
        <f t="shared" si="3"/>
        <v>0</v>
      </c>
      <c r="K30" s="73">
        <f t="shared" si="3"/>
        <v>5197</v>
      </c>
      <c r="L30" s="73">
        <f t="shared" si="3"/>
        <v>2548</v>
      </c>
      <c r="M30" s="73">
        <f t="shared" si="3"/>
        <v>0</v>
      </c>
      <c r="N30" s="73">
        <f t="shared" si="3"/>
        <v>6447</v>
      </c>
      <c r="O30" s="164">
        <f t="shared" ref="O30:O34" si="4">+D30/C30</f>
        <v>2.9729439674649796</v>
      </c>
      <c r="P30" s="192"/>
      <c r="Q30" s="197"/>
    </row>
    <row r="31" spans="1:17">
      <c r="A31" s="18" t="s">
        <v>186</v>
      </c>
      <c r="B31" s="74">
        <f>31848+3560+3666</f>
        <v>39074</v>
      </c>
      <c r="C31" s="298">
        <v>35408</v>
      </c>
      <c r="D31" s="75">
        <v>51295</v>
      </c>
      <c r="E31" s="21">
        <f>SUM(F31:J31)</f>
        <v>4578</v>
      </c>
      <c r="F31" s="76">
        <v>0</v>
      </c>
      <c r="G31" s="76">
        <v>0</v>
      </c>
      <c r="H31" s="77">
        <v>2337</v>
      </c>
      <c r="I31" s="77">
        <v>2241</v>
      </c>
      <c r="J31" s="76">
        <v>0</v>
      </c>
      <c r="K31" s="168">
        <v>1900</v>
      </c>
      <c r="L31" s="168">
        <f>733+71</f>
        <v>804</v>
      </c>
      <c r="M31" s="51"/>
      <c r="N31" s="166"/>
      <c r="O31" s="164">
        <f t="shared" si="4"/>
        <v>1.4486839132399458</v>
      </c>
      <c r="P31" s="193"/>
      <c r="Q31" s="2"/>
    </row>
    <row r="32" spans="1:17">
      <c r="A32" s="18" t="s">
        <v>149</v>
      </c>
      <c r="B32" s="78"/>
      <c r="C32" s="299">
        <v>0</v>
      </c>
      <c r="D32" s="75">
        <f>47524+6447</f>
        <v>53971</v>
      </c>
      <c r="E32" s="28">
        <f>SUM(F32:J32)</f>
        <v>6447</v>
      </c>
      <c r="F32" s="76">
        <v>0</v>
      </c>
      <c r="G32" s="76">
        <v>0</v>
      </c>
      <c r="H32" s="77">
        <v>3385</v>
      </c>
      <c r="I32" s="77">
        <v>3062</v>
      </c>
      <c r="J32" s="76">
        <v>0</v>
      </c>
      <c r="K32" s="168">
        <v>3297</v>
      </c>
      <c r="L32" s="168">
        <f>1742+2</f>
        <v>1744</v>
      </c>
      <c r="M32" s="51"/>
      <c r="N32" s="169">
        <v>6447</v>
      </c>
      <c r="O32" s="164"/>
      <c r="P32" s="193"/>
      <c r="Q32" s="2"/>
    </row>
    <row r="33" spans="1:17">
      <c r="A33" s="18"/>
      <c r="B33" s="78"/>
      <c r="C33" s="299"/>
      <c r="D33" s="75"/>
      <c r="E33" s="28"/>
      <c r="F33" s="76"/>
      <c r="G33" s="76"/>
      <c r="H33" s="77"/>
      <c r="I33" s="77"/>
      <c r="J33" s="76"/>
      <c r="K33" s="168"/>
      <c r="L33" s="168"/>
      <c r="M33" s="51"/>
      <c r="N33" s="169"/>
      <c r="O33" s="164"/>
      <c r="P33" s="193"/>
      <c r="Q33" s="2"/>
    </row>
    <row r="34" spans="1:17">
      <c r="A34" s="72" t="s">
        <v>187</v>
      </c>
      <c r="B34" s="79">
        <f>SUM(B35:B37)</f>
        <v>936794</v>
      </c>
      <c r="C34" s="79">
        <f t="shared" ref="C34:N34" si="5">SUM(C35:C37)</f>
        <v>845107</v>
      </c>
      <c r="D34" s="79">
        <f t="shared" si="5"/>
        <v>925831</v>
      </c>
      <c r="E34" s="79">
        <f t="shared" si="5"/>
        <v>84332</v>
      </c>
      <c r="F34" s="79">
        <f t="shared" si="5"/>
        <v>33715</v>
      </c>
      <c r="G34" s="79">
        <f t="shared" si="5"/>
        <v>35619</v>
      </c>
      <c r="H34" s="79">
        <f t="shared" si="5"/>
        <v>10833</v>
      </c>
      <c r="I34" s="79">
        <f t="shared" si="5"/>
        <v>4165</v>
      </c>
      <c r="J34" s="79">
        <f t="shared" si="5"/>
        <v>0</v>
      </c>
      <c r="K34" s="79">
        <f t="shared" si="5"/>
        <v>16442</v>
      </c>
      <c r="L34" s="79">
        <f t="shared" si="5"/>
        <v>17626</v>
      </c>
      <c r="M34" s="79">
        <f t="shared" si="5"/>
        <v>0</v>
      </c>
      <c r="N34" s="79">
        <f t="shared" si="5"/>
        <v>0</v>
      </c>
      <c r="O34" s="164">
        <f t="shared" si="4"/>
        <v>1.095519265607787</v>
      </c>
      <c r="P34" s="193"/>
      <c r="Q34" s="2"/>
    </row>
    <row r="35" spans="1:17">
      <c r="A35" s="80" t="s">
        <v>188</v>
      </c>
      <c r="B35" s="74">
        <f>64505+48073+62185+62452+59765+64280+67096+71165+61780+66528+63320+71042</f>
        <v>762191</v>
      </c>
      <c r="C35" s="298">
        <v>691149</v>
      </c>
      <c r="D35" s="81">
        <f>122864+65834+68474+77377+68757+73572+78703+65592+72568+68867</f>
        <v>762608</v>
      </c>
      <c r="E35" s="21">
        <f>SUM(F35:J35)</f>
        <v>68867</v>
      </c>
      <c r="F35" s="82">
        <v>29088</v>
      </c>
      <c r="G35" s="82">
        <v>28624</v>
      </c>
      <c r="H35" s="82">
        <v>7078</v>
      </c>
      <c r="I35" s="82">
        <v>4077</v>
      </c>
      <c r="J35" s="76">
        <v>0</v>
      </c>
      <c r="K35" s="51">
        <v>14403</v>
      </c>
      <c r="L35" s="51">
        <f>3385+2697+2488+2271</f>
        <v>10841</v>
      </c>
      <c r="M35" s="51"/>
      <c r="N35" s="166"/>
      <c r="O35" s="164">
        <f t="shared" ref="O35:O71" si="6">+D35/C35</f>
        <v>1.1033915986277922</v>
      </c>
      <c r="P35" s="2"/>
      <c r="Q35" s="2"/>
    </row>
    <row r="36" spans="1:17">
      <c r="A36" s="80" t="s">
        <v>189</v>
      </c>
      <c r="B36" s="83">
        <f>22490+11900+19473+16591+12914+13370+11563+9278+10032+11317+15030+20645</f>
        <v>174603</v>
      </c>
      <c r="C36" s="300">
        <v>153958</v>
      </c>
      <c r="D36" s="84">
        <f>35860+15843+15535+12262+10916+12135+12744+11821+20642+15465</f>
        <v>163223</v>
      </c>
      <c r="E36" s="21">
        <f>SUM(F36:J36)</f>
        <v>15465</v>
      </c>
      <c r="F36" s="85">
        <v>4627</v>
      </c>
      <c r="G36" s="82">
        <v>6995</v>
      </c>
      <c r="H36" s="82">
        <v>3755</v>
      </c>
      <c r="I36" s="82">
        <v>88</v>
      </c>
      <c r="J36" s="76">
        <v>0</v>
      </c>
      <c r="K36" s="51">
        <v>2039</v>
      </c>
      <c r="L36" s="51">
        <f>2963+35+3703+84</f>
        <v>6785</v>
      </c>
      <c r="M36" s="51"/>
      <c r="N36" s="166"/>
      <c r="O36" s="164">
        <f t="shared" si="6"/>
        <v>1.0601787500487145</v>
      </c>
      <c r="P36" s="2"/>
      <c r="Q36" s="2"/>
    </row>
    <row r="37" spans="1:17">
      <c r="A37" s="80" t="s">
        <v>41</v>
      </c>
      <c r="B37" s="19"/>
      <c r="C37" s="86"/>
      <c r="D37" s="20"/>
      <c r="E37" s="21">
        <f t="shared" ref="E37" si="7">SUM(F37:J37)</f>
        <v>0</v>
      </c>
      <c r="F37" s="77"/>
      <c r="G37" s="77"/>
      <c r="H37" s="77"/>
      <c r="I37" s="77"/>
      <c r="J37" s="24"/>
      <c r="K37" s="168"/>
      <c r="L37" s="168"/>
      <c r="M37" s="168"/>
      <c r="N37" s="169"/>
      <c r="O37" s="164"/>
      <c r="P37" s="2"/>
      <c r="Q37" s="2"/>
    </row>
    <row r="38" spans="1:17">
      <c r="A38" s="87"/>
      <c r="B38" s="88"/>
      <c r="C38" s="89"/>
      <c r="D38" s="90"/>
      <c r="E38" s="91"/>
      <c r="F38" s="92"/>
      <c r="G38" s="92"/>
      <c r="H38" s="92"/>
      <c r="I38" s="92"/>
      <c r="J38" s="92"/>
      <c r="K38" s="194"/>
      <c r="L38" s="194"/>
      <c r="M38" s="194"/>
      <c r="N38" s="195"/>
      <c r="O38" s="164"/>
      <c r="P38" s="2"/>
      <c r="Q38" s="2"/>
    </row>
    <row r="39" spans="1:17" ht="28.2">
      <c r="A39" s="93" t="s">
        <v>190</v>
      </c>
      <c r="B39" s="14">
        <f t="shared" ref="B39:N39" si="8">SUM(B40:B50)</f>
        <v>8566129</v>
      </c>
      <c r="C39" s="94">
        <f t="shared" si="8"/>
        <v>7805557</v>
      </c>
      <c r="D39" s="15">
        <f t="shared" ref="D39:E39" si="9">SUM(D40:D50)</f>
        <v>8596714</v>
      </c>
      <c r="E39" s="15">
        <f t="shared" si="9"/>
        <v>799074</v>
      </c>
      <c r="F39" s="17">
        <f t="shared" si="8"/>
        <v>304455</v>
      </c>
      <c r="G39" s="17">
        <f t="shared" si="8"/>
        <v>240414</v>
      </c>
      <c r="H39" s="17">
        <f t="shared" si="8"/>
        <v>80787</v>
      </c>
      <c r="I39" s="17">
        <f t="shared" si="8"/>
        <v>173260</v>
      </c>
      <c r="J39" s="17">
        <f t="shared" si="8"/>
        <v>158</v>
      </c>
      <c r="K39" s="17">
        <f t="shared" si="8"/>
        <v>192356</v>
      </c>
      <c r="L39" s="17">
        <f t="shared" si="8"/>
        <v>100462</v>
      </c>
      <c r="M39" s="17">
        <f t="shared" si="8"/>
        <v>742</v>
      </c>
      <c r="N39" s="196">
        <f t="shared" si="8"/>
        <v>66905</v>
      </c>
      <c r="O39" s="164">
        <f t="shared" si="6"/>
        <v>1.1013581734141458</v>
      </c>
      <c r="P39" s="197"/>
      <c r="Q39" s="197"/>
    </row>
    <row r="40" spans="1:17">
      <c r="A40" s="18" t="s">
        <v>191</v>
      </c>
      <c r="B40" s="19">
        <f>176793+71526+59980+65204+71423+79211+71917+76068+84439+81079</f>
        <v>837640</v>
      </c>
      <c r="C40" s="86">
        <v>756561</v>
      </c>
      <c r="D40" s="20">
        <f>141659+76024+81669+80656+83401+82771+90144+86739+86664+97258</f>
        <v>906985</v>
      </c>
      <c r="E40" s="21">
        <f>SUM(H40:J40)</f>
        <v>97258</v>
      </c>
      <c r="F40" s="76">
        <v>0</v>
      </c>
      <c r="G40" s="76">
        <v>0</v>
      </c>
      <c r="H40" s="24">
        <v>25914</v>
      </c>
      <c r="I40" s="24">
        <v>71344</v>
      </c>
      <c r="J40" s="76">
        <v>0</v>
      </c>
      <c r="K40" s="198">
        <v>2188</v>
      </c>
      <c r="L40" s="198">
        <f>20227+14</f>
        <v>20241</v>
      </c>
      <c r="M40" s="51"/>
      <c r="N40" s="166"/>
      <c r="O40" s="164">
        <f t="shared" si="6"/>
        <v>1.1988260034551081</v>
      </c>
      <c r="P40" s="2"/>
      <c r="Q40" s="2"/>
    </row>
    <row r="41" spans="1:17">
      <c r="A41" s="18" t="s">
        <v>44</v>
      </c>
      <c r="B41" s="19">
        <f>315296+56739+61665+55007+62647+65661+65065</f>
        <v>682080</v>
      </c>
      <c r="C41" s="86">
        <v>617015</v>
      </c>
      <c r="D41" s="95">
        <f>104618+64282+60352+64355+61155+69820+67741+61649+65796+65459</f>
        <v>685227</v>
      </c>
      <c r="E41" s="21">
        <f>SUM(H41:J41)</f>
        <v>65459</v>
      </c>
      <c r="F41" s="76">
        <v>0</v>
      </c>
      <c r="G41" s="76">
        <v>0</v>
      </c>
      <c r="H41" s="22">
        <v>8897</v>
      </c>
      <c r="I41" s="22">
        <v>56562</v>
      </c>
      <c r="J41" s="76">
        <v>0</v>
      </c>
      <c r="K41" s="168">
        <v>1543</v>
      </c>
      <c r="L41" s="199">
        <f>8409</f>
        <v>8409</v>
      </c>
      <c r="M41" s="51"/>
      <c r="N41" s="200">
        <v>65459</v>
      </c>
      <c r="O41" s="164">
        <f t="shared" si="6"/>
        <v>1.1105516073353161</v>
      </c>
      <c r="P41" s="2"/>
      <c r="Q41" s="2"/>
    </row>
    <row r="42" spans="1:17">
      <c r="A42" s="18" t="s">
        <v>128</v>
      </c>
      <c r="B42" s="19">
        <v>0</v>
      </c>
      <c r="C42" s="86">
        <v>0</v>
      </c>
      <c r="D42" s="95">
        <f>169980+39843+31052</f>
        <v>240875</v>
      </c>
      <c r="E42" s="21">
        <f t="shared" ref="E42:E51" si="10">SUM(F42:J42)</f>
        <v>31052</v>
      </c>
      <c r="F42" s="22">
        <v>16994</v>
      </c>
      <c r="G42" s="22">
        <v>14058</v>
      </c>
      <c r="H42" s="76">
        <v>0</v>
      </c>
      <c r="I42" s="76">
        <v>0</v>
      </c>
      <c r="J42" s="76">
        <v>0</v>
      </c>
      <c r="K42" s="201">
        <v>8318</v>
      </c>
      <c r="L42" s="51"/>
      <c r="M42" s="51"/>
      <c r="N42" s="166"/>
      <c r="O42" s="164"/>
      <c r="P42" s="202"/>
      <c r="Q42" s="2"/>
    </row>
    <row r="43" spans="1:17">
      <c r="A43" s="80" t="s">
        <v>192</v>
      </c>
      <c r="B43" s="96">
        <f>20214+11681+23581+25619+22301+21824+20127+19528+19926+20275+23052+20682</f>
        <v>248810</v>
      </c>
      <c r="C43" s="301">
        <v>228128</v>
      </c>
      <c r="D43" s="84">
        <f>35539+25020+25012+26281+22284+23157+20948+19597+31370+25185</f>
        <v>254393</v>
      </c>
      <c r="E43" s="21">
        <f>SUM(H43:J43)</f>
        <v>25185</v>
      </c>
      <c r="F43" s="76">
        <v>0</v>
      </c>
      <c r="G43" s="76">
        <v>0</v>
      </c>
      <c r="H43" s="24">
        <v>12640</v>
      </c>
      <c r="I43" s="24">
        <v>12545</v>
      </c>
      <c r="J43" s="76">
        <v>0</v>
      </c>
      <c r="K43" s="203">
        <v>5707</v>
      </c>
      <c r="L43" s="168">
        <f>3982+4140</f>
        <v>8122</v>
      </c>
      <c r="M43" s="168">
        <v>208</v>
      </c>
      <c r="N43" s="166"/>
      <c r="O43" s="164">
        <f t="shared" si="6"/>
        <v>1.115132732501052</v>
      </c>
      <c r="P43" s="2"/>
      <c r="Q43" s="2"/>
    </row>
    <row r="44" spans="1:17">
      <c r="A44" s="80" t="s">
        <v>193</v>
      </c>
      <c r="B44" s="97">
        <f>36191+20920+29070+23929+27875+30427+28473+27605+28149+32945+33352+27283</f>
        <v>346219</v>
      </c>
      <c r="C44" s="302">
        <v>318936</v>
      </c>
      <c r="D44" s="98">
        <f>42541+28883+28001+23533+23137+31624+30682+26896+34161+37632</f>
        <v>307090</v>
      </c>
      <c r="E44" s="21">
        <f t="shared" si="10"/>
        <v>37632</v>
      </c>
      <c r="F44" s="76">
        <v>0</v>
      </c>
      <c r="G44" s="76">
        <v>0</v>
      </c>
      <c r="H44" s="99">
        <v>19075</v>
      </c>
      <c r="I44" s="99">
        <v>18557</v>
      </c>
      <c r="J44" s="76">
        <v>0</v>
      </c>
      <c r="K44" s="168">
        <v>11502</v>
      </c>
      <c r="L44" s="168">
        <f>1703+1326</f>
        <v>3029</v>
      </c>
      <c r="M44" s="168">
        <v>534</v>
      </c>
      <c r="N44" s="166"/>
      <c r="O44" s="164">
        <f t="shared" si="6"/>
        <v>0.96285775202548474</v>
      </c>
      <c r="P44" s="2"/>
      <c r="Q44" s="2"/>
    </row>
    <row r="45" spans="1:17">
      <c r="A45" s="80" t="s">
        <v>194</v>
      </c>
      <c r="B45" s="97">
        <f>12008+9467+14763+14113+14691+14606+10209+8082+10081+11470+13518+17152</f>
        <v>150160</v>
      </c>
      <c r="C45" s="302">
        <v>133008</v>
      </c>
      <c r="D45" s="100">
        <f>265227+22270</f>
        <v>287497</v>
      </c>
      <c r="E45" s="21">
        <f t="shared" si="10"/>
        <v>22270</v>
      </c>
      <c r="F45" s="24">
        <v>10969</v>
      </c>
      <c r="G45" s="24">
        <v>11143</v>
      </c>
      <c r="H45" s="76">
        <v>0</v>
      </c>
      <c r="I45" s="76">
        <v>0</v>
      </c>
      <c r="J45" s="24">
        <v>158</v>
      </c>
      <c r="K45" s="168">
        <v>6658</v>
      </c>
      <c r="L45" s="168">
        <f>827+3132</f>
        <v>3959</v>
      </c>
      <c r="M45" s="51"/>
      <c r="N45" s="169">
        <v>121</v>
      </c>
      <c r="O45" s="164">
        <f t="shared" si="6"/>
        <v>2.1615015638157105</v>
      </c>
      <c r="P45" s="2"/>
      <c r="Q45" s="2"/>
    </row>
    <row r="46" spans="1:17">
      <c r="A46" s="80" t="s">
        <v>195</v>
      </c>
      <c r="B46" s="97">
        <f>492323+373517+489518+501319+498148+483300+509517+496996+483525+491240+487179+505109</f>
        <v>5811691</v>
      </c>
      <c r="C46" s="302">
        <v>5306582</v>
      </c>
      <c r="D46" s="98">
        <f>890002+542749+505450+501865+511958+508971+512557+491530+514214+487223</f>
        <v>5466519</v>
      </c>
      <c r="E46" s="21">
        <f t="shared" si="10"/>
        <v>487223</v>
      </c>
      <c r="F46" s="24">
        <v>274961</v>
      </c>
      <c r="G46" s="24">
        <v>212262</v>
      </c>
      <c r="H46" s="76">
        <v>0</v>
      </c>
      <c r="I46" s="76">
        <v>0</v>
      </c>
      <c r="J46" s="76">
        <v>0</v>
      </c>
      <c r="K46" s="51">
        <v>148717</v>
      </c>
      <c r="L46" s="51">
        <f>16757+35138</f>
        <v>51895</v>
      </c>
      <c r="M46" s="51"/>
      <c r="N46" s="166"/>
      <c r="O46" s="164">
        <f t="shared" si="6"/>
        <v>1.0301393627762654</v>
      </c>
      <c r="P46" s="2"/>
      <c r="Q46" s="2"/>
    </row>
    <row r="47" spans="1:17">
      <c r="A47" s="80" t="s">
        <v>49</v>
      </c>
      <c r="B47" s="97">
        <f>41444+27037+39698+37856+42480+38521+41958+41846+36877+41203+36023+42811</f>
        <v>467754</v>
      </c>
      <c r="C47" s="302">
        <v>424943</v>
      </c>
      <c r="D47" s="101">
        <f>400483+31413</f>
        <v>431896</v>
      </c>
      <c r="E47" s="21">
        <f t="shared" si="10"/>
        <v>31413</v>
      </c>
      <c r="F47" s="102">
        <v>1037</v>
      </c>
      <c r="G47" s="102">
        <v>1863</v>
      </c>
      <c r="H47" s="102">
        <v>14261</v>
      </c>
      <c r="I47" s="102">
        <v>14252</v>
      </c>
      <c r="J47" s="76">
        <v>0</v>
      </c>
      <c r="K47" s="199">
        <v>7187</v>
      </c>
      <c r="L47" s="199">
        <f>287+1811+2555</f>
        <v>4653</v>
      </c>
      <c r="M47" s="51"/>
      <c r="N47" s="166"/>
      <c r="O47" s="164">
        <f t="shared" si="6"/>
        <v>1.0163621944590215</v>
      </c>
      <c r="P47" s="2"/>
      <c r="Q47" s="2"/>
    </row>
    <row r="48" spans="1:17">
      <c r="A48" s="80" t="s">
        <v>50</v>
      </c>
      <c r="B48" s="74"/>
      <c r="C48" s="298">
        <v>0</v>
      </c>
      <c r="D48" s="103"/>
      <c r="E48" s="21">
        <f t="shared" si="10"/>
        <v>0</v>
      </c>
      <c r="F48" s="104"/>
      <c r="G48" s="104"/>
      <c r="H48" s="104"/>
      <c r="I48" s="104"/>
      <c r="J48" s="104"/>
      <c r="K48" s="199"/>
      <c r="L48" s="199"/>
      <c r="M48" s="199"/>
      <c r="N48" s="200"/>
      <c r="O48" s="164"/>
      <c r="P48" s="202"/>
      <c r="Q48" s="2"/>
    </row>
    <row r="49" spans="1:17">
      <c r="A49" s="80" t="s">
        <v>51</v>
      </c>
      <c r="B49" s="105">
        <f>1591+185+300+228+282+250+254+222+245+289+277+286</f>
        <v>4409</v>
      </c>
      <c r="C49" s="303">
        <v>4123</v>
      </c>
      <c r="D49" s="106">
        <f>2723+257</f>
        <v>2980</v>
      </c>
      <c r="E49" s="21">
        <f t="shared" si="10"/>
        <v>257</v>
      </c>
      <c r="F49" s="104">
        <v>121</v>
      </c>
      <c r="G49" s="104">
        <v>136</v>
      </c>
      <c r="H49" s="76">
        <v>0</v>
      </c>
      <c r="I49" s="76">
        <v>0</v>
      </c>
      <c r="J49" s="76">
        <v>0</v>
      </c>
      <c r="K49" s="199">
        <v>257</v>
      </c>
      <c r="L49" s="199">
        <f>121+0</f>
        <v>121</v>
      </c>
      <c r="M49" s="51"/>
      <c r="N49" s="166"/>
      <c r="O49" s="164">
        <f t="shared" si="6"/>
        <v>0.72277467863206402</v>
      </c>
      <c r="P49" s="2"/>
      <c r="Q49" s="2"/>
    </row>
    <row r="50" spans="1:17">
      <c r="A50" s="107" t="s">
        <v>196</v>
      </c>
      <c r="B50" s="108">
        <f>5554+2707+1759+1797+950+1036+1570+888+1105</f>
        <v>17366</v>
      </c>
      <c r="C50" s="304">
        <v>16261</v>
      </c>
      <c r="D50" s="109">
        <f>11927+1325</f>
        <v>13252</v>
      </c>
      <c r="E50" s="40">
        <f t="shared" si="10"/>
        <v>1325</v>
      </c>
      <c r="F50" s="110">
        <v>373</v>
      </c>
      <c r="G50" s="110">
        <v>952</v>
      </c>
      <c r="H50" s="111">
        <v>0</v>
      </c>
      <c r="I50" s="111">
        <v>0</v>
      </c>
      <c r="J50" s="111">
        <v>0</v>
      </c>
      <c r="K50" s="204">
        <v>279</v>
      </c>
      <c r="L50" s="205">
        <v>33</v>
      </c>
      <c r="M50" s="179"/>
      <c r="N50" s="207">
        <v>1325</v>
      </c>
      <c r="O50" s="164">
        <f t="shared" si="6"/>
        <v>0.81495602976446713</v>
      </c>
      <c r="P50" s="2"/>
      <c r="Q50" s="2"/>
    </row>
    <row r="51" spans="1:17">
      <c r="A51" s="112" t="s">
        <v>197</v>
      </c>
      <c r="B51" s="113">
        <f>43919+38655+49389+49920+41452+46211+54147+61115+45816+53985+53251+54204</f>
        <v>592064</v>
      </c>
      <c r="C51" s="305">
        <v>537860</v>
      </c>
      <c r="D51" s="114">
        <f>46498+25145+53554+45477+47222+51070+47167+41808+32662+49246+57773</f>
        <v>497622</v>
      </c>
      <c r="E51" s="115">
        <f t="shared" si="10"/>
        <v>57773</v>
      </c>
      <c r="F51" s="116">
        <v>28299</v>
      </c>
      <c r="G51" s="116">
        <v>27374</v>
      </c>
      <c r="H51" s="117">
        <v>0</v>
      </c>
      <c r="I51" s="117">
        <v>0</v>
      </c>
      <c r="J51" s="208">
        <v>2100</v>
      </c>
      <c r="K51" s="209">
        <v>11656</v>
      </c>
      <c r="L51" s="209">
        <f>5100+174+273+343+1017</f>
        <v>6907</v>
      </c>
      <c r="M51" s="219"/>
      <c r="N51" s="211">
        <v>2786</v>
      </c>
      <c r="O51" s="164">
        <f t="shared" si="6"/>
        <v>0.92518871081694121</v>
      </c>
      <c r="P51" s="3"/>
      <c r="Q51" s="2"/>
    </row>
    <row r="52" spans="1:17">
      <c r="A52" s="87"/>
      <c r="B52" s="118"/>
      <c r="C52" s="119"/>
      <c r="D52" s="118"/>
      <c r="E52" s="120"/>
      <c r="F52" s="121"/>
      <c r="G52" s="121"/>
      <c r="H52" s="121"/>
      <c r="I52" s="121"/>
      <c r="J52" s="121"/>
      <c r="K52" s="212"/>
      <c r="L52" s="212"/>
      <c r="M52" s="212"/>
      <c r="N52" s="213"/>
      <c r="O52" s="164"/>
      <c r="P52" s="214"/>
      <c r="Q52" s="2"/>
    </row>
    <row r="53" spans="1:17">
      <c r="A53" s="13" t="s">
        <v>198</v>
      </c>
      <c r="B53" s="14">
        <f t="shared" ref="B53:I53" si="11">SUM(B54:B60)</f>
        <v>4719935</v>
      </c>
      <c r="C53" s="94">
        <f t="shared" si="11"/>
        <v>4113787</v>
      </c>
      <c r="D53" s="15">
        <f t="shared" si="11"/>
        <v>5188193</v>
      </c>
      <c r="E53" s="122">
        <f t="shared" si="11"/>
        <v>484634</v>
      </c>
      <c r="F53" s="15">
        <f t="shared" si="11"/>
        <v>183088</v>
      </c>
      <c r="G53" s="15">
        <f t="shared" si="11"/>
        <v>236820</v>
      </c>
      <c r="H53" s="15">
        <f t="shared" si="11"/>
        <v>4666</v>
      </c>
      <c r="I53" s="15">
        <f t="shared" si="11"/>
        <v>1617</v>
      </c>
      <c r="J53" s="17">
        <f>SUM(J54:J61)</f>
        <v>81567</v>
      </c>
      <c r="K53" s="17">
        <f>SUM(K54:K61)</f>
        <v>43601</v>
      </c>
      <c r="L53" s="17">
        <f>SUM(L54:L61)</f>
        <v>141548</v>
      </c>
      <c r="M53" s="17">
        <f>SUM(M54:M61)</f>
        <v>6132</v>
      </c>
      <c r="N53" s="196">
        <f>SUM(N54:N61)</f>
        <v>164448</v>
      </c>
      <c r="O53" s="164">
        <f t="shared" si="6"/>
        <v>1.2611720052593876</v>
      </c>
      <c r="P53" s="197"/>
      <c r="Q53" s="197"/>
    </row>
    <row r="54" spans="1:17">
      <c r="A54" s="80" t="s">
        <v>55</v>
      </c>
      <c r="B54" s="19"/>
      <c r="C54" s="86"/>
      <c r="D54" s="20"/>
      <c r="E54" s="21">
        <v>0</v>
      </c>
      <c r="F54" s="24"/>
      <c r="G54" s="24"/>
      <c r="H54" s="24"/>
      <c r="I54" s="24"/>
      <c r="J54" s="24"/>
      <c r="K54" s="51"/>
      <c r="L54" s="51"/>
      <c r="M54" s="51"/>
      <c r="N54" s="166"/>
      <c r="O54" s="164"/>
      <c r="P54" s="2"/>
      <c r="Q54" s="2"/>
    </row>
    <row r="55" spans="1:17">
      <c r="A55" s="123" t="s">
        <v>56</v>
      </c>
      <c r="B55" s="74">
        <f>152617+131920+130997+153389+149066+196349+174625+189556+159615+174414+174638+173536</f>
        <v>1960722</v>
      </c>
      <c r="C55" s="298">
        <v>1612548</v>
      </c>
      <c r="D55" s="81">
        <f>209453+123222+177525+182527+179497+190574+195216+216952+167184+207469+198525</f>
        <v>2048144</v>
      </c>
      <c r="E55" s="124">
        <f t="shared" ref="E55" si="12">SUM(F55:J55)</f>
        <v>198525</v>
      </c>
      <c r="F55" s="24">
        <v>79593</v>
      </c>
      <c r="G55" s="125">
        <v>103142</v>
      </c>
      <c r="H55" s="125">
        <v>3024</v>
      </c>
      <c r="I55" s="24">
        <v>989</v>
      </c>
      <c r="J55" s="24">
        <v>11777</v>
      </c>
      <c r="K55" s="168">
        <v>18871</v>
      </c>
      <c r="L55" s="168">
        <f>54975+1825+200+306+3706</f>
        <v>61012</v>
      </c>
      <c r="M55" s="215"/>
      <c r="N55" s="216"/>
      <c r="O55" s="164">
        <f t="shared" si="6"/>
        <v>1.2701290132138703</v>
      </c>
      <c r="P55" s="217"/>
      <c r="Q55" s="2"/>
    </row>
    <row r="56" spans="1:17">
      <c r="A56" s="306"/>
      <c r="B56" s="74"/>
      <c r="C56" s="298"/>
      <c r="D56" s="81"/>
      <c r="E56" s="307"/>
      <c r="F56" s="24"/>
      <c r="G56" s="308"/>
      <c r="H56" s="308"/>
      <c r="I56" s="24"/>
      <c r="J56" s="24"/>
      <c r="K56" s="168"/>
      <c r="L56" s="168"/>
      <c r="M56" s="215"/>
      <c r="N56" s="216"/>
      <c r="O56" s="164"/>
      <c r="P56" s="311"/>
      <c r="Q56" s="2"/>
    </row>
    <row r="57" spans="1:17">
      <c r="A57" s="80" t="s">
        <v>199</v>
      </c>
      <c r="B57" s="126">
        <f>97537+55586+99611+80866+84077+87464+89817+110297+103108+86858+89238+102094</f>
        <v>1086553</v>
      </c>
      <c r="C57" s="309">
        <v>984459</v>
      </c>
      <c r="D57" s="84">
        <f>104773+79448+108729+100750+114908+101767+109538+102101+96227+101348+80712</f>
        <v>1100301</v>
      </c>
      <c r="E57" s="21">
        <f>SUM(F57:J57)</f>
        <v>80712</v>
      </c>
      <c r="F57" s="127">
        <v>36927</v>
      </c>
      <c r="G57" s="22">
        <v>38079</v>
      </c>
      <c r="H57" s="76">
        <v>0</v>
      </c>
      <c r="I57" s="76">
        <v>0</v>
      </c>
      <c r="J57" s="22">
        <v>5706</v>
      </c>
      <c r="K57" s="51">
        <v>4786</v>
      </c>
      <c r="L57" s="51">
        <f>20125+3362+1606</f>
        <v>25093</v>
      </c>
      <c r="M57" s="51"/>
      <c r="N57" s="166"/>
      <c r="O57" s="164">
        <f t="shared" si="6"/>
        <v>1.1176707206699315</v>
      </c>
      <c r="P57" s="218"/>
      <c r="Q57" s="2"/>
    </row>
    <row r="58" spans="1:17">
      <c r="A58" s="35" t="s">
        <v>58</v>
      </c>
      <c r="B58" s="105">
        <f>59734+65037+69566+76869+85180+98871+84349+95878+74900+91720+96454+90939</f>
        <v>989497</v>
      </c>
      <c r="C58" s="303">
        <v>898558</v>
      </c>
      <c r="D58" s="98">
        <f>90832+90726+97425+112194+114431+98379+101821+103316+100021+117218+109359</f>
        <v>1135722</v>
      </c>
      <c r="E58" s="21">
        <f t="shared" ref="E58:E59" si="13">SUM(F58:J58)</f>
        <v>109359</v>
      </c>
      <c r="F58" s="24">
        <v>32620</v>
      </c>
      <c r="G58" s="24">
        <v>58324</v>
      </c>
      <c r="H58" s="76">
        <v>0</v>
      </c>
      <c r="I58" s="76">
        <v>0</v>
      </c>
      <c r="J58" s="24">
        <v>18415</v>
      </c>
      <c r="K58" s="168">
        <v>9149</v>
      </c>
      <c r="L58" s="168">
        <f>17342+311+5334</f>
        <v>22987</v>
      </c>
      <c r="M58" s="51">
        <v>4469</v>
      </c>
      <c r="N58" s="166">
        <v>80078</v>
      </c>
      <c r="O58" s="164">
        <f t="shared" si="6"/>
        <v>1.2639384435951826</v>
      </c>
      <c r="P58" s="2"/>
      <c r="Q58" s="2"/>
    </row>
    <row r="59" spans="1:17">
      <c r="A59" s="35" t="s">
        <v>59</v>
      </c>
      <c r="B59" s="105">
        <f>47624+41548+39771+61527+61540+40461+59109+75205+60419+66567+64451+64941</f>
        <v>683163</v>
      </c>
      <c r="C59" s="303">
        <v>618222</v>
      </c>
      <c r="D59" s="98">
        <f>85962+38994+58375+82416+99455+86639+82659+105881+73454+94153+96038</f>
        <v>904026</v>
      </c>
      <c r="E59" s="21">
        <f t="shared" si="13"/>
        <v>96038</v>
      </c>
      <c r="F59" s="24">
        <v>33948</v>
      </c>
      <c r="G59" s="24">
        <v>37275</v>
      </c>
      <c r="H59" s="24">
        <v>1642</v>
      </c>
      <c r="I59" s="22">
        <v>628</v>
      </c>
      <c r="J59" s="24">
        <v>22545</v>
      </c>
      <c r="K59" s="168">
        <v>10795</v>
      </c>
      <c r="L59" s="168">
        <f>25192+47+1387+121+5709</f>
        <v>32456</v>
      </c>
      <c r="M59" s="51">
        <v>1663</v>
      </c>
      <c r="N59" s="166">
        <v>84370</v>
      </c>
      <c r="O59" s="164">
        <f t="shared" si="6"/>
        <v>1.4622999505032173</v>
      </c>
      <c r="P59" s="3"/>
      <c r="Q59" s="2"/>
    </row>
    <row r="60" spans="1:17">
      <c r="A60" s="128" t="s">
        <v>113</v>
      </c>
      <c r="B60" s="129"/>
      <c r="C60" s="129"/>
      <c r="D60" s="130"/>
      <c r="E60" s="131"/>
      <c r="F60" s="132"/>
      <c r="G60" s="132"/>
      <c r="H60" s="132"/>
      <c r="I60" s="132"/>
      <c r="J60" s="132"/>
      <c r="K60" s="179"/>
      <c r="L60" s="179"/>
      <c r="M60" s="179"/>
      <c r="N60" s="180"/>
      <c r="O60" s="164"/>
      <c r="P60" s="218"/>
      <c r="Q60" s="224"/>
    </row>
    <row r="61" spans="1:17">
      <c r="A61" s="133" t="s">
        <v>61</v>
      </c>
      <c r="B61" s="134">
        <v>1755236</v>
      </c>
      <c r="C61" s="310">
        <f>1755236-156410</f>
        <v>1598826</v>
      </c>
      <c r="D61" s="135">
        <f>1585050+175956</f>
        <v>1761006</v>
      </c>
      <c r="E61" s="136">
        <f t="shared" ref="E61" si="14">SUM(F61:J61)</f>
        <v>175956</v>
      </c>
      <c r="F61" s="137">
        <v>69723</v>
      </c>
      <c r="G61" s="137">
        <v>83109</v>
      </c>
      <c r="H61" s="117">
        <v>0</v>
      </c>
      <c r="I61" s="117">
        <v>0</v>
      </c>
      <c r="J61" s="208">
        <v>23124</v>
      </c>
      <c r="K61" s="219"/>
      <c r="L61" s="219"/>
      <c r="M61" s="219"/>
      <c r="N61" s="220"/>
      <c r="O61" s="164">
        <f t="shared" si="6"/>
        <v>1.1014369293469084</v>
      </c>
      <c r="P61" s="3"/>
      <c r="Q61" s="3"/>
    </row>
    <row r="62" spans="1:17">
      <c r="A62" s="68"/>
      <c r="B62" s="138"/>
      <c r="C62" s="92"/>
      <c r="D62" s="138"/>
      <c r="E62" s="91"/>
      <c r="F62" s="139"/>
      <c r="G62" s="51"/>
      <c r="H62" s="92"/>
      <c r="I62" s="139"/>
      <c r="J62" s="212"/>
      <c r="K62" s="51"/>
      <c r="L62" s="51"/>
      <c r="M62" s="51"/>
      <c r="N62" s="166"/>
      <c r="O62" s="164"/>
      <c r="P62" s="3"/>
      <c r="Q62" s="3"/>
    </row>
    <row r="63" spans="1:17">
      <c r="A63" s="140" t="s">
        <v>200</v>
      </c>
      <c r="B63" s="141">
        <f>SUM(B64:B71)</f>
        <v>55955</v>
      </c>
      <c r="C63" s="142">
        <f>SUM(C64:C71)</f>
        <v>50779</v>
      </c>
      <c r="D63" s="143">
        <f>SUM(D64:D71)</f>
        <v>62446</v>
      </c>
      <c r="E63" s="144">
        <f t="shared" ref="E63:N63" si="15">SUM(E64:E71)</f>
        <v>6980</v>
      </c>
      <c r="F63" s="144">
        <f t="shared" si="15"/>
        <v>0</v>
      </c>
      <c r="G63" s="144">
        <f t="shared" si="15"/>
        <v>0</v>
      </c>
      <c r="H63" s="144">
        <f t="shared" si="15"/>
        <v>3738</v>
      </c>
      <c r="I63" s="144">
        <f t="shared" si="15"/>
        <v>3242</v>
      </c>
      <c r="J63" s="144">
        <f t="shared" si="15"/>
        <v>0</v>
      </c>
      <c r="K63" s="144">
        <f t="shared" si="15"/>
        <v>4372</v>
      </c>
      <c r="L63" s="144">
        <f t="shared" si="15"/>
        <v>3416</v>
      </c>
      <c r="M63" s="144">
        <f t="shared" si="15"/>
        <v>0</v>
      </c>
      <c r="N63" s="144">
        <f t="shared" si="15"/>
        <v>875</v>
      </c>
      <c r="O63" s="164">
        <f t="shared" si="6"/>
        <v>1.229760333996337</v>
      </c>
      <c r="P63" s="197"/>
      <c r="Q63" s="225"/>
    </row>
    <row r="64" spans="1:17">
      <c r="A64" s="35" t="s">
        <v>201</v>
      </c>
      <c r="B64" s="105">
        <f>335+74+675+1816+624+522+232+273+655+1600+1480+1538</f>
        <v>9824</v>
      </c>
      <c r="C64" s="303">
        <v>8286</v>
      </c>
      <c r="D64" s="145">
        <f>9380+2012</f>
        <v>11392</v>
      </c>
      <c r="E64" s="21">
        <f>SUM(H64:J64)</f>
        <v>2012</v>
      </c>
      <c r="F64" s="76">
        <v>0</v>
      </c>
      <c r="G64" s="76">
        <v>0</v>
      </c>
      <c r="H64" s="146">
        <v>1085</v>
      </c>
      <c r="I64" s="24">
        <v>927</v>
      </c>
      <c r="J64" s="76">
        <v>0</v>
      </c>
      <c r="K64" s="51">
        <v>376</v>
      </c>
      <c r="L64" s="51">
        <f>794</f>
        <v>794</v>
      </c>
      <c r="M64" s="51"/>
      <c r="N64" s="166"/>
      <c r="O64" s="164">
        <f t="shared" si="6"/>
        <v>1.3748491431329954</v>
      </c>
      <c r="P64" s="2"/>
      <c r="Q64" s="2"/>
    </row>
    <row r="65" spans="1:17">
      <c r="A65" s="147" t="s">
        <v>202</v>
      </c>
      <c r="B65" s="19"/>
      <c r="C65" s="86"/>
      <c r="D65" s="148"/>
      <c r="E65" s="21">
        <f t="shared" ref="E65:E71" si="16">SUM(F65:J65)</f>
        <v>0</v>
      </c>
      <c r="F65" s="149"/>
      <c r="G65" s="150"/>
      <c r="H65" s="24"/>
      <c r="I65" s="24"/>
      <c r="J65" s="24"/>
      <c r="K65" s="51"/>
      <c r="L65" s="51"/>
      <c r="M65" s="51"/>
      <c r="N65" s="166"/>
      <c r="O65" s="164"/>
      <c r="P65" s="2"/>
      <c r="Q65" s="2"/>
    </row>
    <row r="66" spans="1:17">
      <c r="A66" s="35" t="s">
        <v>203</v>
      </c>
      <c r="B66" s="105">
        <f>1670+1062+1129+1350+1391+1439+1192+1252+1332+1078+1196+1258</f>
        <v>15349</v>
      </c>
      <c r="C66" s="303">
        <v>14091</v>
      </c>
      <c r="D66" s="145">
        <f>1143+584+1068+1170+1018+1940+2160+2337+2201+2341</f>
        <v>15962</v>
      </c>
      <c r="E66" s="21">
        <f t="shared" si="16"/>
        <v>2341</v>
      </c>
      <c r="F66" s="76">
        <v>0</v>
      </c>
      <c r="G66" s="76">
        <v>0</v>
      </c>
      <c r="H66" s="24">
        <v>1194</v>
      </c>
      <c r="I66" s="24">
        <v>1147</v>
      </c>
      <c r="J66" s="76">
        <v>0</v>
      </c>
      <c r="K66" s="51">
        <v>1669</v>
      </c>
      <c r="L66" s="51">
        <f>811+313</f>
        <v>1124</v>
      </c>
      <c r="M66" s="51"/>
      <c r="N66" s="166"/>
      <c r="O66" s="164">
        <f t="shared" si="6"/>
        <v>1.1327797885174935</v>
      </c>
      <c r="P66" s="2"/>
      <c r="Q66" s="2"/>
    </row>
    <row r="67" spans="1:17">
      <c r="A67" s="35" t="s">
        <v>66</v>
      </c>
      <c r="B67" s="19">
        <f>1089+517+1381+2546+1336+1503+1713+1785+1646+1436+909+1418</f>
        <v>17279</v>
      </c>
      <c r="C67" s="86">
        <v>15861</v>
      </c>
      <c r="D67" s="148">
        <f>9020+1300+1328+1755+1870+1593</f>
        <v>16866</v>
      </c>
      <c r="E67" s="21">
        <f t="shared" si="16"/>
        <v>1593</v>
      </c>
      <c r="F67" s="76">
        <v>0</v>
      </c>
      <c r="G67" s="76">
        <v>0</v>
      </c>
      <c r="H67" s="24">
        <v>846</v>
      </c>
      <c r="I67" s="24">
        <v>747</v>
      </c>
      <c r="J67" s="76">
        <v>0</v>
      </c>
      <c r="K67" s="168">
        <v>1315</v>
      </c>
      <c r="L67" s="168">
        <f>845+2</f>
        <v>847</v>
      </c>
      <c r="M67" s="51"/>
      <c r="N67" s="166"/>
      <c r="O67" s="164">
        <f t="shared" si="6"/>
        <v>1.0633629657650843</v>
      </c>
      <c r="P67" s="2"/>
      <c r="Q67" s="2"/>
    </row>
    <row r="68" spans="1:17">
      <c r="A68" s="226" t="s">
        <v>204</v>
      </c>
      <c r="B68" s="74"/>
      <c r="C68" s="298"/>
      <c r="D68" s="75"/>
      <c r="E68" s="21">
        <f t="shared" si="16"/>
        <v>0</v>
      </c>
      <c r="F68" s="227"/>
      <c r="G68" s="150"/>
      <c r="H68" s="24"/>
      <c r="I68" s="24"/>
      <c r="J68" s="24"/>
      <c r="K68" s="51"/>
      <c r="L68" s="51"/>
      <c r="M68" s="51"/>
      <c r="N68" s="166"/>
      <c r="O68" s="164"/>
      <c r="P68" s="2"/>
      <c r="Q68" s="2"/>
    </row>
    <row r="69" spans="1:17">
      <c r="A69" s="35" t="s">
        <v>205</v>
      </c>
      <c r="B69" s="19">
        <f>949+632+800+680+378+254+120+150+155+159+135+133</f>
        <v>4545</v>
      </c>
      <c r="C69" s="86">
        <v>4412</v>
      </c>
      <c r="D69" s="228">
        <f>6090+875</f>
        <v>6965</v>
      </c>
      <c r="E69" s="21">
        <f t="shared" si="16"/>
        <v>875</v>
      </c>
      <c r="F69" s="76">
        <v>0</v>
      </c>
      <c r="G69" s="76">
        <v>0</v>
      </c>
      <c r="H69" s="24">
        <v>559</v>
      </c>
      <c r="I69" s="24">
        <v>316</v>
      </c>
      <c r="J69" s="76">
        <v>0</v>
      </c>
      <c r="K69" s="168">
        <v>875</v>
      </c>
      <c r="L69" s="168">
        <f>559</f>
        <v>559</v>
      </c>
      <c r="M69" s="51"/>
      <c r="N69" s="166">
        <v>875</v>
      </c>
      <c r="O69" s="164">
        <f t="shared" si="6"/>
        <v>1.578649138712602</v>
      </c>
      <c r="P69" s="2"/>
      <c r="Q69" s="2"/>
    </row>
    <row r="70" spans="1:17">
      <c r="A70" s="147" t="s">
        <v>206</v>
      </c>
      <c r="B70" s="105"/>
      <c r="C70" s="303"/>
      <c r="D70" s="145"/>
      <c r="E70" s="21">
        <f t="shared" si="16"/>
        <v>0</v>
      </c>
      <c r="F70" s="33"/>
      <c r="G70" s="229"/>
      <c r="H70" s="22"/>
      <c r="I70" s="22"/>
      <c r="J70" s="22"/>
      <c r="K70" s="51"/>
      <c r="L70" s="51"/>
      <c r="M70" s="51"/>
      <c r="N70" s="166"/>
      <c r="O70" s="164"/>
      <c r="P70" s="2"/>
      <c r="Q70" s="2"/>
    </row>
    <row r="71" spans="1:17">
      <c r="A71" s="35" t="s">
        <v>70</v>
      </c>
      <c r="B71" s="105">
        <f>703+210+509+267+526+508+670+637+1462+1836+801+829</f>
        <v>8958</v>
      </c>
      <c r="C71" s="303">
        <v>8129</v>
      </c>
      <c r="D71" s="230">
        <v>11261</v>
      </c>
      <c r="E71" s="21">
        <f t="shared" si="16"/>
        <v>159</v>
      </c>
      <c r="F71" s="76">
        <v>0</v>
      </c>
      <c r="G71" s="76">
        <v>0</v>
      </c>
      <c r="H71" s="24">
        <v>54</v>
      </c>
      <c r="I71" s="24">
        <v>105</v>
      </c>
      <c r="J71" s="76">
        <v>0</v>
      </c>
      <c r="K71" s="168">
        <v>137</v>
      </c>
      <c r="L71" s="168">
        <f>92</f>
        <v>92</v>
      </c>
      <c r="M71" s="51"/>
      <c r="N71" s="166"/>
      <c r="O71" s="164">
        <f t="shared" si="6"/>
        <v>1.3852872432033461</v>
      </c>
      <c r="P71" s="2"/>
      <c r="Q71" s="152"/>
    </row>
    <row r="72" spans="1:17">
      <c r="A72" s="231"/>
      <c r="B72" s="232"/>
      <c r="C72" s="312"/>
      <c r="D72" s="130"/>
      <c r="E72" s="233"/>
      <c r="F72" s="234"/>
      <c r="G72" s="234"/>
      <c r="H72" s="234"/>
      <c r="I72" s="234"/>
      <c r="J72" s="234"/>
      <c r="K72" s="194"/>
      <c r="L72" s="194"/>
      <c r="M72" s="194"/>
      <c r="N72" s="195"/>
      <c r="O72" s="164"/>
      <c r="P72" s="2"/>
      <c r="Q72" s="2"/>
    </row>
    <row r="73" spans="1:17">
      <c r="A73" s="235" t="s">
        <v>71</v>
      </c>
      <c r="B73" s="236">
        <f>B6+B30+B34+B39+B53+B63</f>
        <v>19294570</v>
      </c>
      <c r="C73" s="236">
        <f t="shared" ref="C73:N73" si="17">C6+C30+C34+C39+C53+C63</f>
        <v>17321131</v>
      </c>
      <c r="D73" s="236">
        <f t="shared" si="17"/>
        <v>19823588</v>
      </c>
      <c r="E73" s="236">
        <f t="shared" si="17"/>
        <v>1868037</v>
      </c>
      <c r="F73" s="236">
        <f t="shared" si="17"/>
        <v>722685</v>
      </c>
      <c r="G73" s="236">
        <f t="shared" si="17"/>
        <v>687987</v>
      </c>
      <c r="H73" s="236">
        <f t="shared" si="17"/>
        <v>127526</v>
      </c>
      <c r="I73" s="236">
        <f t="shared" si="17"/>
        <v>212113</v>
      </c>
      <c r="J73" s="236">
        <f t="shared" si="17"/>
        <v>84661</v>
      </c>
      <c r="K73" s="236">
        <f t="shared" si="17"/>
        <v>324703</v>
      </c>
      <c r="L73" s="236">
        <f t="shared" si="17"/>
        <v>339291.4</v>
      </c>
      <c r="M73" s="236">
        <f t="shared" si="17"/>
        <v>11394</v>
      </c>
      <c r="N73" s="236">
        <f t="shared" si="17"/>
        <v>262579</v>
      </c>
      <c r="O73" s="164">
        <f t="shared" ref="O73:O74" si="18">+D73/C73</f>
        <v>1.1444742263077394</v>
      </c>
      <c r="P73" s="266"/>
      <c r="Q73" s="266"/>
    </row>
    <row r="74" spans="1:17">
      <c r="A74" s="237" t="s">
        <v>72</v>
      </c>
      <c r="B74" s="238">
        <f>+B73+B28+B51+B61</f>
        <v>24051041</v>
      </c>
      <c r="C74" s="238">
        <f>+C73+C28+C51+C61</f>
        <v>21603444</v>
      </c>
      <c r="D74" s="239">
        <f>+D73+D28+D51+D61</f>
        <v>24890896</v>
      </c>
      <c r="E74" s="239">
        <f>+E73+E28+E51+E61</f>
        <v>2366107</v>
      </c>
      <c r="F74" s="240"/>
      <c r="G74" s="240"/>
      <c r="H74" s="240"/>
      <c r="I74" s="240"/>
      <c r="J74" s="240"/>
      <c r="K74" s="240"/>
      <c r="L74" s="240"/>
      <c r="M74" s="240"/>
      <c r="N74" s="240"/>
      <c r="O74" s="164">
        <f t="shared" si="18"/>
        <v>1.1521725887779746</v>
      </c>
      <c r="P74" s="151"/>
      <c r="Q74" s="151"/>
    </row>
    <row r="75" spans="1:17">
      <c r="A75" s="2"/>
      <c r="B75" s="241"/>
      <c r="C75" s="241"/>
      <c r="D75" s="241"/>
      <c r="E75" s="242"/>
      <c r="F75" s="3"/>
      <c r="G75" s="3"/>
      <c r="H75" s="3"/>
      <c r="I75" s="3"/>
      <c r="J75" s="3"/>
      <c r="K75" s="3"/>
      <c r="L75" s="3"/>
      <c r="M75" s="3"/>
      <c r="N75" s="3"/>
      <c r="O75" s="2"/>
      <c r="P75" s="2"/>
      <c r="Q75" s="2"/>
    </row>
    <row r="76" spans="1:17">
      <c r="A76" s="2"/>
      <c r="B76" s="2"/>
      <c r="C76" s="2"/>
      <c r="D76" s="2"/>
      <c r="E76" s="3"/>
      <c r="F76" s="3"/>
      <c r="G76" s="3"/>
      <c r="H76" s="3"/>
      <c r="I76" s="3"/>
      <c r="J76" s="3"/>
      <c r="K76" s="3"/>
      <c r="L76" s="3"/>
      <c r="M76" s="3"/>
      <c r="N76" s="3"/>
      <c r="O76" s="2"/>
      <c r="P76" s="2"/>
      <c r="Q76" s="2"/>
    </row>
    <row r="77" spans="1:17" ht="83.4">
      <c r="A77" s="2"/>
      <c r="B77" s="243" t="s">
        <v>207</v>
      </c>
      <c r="C77" s="243"/>
      <c r="D77" s="244" t="s">
        <v>74</v>
      </c>
      <c r="E77" s="245" t="s">
        <v>75</v>
      </c>
      <c r="F77" s="245" t="s">
        <v>76</v>
      </c>
      <c r="G77" s="245" t="s">
        <v>77</v>
      </c>
      <c r="H77" s="245" t="s">
        <v>78</v>
      </c>
      <c r="I77" s="245" t="s">
        <v>79</v>
      </c>
      <c r="J77" s="245" t="s">
        <v>80</v>
      </c>
      <c r="K77" s="245" t="s">
        <v>81</v>
      </c>
      <c r="L77" s="245" t="s">
        <v>82</v>
      </c>
      <c r="M77" s="245" t="s">
        <v>83</v>
      </c>
      <c r="N77" s="245" t="s">
        <v>84</v>
      </c>
      <c r="O77" s="267" t="s">
        <v>85</v>
      </c>
      <c r="P77" s="268"/>
      <c r="Q77" s="2"/>
    </row>
    <row r="78" spans="1:17">
      <c r="A78" s="2"/>
      <c r="B78" s="246" t="s">
        <v>87</v>
      </c>
      <c r="C78" s="246"/>
      <c r="D78" s="247">
        <v>1737613</v>
      </c>
      <c r="E78" s="248">
        <v>1447754</v>
      </c>
      <c r="F78" s="168">
        <f>E73</f>
        <v>1868037</v>
      </c>
      <c r="G78" s="248">
        <v>1891960</v>
      </c>
      <c r="H78" s="248">
        <v>1972368</v>
      </c>
      <c r="I78" s="92">
        <v>1787673</v>
      </c>
      <c r="J78" s="248">
        <v>1808050</v>
      </c>
      <c r="K78" s="168">
        <v>1902721</v>
      </c>
      <c r="L78" s="168">
        <v>1755705</v>
      </c>
      <c r="M78" s="269">
        <v>1995514</v>
      </c>
      <c r="N78" s="252">
        <v>1828037</v>
      </c>
      <c r="O78" s="270"/>
      <c r="P78" s="152"/>
      <c r="Q78" s="2"/>
    </row>
    <row r="79" spans="1:17">
      <c r="A79" s="2"/>
      <c r="B79" s="249" t="s">
        <v>88</v>
      </c>
      <c r="C79" s="249"/>
      <c r="D79" s="249"/>
      <c r="E79" s="250">
        <f t="shared" ref="E79:N79" si="19">IF(D78&gt;0,E78/D78,0)*100</f>
        <v>83.318552520037542</v>
      </c>
      <c r="F79" s="250">
        <f t="shared" si="19"/>
        <v>129.03000095320061</v>
      </c>
      <c r="G79" s="250">
        <f t="shared" si="19"/>
        <v>101.28064915202428</v>
      </c>
      <c r="H79" s="250">
        <f t="shared" si="19"/>
        <v>104.24998414342798</v>
      </c>
      <c r="I79" s="250">
        <f t="shared" si="19"/>
        <v>90.63587525248839</v>
      </c>
      <c r="J79" s="250">
        <f t="shared" si="19"/>
        <v>101.13986170848919</v>
      </c>
      <c r="K79" s="250">
        <f t="shared" si="19"/>
        <v>105.23608307292388</v>
      </c>
      <c r="L79" s="250">
        <f t="shared" si="19"/>
        <v>92.273381121036664</v>
      </c>
      <c r="M79" s="250">
        <f t="shared" si="19"/>
        <v>113.65884359844051</v>
      </c>
      <c r="N79" s="250">
        <f t="shared" si="19"/>
        <v>91.607325230491995</v>
      </c>
      <c r="O79" s="271"/>
      <c r="P79" s="272"/>
      <c r="Q79" s="2"/>
    </row>
    <row r="80" spans="1:17">
      <c r="A80" s="2"/>
      <c r="B80" s="251"/>
      <c r="C80" s="251"/>
      <c r="D80" s="251"/>
      <c r="E80" s="252"/>
      <c r="F80" s="253"/>
      <c r="G80" s="3" t="s">
        <v>115</v>
      </c>
      <c r="H80" s="3"/>
      <c r="I80" s="3"/>
      <c r="J80" s="3"/>
      <c r="K80" s="3"/>
      <c r="L80" s="3"/>
      <c r="M80" s="3"/>
      <c r="N80" s="3"/>
      <c r="O80" s="152"/>
      <c r="P80" s="2"/>
    </row>
    <row r="81" spans="1:17">
      <c r="A81" s="1442" t="s">
        <v>208</v>
      </c>
      <c r="B81" s="152"/>
      <c r="C81" s="152"/>
      <c r="D81" s="152"/>
      <c r="E81" s="3"/>
      <c r="F81" s="3"/>
      <c r="G81" s="3"/>
      <c r="H81" s="3"/>
      <c r="I81" s="3"/>
      <c r="J81" s="3"/>
      <c r="K81" s="3"/>
      <c r="L81" s="3"/>
      <c r="M81" s="3"/>
      <c r="N81" s="3"/>
      <c r="O81" s="152"/>
      <c r="P81" s="2"/>
      <c r="Q81" s="3"/>
    </row>
    <row r="82" spans="1:17">
      <c r="A82" s="2" t="s">
        <v>90</v>
      </c>
      <c r="B82" s="152"/>
      <c r="C82" s="152"/>
      <c r="D82" s="152"/>
      <c r="E82" s="3"/>
      <c r="F82" s="3"/>
      <c r="G82" s="3"/>
      <c r="H82" s="3"/>
      <c r="I82" s="3"/>
      <c r="J82" s="3"/>
      <c r="K82" s="3"/>
      <c r="L82" s="3"/>
      <c r="M82" s="3"/>
      <c r="N82" s="3"/>
      <c r="O82" s="152"/>
      <c r="P82" s="2"/>
      <c r="Q82" s="3"/>
    </row>
    <row r="83" spans="1:17">
      <c r="A83" s="1442" t="s">
        <v>209</v>
      </c>
      <c r="B83" s="152"/>
      <c r="C83" s="152"/>
      <c r="D83" s="152"/>
      <c r="E83" s="3"/>
      <c r="F83" s="3"/>
      <c r="G83" s="3"/>
      <c r="H83" s="3"/>
      <c r="I83" s="3"/>
      <c r="J83" s="3"/>
      <c r="K83" s="3"/>
      <c r="L83" s="3"/>
      <c r="M83" s="3"/>
      <c r="N83" s="3"/>
      <c r="O83" s="152"/>
      <c r="P83" s="2"/>
      <c r="Q83" s="3"/>
    </row>
    <row r="84" spans="1:17">
      <c r="A84" s="1443" t="s">
        <v>92</v>
      </c>
      <c r="B84" s="152"/>
      <c r="C84" s="152"/>
      <c r="D84" s="152"/>
      <c r="E84" s="3"/>
      <c r="F84" s="3"/>
      <c r="G84" s="3"/>
      <c r="H84" s="3"/>
      <c r="J84" s="3"/>
      <c r="K84" s="3"/>
      <c r="L84" s="3"/>
      <c r="M84" s="3"/>
      <c r="N84" s="3"/>
      <c r="O84" s="152"/>
      <c r="P84" s="2"/>
      <c r="Q84" s="281"/>
    </row>
    <row r="85" spans="1:17">
      <c r="A85" s="2" t="s">
        <v>93</v>
      </c>
      <c r="B85" s="2"/>
      <c r="C85" s="2"/>
      <c r="D85" s="2"/>
      <c r="E85" s="3"/>
      <c r="F85" s="3"/>
      <c r="G85" s="3"/>
      <c r="H85" s="3"/>
      <c r="K85" s="3"/>
      <c r="M85" s="3"/>
      <c r="N85" s="3"/>
      <c r="O85" s="152"/>
      <c r="P85" s="2"/>
    </row>
    <row r="86" spans="1:17">
      <c r="A86" s="2" t="s">
        <v>94</v>
      </c>
      <c r="B86" s="2"/>
      <c r="C86" s="2"/>
      <c r="D86" s="2"/>
      <c r="E86" s="3"/>
      <c r="F86" s="3"/>
      <c r="G86" s="3"/>
      <c r="H86" s="3"/>
      <c r="K86" s="3"/>
      <c r="M86" s="3"/>
      <c r="N86" s="3"/>
      <c r="O86" s="273"/>
      <c r="P86" s="2"/>
    </row>
    <row r="87" spans="1:17">
      <c r="A87" s="2" t="s">
        <v>95</v>
      </c>
      <c r="B87" s="2"/>
      <c r="C87" s="2"/>
      <c r="D87" s="2"/>
      <c r="E87" s="3"/>
      <c r="F87" s="3"/>
      <c r="G87" s="3"/>
      <c r="H87" s="3"/>
      <c r="K87" s="3"/>
      <c r="L87" s="3"/>
      <c r="M87" s="3"/>
      <c r="N87" s="3"/>
      <c r="O87" s="152"/>
      <c r="P87" s="2"/>
    </row>
    <row r="89" spans="1:17" ht="15.6">
      <c r="B89" s="254" t="s">
        <v>165</v>
      </c>
      <c r="C89" s="254"/>
      <c r="D89" s="254"/>
      <c r="E89" s="254"/>
      <c r="F89" s="254"/>
      <c r="G89" s="254"/>
      <c r="H89" s="254"/>
      <c r="I89" s="254"/>
      <c r="J89" s="254"/>
      <c r="K89" s="254"/>
      <c r="L89" s="254"/>
      <c r="M89" s="254"/>
      <c r="N89" s="254"/>
      <c r="O89" s="254"/>
    </row>
    <row r="90" spans="1:17">
      <c r="A90" s="255" t="s">
        <v>97</v>
      </c>
      <c r="B90" s="256" t="s">
        <v>74</v>
      </c>
      <c r="C90" s="256" t="s">
        <v>75</v>
      </c>
      <c r="D90" s="256" t="s">
        <v>76</v>
      </c>
      <c r="E90" s="256" t="s">
        <v>77</v>
      </c>
      <c r="F90" s="256" t="s">
        <v>78</v>
      </c>
      <c r="G90" s="256" t="s">
        <v>79</v>
      </c>
      <c r="H90" s="256" t="s">
        <v>80</v>
      </c>
      <c r="I90" s="256" t="s">
        <v>81</v>
      </c>
      <c r="J90" s="256" t="s">
        <v>82</v>
      </c>
      <c r="K90" s="256" t="s">
        <v>83</v>
      </c>
      <c r="L90" s="256" t="s">
        <v>84</v>
      </c>
      <c r="M90" s="256" t="s">
        <v>85</v>
      </c>
      <c r="N90" s="256" t="s">
        <v>86</v>
      </c>
      <c r="O90" s="255" t="s">
        <v>98</v>
      </c>
    </row>
    <row r="91" spans="1:17">
      <c r="A91" s="257" t="s">
        <v>99</v>
      </c>
      <c r="B91" s="258">
        <f>SUM(B92:B98)</f>
        <v>5559901</v>
      </c>
      <c r="C91" s="258">
        <v>4699172</v>
      </c>
      <c r="D91" s="258">
        <v>6626289</v>
      </c>
      <c r="E91" s="258">
        <f t="shared" ref="E91:L91" si="20">SUM(E92:E98)</f>
        <v>7289664</v>
      </c>
      <c r="F91" s="258">
        <f t="shared" si="20"/>
        <v>7552957</v>
      </c>
      <c r="G91" s="258">
        <f t="shared" si="20"/>
        <v>7137978</v>
      </c>
      <c r="H91" s="258">
        <f t="shared" si="20"/>
        <v>7261577</v>
      </c>
      <c r="I91" s="258">
        <f t="shared" si="20"/>
        <v>7423642.6568181785</v>
      </c>
      <c r="J91" s="258">
        <f t="shared" si="20"/>
        <v>7317274.6456277864</v>
      </c>
      <c r="K91" s="258">
        <f t="shared" si="20"/>
        <v>7810844.0238295384</v>
      </c>
      <c r="L91" s="258">
        <f t="shared" si="20"/>
        <v>7997080.4029974239</v>
      </c>
      <c r="M91" s="274"/>
      <c r="N91" s="258">
        <f t="shared" ref="N91:N107" si="21">SUM(B91:M91)</f>
        <v>76676379.729272932</v>
      </c>
      <c r="O91" s="275">
        <f>N91/$N$91</f>
        <v>1</v>
      </c>
    </row>
    <row r="92" spans="1:17">
      <c r="A92" s="259" t="s">
        <v>100</v>
      </c>
      <c r="B92" s="260">
        <v>1809898</v>
      </c>
      <c r="C92" s="260">
        <v>1730564</v>
      </c>
      <c r="D92" s="260">
        <v>2112389</v>
      </c>
      <c r="E92" s="260">
        <v>2570971</v>
      </c>
      <c r="F92" s="260">
        <v>2877822</v>
      </c>
      <c r="G92" s="260">
        <v>2522285</v>
      </c>
      <c r="H92" s="260">
        <v>2379861</v>
      </c>
      <c r="I92" s="276">
        <v>1649483.96140941</v>
      </c>
      <c r="J92" s="277">
        <v>2145448.2027232898</v>
      </c>
      <c r="K92" s="260">
        <v>2185241.3473768402</v>
      </c>
      <c r="L92" s="260">
        <v>2165350.4173335498</v>
      </c>
      <c r="M92" s="260"/>
      <c r="N92" s="277">
        <f t="shared" si="21"/>
        <v>24149313.928843088</v>
      </c>
      <c r="O92" s="278">
        <f t="shared" ref="O92:O98" si="22">N92/$N$91</f>
        <v>0.31495114941666374</v>
      </c>
    </row>
    <row r="93" spans="1:17">
      <c r="A93" s="259" t="s">
        <v>101</v>
      </c>
      <c r="B93" s="260">
        <v>216643</v>
      </c>
      <c r="C93" s="260">
        <v>165584</v>
      </c>
      <c r="D93" s="260">
        <v>464816</v>
      </c>
      <c r="E93" s="260">
        <v>179363</v>
      </c>
      <c r="F93" s="260">
        <v>325949</v>
      </c>
      <c r="G93" s="260">
        <v>301067</v>
      </c>
      <c r="H93" s="260">
        <v>208263</v>
      </c>
      <c r="I93" s="276">
        <v>556923.47207816201</v>
      </c>
      <c r="J93" s="277">
        <v>415004.996358937</v>
      </c>
      <c r="K93" s="260">
        <v>351758.76002235099</v>
      </c>
      <c r="L93" s="260">
        <v>489505.70748552302</v>
      </c>
      <c r="M93" s="260"/>
      <c r="N93" s="277">
        <f t="shared" si="21"/>
        <v>3674877.9359449735</v>
      </c>
      <c r="O93" s="278">
        <f t="shared" si="22"/>
        <v>4.7927118480556093E-2</v>
      </c>
    </row>
    <row r="94" spans="1:17">
      <c r="A94" s="259" t="s">
        <v>102</v>
      </c>
      <c r="B94" s="260">
        <v>1371301</v>
      </c>
      <c r="C94" s="260">
        <v>870579</v>
      </c>
      <c r="D94" s="260">
        <v>1114225</v>
      </c>
      <c r="E94" s="260">
        <v>1074841</v>
      </c>
      <c r="F94" s="260">
        <v>1197562</v>
      </c>
      <c r="G94" s="260">
        <v>1270373</v>
      </c>
      <c r="H94" s="260">
        <v>1356812</v>
      </c>
      <c r="I94" s="276">
        <v>1428637.4627896</v>
      </c>
      <c r="J94" s="277">
        <v>1247824.8462519899</v>
      </c>
      <c r="K94" s="260">
        <v>957946.88996302499</v>
      </c>
      <c r="L94" s="260">
        <v>1397597.3805813501</v>
      </c>
      <c r="M94" s="260"/>
      <c r="N94" s="277">
        <f t="shared" si="21"/>
        <v>13287699.579585966</v>
      </c>
      <c r="O94" s="278">
        <f t="shared" si="22"/>
        <v>0.17329586538255781</v>
      </c>
    </row>
    <row r="95" spans="1:17">
      <c r="A95" s="259" t="s">
        <v>103</v>
      </c>
      <c r="B95" s="260">
        <v>758783</v>
      </c>
      <c r="C95" s="260">
        <v>620788</v>
      </c>
      <c r="D95" s="260">
        <v>832464</v>
      </c>
      <c r="E95" s="260">
        <v>805760</v>
      </c>
      <c r="F95" s="260">
        <v>873484</v>
      </c>
      <c r="G95" s="260">
        <v>767484</v>
      </c>
      <c r="H95" s="260">
        <v>901143</v>
      </c>
      <c r="I95" s="276">
        <v>1048065.44177413</v>
      </c>
      <c r="J95" s="277">
        <v>885187.76367192296</v>
      </c>
      <c r="K95" s="260">
        <v>1644774.5354611899</v>
      </c>
      <c r="L95" s="260">
        <v>1007158.88651302</v>
      </c>
      <c r="M95" s="260"/>
      <c r="N95" s="277">
        <f t="shared" si="21"/>
        <v>10145092.627420263</v>
      </c>
      <c r="O95" s="278">
        <f t="shared" si="22"/>
        <v>0.1323105324382855</v>
      </c>
    </row>
    <row r="96" spans="1:17">
      <c r="A96" s="259" t="s">
        <v>104</v>
      </c>
      <c r="B96" s="260">
        <v>663451</v>
      </c>
      <c r="C96" s="260">
        <v>687147</v>
      </c>
      <c r="D96" s="260">
        <v>1074747</v>
      </c>
      <c r="E96" s="260">
        <v>1431356</v>
      </c>
      <c r="F96" s="260">
        <v>1344265</v>
      </c>
      <c r="G96" s="260">
        <v>1186850</v>
      </c>
      <c r="H96" s="260">
        <v>1525557</v>
      </c>
      <c r="I96" s="276">
        <v>1204868.26132492</v>
      </c>
      <c r="J96" s="277">
        <v>789731.61168467801</v>
      </c>
      <c r="K96" s="260">
        <v>631262.43774486496</v>
      </c>
      <c r="L96" s="260">
        <v>1083401.18247509</v>
      </c>
      <c r="M96" s="260"/>
      <c r="N96" s="277">
        <f t="shared" si="21"/>
        <v>11622636.493229553</v>
      </c>
      <c r="O96" s="278">
        <f t="shared" si="22"/>
        <v>0.15158040239075543</v>
      </c>
    </row>
    <row r="97" spans="1:17">
      <c r="A97" s="259" t="s">
        <v>105</v>
      </c>
      <c r="B97" s="260">
        <v>94829</v>
      </c>
      <c r="C97" s="260">
        <v>74713</v>
      </c>
      <c r="D97" s="260">
        <v>126500</v>
      </c>
      <c r="E97" s="260">
        <v>117804</v>
      </c>
      <c r="F97" s="260">
        <v>116232</v>
      </c>
      <c r="G97" s="260">
        <v>117017</v>
      </c>
      <c r="H97" s="260">
        <v>119409</v>
      </c>
      <c r="I97" s="276">
        <v>426707.09230535798</v>
      </c>
      <c r="J97" s="277">
        <v>516802.34385403898</v>
      </c>
      <c r="K97" s="260">
        <v>712885.31554481795</v>
      </c>
      <c r="L97" s="260">
        <v>623485.43851693103</v>
      </c>
      <c r="M97" s="260"/>
      <c r="N97" s="277">
        <f t="shared" si="21"/>
        <v>3046384.1902211462</v>
      </c>
      <c r="O97" s="278">
        <f t="shared" si="22"/>
        <v>3.973041242918933E-2</v>
      </c>
    </row>
    <row r="98" spans="1:17">
      <c r="A98" s="259" t="s">
        <v>58</v>
      </c>
      <c r="B98" s="260">
        <v>644996</v>
      </c>
      <c r="C98" s="260">
        <v>549797</v>
      </c>
      <c r="D98" s="260">
        <v>901148</v>
      </c>
      <c r="E98" s="260">
        <v>1109569</v>
      </c>
      <c r="F98" s="260">
        <v>817643</v>
      </c>
      <c r="G98" s="260">
        <v>972902</v>
      </c>
      <c r="H98" s="260">
        <v>770532</v>
      </c>
      <c r="I98" s="276">
        <v>1108956.9651366</v>
      </c>
      <c r="J98" s="277">
        <v>1317274.8810829299</v>
      </c>
      <c r="K98" s="260">
        <v>1326974.7377164499</v>
      </c>
      <c r="L98" s="260">
        <v>1230581.3900919601</v>
      </c>
      <c r="M98" s="260"/>
      <c r="N98" s="277">
        <f t="shared" si="21"/>
        <v>10750374.974027939</v>
      </c>
      <c r="O98" s="278">
        <f t="shared" si="22"/>
        <v>0.14020451946199206</v>
      </c>
    </row>
    <row r="99" spans="1:17">
      <c r="A99" s="257" t="s">
        <v>106</v>
      </c>
      <c r="B99" s="258">
        <f>SUM(B100:B106)</f>
        <v>6806119</v>
      </c>
      <c r="C99" s="258">
        <v>5512491</v>
      </c>
      <c r="D99" s="258">
        <v>8179108</v>
      </c>
      <c r="E99" s="258">
        <f t="shared" ref="E99:L99" si="23">SUM(E100:E106)</f>
        <v>8765844</v>
      </c>
      <c r="F99" s="258">
        <f t="shared" si="23"/>
        <v>8376295</v>
      </c>
      <c r="G99" s="258">
        <f t="shared" si="23"/>
        <v>8199263</v>
      </c>
      <c r="H99" s="258">
        <f t="shared" si="23"/>
        <v>8405793</v>
      </c>
      <c r="I99" s="258">
        <f t="shared" si="23"/>
        <v>9120088.1304625664</v>
      </c>
      <c r="J99" s="258">
        <f t="shared" si="23"/>
        <v>8422294.5254808925</v>
      </c>
      <c r="K99" s="258">
        <f t="shared" si="23"/>
        <v>10251987.251608843</v>
      </c>
      <c r="L99" s="258">
        <f t="shared" si="23"/>
        <v>9522768.4799644202</v>
      </c>
      <c r="M99" s="257"/>
      <c r="N99" s="258">
        <f t="shared" si="21"/>
        <v>91562051.387516722</v>
      </c>
      <c r="O99" s="275">
        <f>N99/$N$99</f>
        <v>1</v>
      </c>
    </row>
    <row r="100" spans="1:17">
      <c r="A100" s="259" t="s">
        <v>100</v>
      </c>
      <c r="B100" s="260">
        <v>2135077</v>
      </c>
      <c r="C100" s="260">
        <v>1954967</v>
      </c>
      <c r="D100" s="260">
        <v>2573893</v>
      </c>
      <c r="E100" s="260">
        <v>3073887</v>
      </c>
      <c r="F100" s="260">
        <v>3261336</v>
      </c>
      <c r="G100" s="260">
        <v>3026937</v>
      </c>
      <c r="H100" s="260">
        <v>2813170</v>
      </c>
      <c r="I100" s="276">
        <v>2771764.24442368</v>
      </c>
      <c r="J100" s="277">
        <v>2874199.5261229998</v>
      </c>
      <c r="K100" s="260">
        <v>3505747.6387520302</v>
      </c>
      <c r="L100" s="260">
        <v>3226534.0950880302</v>
      </c>
      <c r="M100" s="260"/>
      <c r="N100" s="277">
        <f t="shared" si="21"/>
        <v>31217512.504386742</v>
      </c>
      <c r="O100" s="278">
        <f t="shared" ref="O100:O106" si="24">N100/$N$99</f>
        <v>0.34094378655044899</v>
      </c>
    </row>
    <row r="101" spans="1:17">
      <c r="A101" s="259" t="s">
        <v>101</v>
      </c>
      <c r="B101" s="260">
        <v>263002</v>
      </c>
      <c r="C101" s="260">
        <v>221352</v>
      </c>
      <c r="D101" s="260">
        <v>387773</v>
      </c>
      <c r="E101" s="260">
        <v>258017</v>
      </c>
      <c r="F101" s="260">
        <v>388537</v>
      </c>
      <c r="G101" s="260">
        <v>292594</v>
      </c>
      <c r="H101" s="260">
        <v>286187</v>
      </c>
      <c r="I101" s="276">
        <v>371162.45418796502</v>
      </c>
      <c r="J101" s="277">
        <v>377418.838031133</v>
      </c>
      <c r="K101" s="260">
        <v>526470.35569161596</v>
      </c>
      <c r="L101" s="260">
        <v>603592.07934567204</v>
      </c>
      <c r="M101" s="260"/>
      <c r="N101" s="277">
        <f t="shared" si="21"/>
        <v>3976105.7272563861</v>
      </c>
      <c r="O101" s="278">
        <f t="shared" si="24"/>
        <v>4.3425258248402196E-2</v>
      </c>
    </row>
    <row r="102" spans="1:17">
      <c r="A102" s="259" t="s">
        <v>102</v>
      </c>
      <c r="B102" s="260">
        <v>1600519</v>
      </c>
      <c r="C102" s="260">
        <v>975825</v>
      </c>
      <c r="D102" s="260">
        <v>1500811</v>
      </c>
      <c r="E102" s="260">
        <v>1431201</v>
      </c>
      <c r="F102" s="260">
        <v>1312883</v>
      </c>
      <c r="G102" s="260">
        <v>1628844</v>
      </c>
      <c r="H102" s="260">
        <v>1563650</v>
      </c>
      <c r="I102" s="276">
        <v>1567478.3799777699</v>
      </c>
      <c r="J102" s="277">
        <v>1218496.8775750101</v>
      </c>
      <c r="K102" s="260">
        <v>1009022.45347845</v>
      </c>
      <c r="L102" s="260">
        <v>1521959.7647422799</v>
      </c>
      <c r="M102" s="260"/>
      <c r="N102" s="277">
        <f t="shared" si="21"/>
        <v>15330690.47577351</v>
      </c>
      <c r="O102" s="278">
        <f t="shared" si="24"/>
        <v>0.16743498254412906</v>
      </c>
    </row>
    <row r="103" spans="1:17">
      <c r="A103" s="259" t="s">
        <v>103</v>
      </c>
      <c r="B103" s="260">
        <v>906127</v>
      </c>
      <c r="C103" s="260">
        <v>684506</v>
      </c>
      <c r="D103" s="260">
        <v>1019356</v>
      </c>
      <c r="E103" s="260">
        <v>936276</v>
      </c>
      <c r="F103" s="260">
        <v>1009873</v>
      </c>
      <c r="G103" s="260">
        <v>790066</v>
      </c>
      <c r="H103" s="260">
        <v>1001312</v>
      </c>
      <c r="I103" s="276">
        <v>1059004.6865963</v>
      </c>
      <c r="J103" s="277">
        <v>1115659.7180649899</v>
      </c>
      <c r="K103" s="260">
        <v>2057804.0921621199</v>
      </c>
      <c r="L103" s="260">
        <v>836778.92556376301</v>
      </c>
      <c r="M103" s="260"/>
      <c r="N103" s="277">
        <f t="shared" si="21"/>
        <v>11416763.422387173</v>
      </c>
      <c r="O103" s="278">
        <f t="shared" si="24"/>
        <v>0.12468881211571127</v>
      </c>
    </row>
    <row r="104" spans="1:17">
      <c r="A104" s="259" t="s">
        <v>104</v>
      </c>
      <c r="B104" s="260">
        <v>910303</v>
      </c>
      <c r="C104" s="260">
        <v>843503</v>
      </c>
      <c r="D104" s="260">
        <v>1350561</v>
      </c>
      <c r="E104" s="260">
        <v>1603712</v>
      </c>
      <c r="F104" s="260">
        <v>1322029</v>
      </c>
      <c r="G104" s="260">
        <v>1326834</v>
      </c>
      <c r="H104" s="260">
        <v>1615435</v>
      </c>
      <c r="I104" s="276">
        <v>1427094.8094327101</v>
      </c>
      <c r="J104" s="277">
        <v>1040755.49606988</v>
      </c>
      <c r="K104" s="260">
        <v>1260870.4950699899</v>
      </c>
      <c r="L104" s="260">
        <v>1376003.8426560301</v>
      </c>
      <c r="M104" s="260"/>
      <c r="N104" s="277">
        <f t="shared" si="21"/>
        <v>14077101.643228609</v>
      </c>
      <c r="O104" s="278">
        <f t="shared" si="24"/>
        <v>0.15374384289021986</v>
      </c>
    </row>
    <row r="105" spans="1:17">
      <c r="A105" s="259" t="s">
        <v>105</v>
      </c>
      <c r="B105" s="260">
        <v>73110</v>
      </c>
      <c r="C105" s="260">
        <v>87700</v>
      </c>
      <c r="D105" s="260">
        <v>119850</v>
      </c>
      <c r="E105" s="260">
        <v>120063</v>
      </c>
      <c r="F105" s="260">
        <v>106070</v>
      </c>
      <c r="G105" s="260">
        <v>105910</v>
      </c>
      <c r="H105" s="260">
        <v>116555</v>
      </c>
      <c r="I105" s="276">
        <v>318808.68661145098</v>
      </c>
      <c r="J105" s="277">
        <v>279913.02113921801</v>
      </c>
      <c r="K105" s="260">
        <v>280026.16302326799</v>
      </c>
      <c r="L105" s="260">
        <v>224388.01297575401</v>
      </c>
      <c r="M105" s="260"/>
      <c r="N105" s="277">
        <f t="shared" si="21"/>
        <v>1832393.8837496911</v>
      </c>
      <c r="O105" s="278">
        <f t="shared" si="24"/>
        <v>2.001259098045409E-2</v>
      </c>
    </row>
    <row r="106" spans="1:17">
      <c r="A106" s="259" t="s">
        <v>58</v>
      </c>
      <c r="B106" s="260">
        <v>917981</v>
      </c>
      <c r="C106" s="260">
        <v>744638</v>
      </c>
      <c r="D106" s="260">
        <v>1226864</v>
      </c>
      <c r="E106" s="260">
        <v>1342688</v>
      </c>
      <c r="F106" s="260">
        <v>975567</v>
      </c>
      <c r="G106" s="260">
        <v>1028078</v>
      </c>
      <c r="H106" s="260">
        <v>1009484</v>
      </c>
      <c r="I106" s="276">
        <v>1604774.86923269</v>
      </c>
      <c r="J106" s="277">
        <v>1515851.0484776599</v>
      </c>
      <c r="K106" s="260">
        <v>1612046.0534313701</v>
      </c>
      <c r="L106" s="260">
        <v>1733511.75959289</v>
      </c>
      <c r="M106" s="260"/>
      <c r="N106" s="277">
        <f t="shared" si="21"/>
        <v>13711483.730734609</v>
      </c>
      <c r="O106" s="278">
        <f t="shared" si="24"/>
        <v>0.14975072667063452</v>
      </c>
    </row>
    <row r="107" spans="1:17">
      <c r="A107" s="257" t="s">
        <v>107</v>
      </c>
      <c r="B107" s="261">
        <f>B91+B99</f>
        <v>12366020</v>
      </c>
      <c r="C107" s="261">
        <v>10413069</v>
      </c>
      <c r="D107" s="261">
        <v>14805397</v>
      </c>
      <c r="E107" s="261">
        <f>E91+E99</f>
        <v>16055508</v>
      </c>
      <c r="F107" s="261">
        <f t="shared" ref="F107:L107" si="25">F91+F99</f>
        <v>15929252</v>
      </c>
      <c r="G107" s="261">
        <f t="shared" si="25"/>
        <v>15337241</v>
      </c>
      <c r="H107" s="261">
        <f t="shared" si="25"/>
        <v>15667370</v>
      </c>
      <c r="I107" s="279">
        <f t="shared" si="25"/>
        <v>16543730.787280746</v>
      </c>
      <c r="J107" s="261">
        <f t="shared" si="25"/>
        <v>15739569.171108678</v>
      </c>
      <c r="K107" s="261">
        <f t="shared" si="25"/>
        <v>18062831.275438383</v>
      </c>
      <c r="L107" s="261">
        <f t="shared" si="25"/>
        <v>17519848.882961843</v>
      </c>
      <c r="M107" s="257"/>
      <c r="N107" s="258">
        <f t="shared" si="21"/>
        <v>168439837.11678964</v>
      </c>
      <c r="O107" s="259"/>
    </row>
    <row r="108" spans="1:17">
      <c r="C108" s="262">
        <f t="shared" ref="C108:L108" si="26">C107/B107</f>
        <v>0.8420711756895104</v>
      </c>
      <c r="D108" s="262">
        <f t="shared" si="26"/>
        <v>1.4218091707641618</v>
      </c>
      <c r="E108" s="262">
        <f t="shared" si="26"/>
        <v>1.0844361687835862</v>
      </c>
      <c r="F108" s="262">
        <f t="shared" si="26"/>
        <v>0.99213628120642461</v>
      </c>
      <c r="G108" s="262">
        <f t="shared" si="26"/>
        <v>0.96283497806425566</v>
      </c>
      <c r="H108" s="262">
        <f t="shared" si="26"/>
        <v>1.0215246666594076</v>
      </c>
      <c r="I108" s="262">
        <f t="shared" si="26"/>
        <v>1.0559354114494486</v>
      </c>
      <c r="J108" s="262">
        <f t="shared" si="26"/>
        <v>0.95139176123499736</v>
      </c>
      <c r="K108" s="262">
        <f t="shared" si="26"/>
        <v>1.1476064610837158</v>
      </c>
      <c r="L108" s="262">
        <f t="shared" si="26"/>
        <v>0.96993924240354934</v>
      </c>
    </row>
    <row r="110" spans="1:17">
      <c r="K110" s="280"/>
    </row>
    <row r="111" spans="1:17">
      <c r="A111" s="263"/>
      <c r="B111" s="263"/>
      <c r="C111" s="263"/>
      <c r="D111" s="264"/>
      <c r="E111" s="264"/>
      <c r="F111" s="264"/>
      <c r="G111" s="264"/>
      <c r="O111" s="265"/>
      <c r="P111" s="265"/>
    </row>
    <row r="112" spans="1:17">
      <c r="D112" s="265"/>
      <c r="L112" s="3"/>
      <c r="O112" s="265"/>
      <c r="P112" s="265"/>
      <c r="Q112" s="265"/>
    </row>
    <row r="113" spans="1:17">
      <c r="D113" s="265"/>
      <c r="L113" s="3"/>
      <c r="O113" s="265"/>
      <c r="P113" s="265"/>
      <c r="Q113" s="265"/>
    </row>
    <row r="114" spans="1:17">
      <c r="D114" s="265"/>
      <c r="L114" s="3"/>
      <c r="O114" s="265"/>
      <c r="P114" s="265"/>
      <c r="Q114" s="265"/>
    </row>
    <row r="115" spans="1:17">
      <c r="D115" s="265"/>
      <c r="L115" s="3"/>
      <c r="O115" s="265"/>
      <c r="P115" s="265"/>
      <c r="Q115" s="265"/>
    </row>
    <row r="116" spans="1:17">
      <c r="D116" s="265"/>
      <c r="O116" s="265"/>
      <c r="P116" s="265"/>
      <c r="Q116" s="265"/>
    </row>
    <row r="117" spans="1:17">
      <c r="D117" s="265"/>
      <c r="O117" s="265"/>
      <c r="P117" s="265"/>
      <c r="Q117" s="265"/>
    </row>
    <row r="118" spans="1:17">
      <c r="D118" s="265"/>
      <c r="O118" s="265"/>
      <c r="P118" s="265"/>
      <c r="Q118" s="265"/>
    </row>
    <row r="119" spans="1:17">
      <c r="A119" s="263"/>
      <c r="B119" s="263"/>
      <c r="C119" s="263"/>
      <c r="D119" s="264"/>
      <c r="E119" s="264"/>
      <c r="F119" s="264"/>
      <c r="G119" s="264"/>
      <c r="O119" s="265"/>
      <c r="P119" s="265"/>
      <c r="Q119" s="265"/>
    </row>
    <row r="120" spans="1:17">
      <c r="D120" s="265"/>
      <c r="O120" s="265"/>
      <c r="P120" s="265"/>
      <c r="Q120" s="265"/>
    </row>
    <row r="121" spans="1:17">
      <c r="D121" s="265"/>
      <c r="O121" s="265"/>
      <c r="P121" s="265"/>
      <c r="Q121" s="265"/>
    </row>
    <row r="122" spans="1:17">
      <c r="D122" s="265"/>
      <c r="O122" s="265"/>
      <c r="P122" s="265"/>
      <c r="Q122" s="265"/>
    </row>
    <row r="123" spans="1:17">
      <c r="D123" s="265"/>
      <c r="O123" s="265"/>
      <c r="P123" s="265"/>
      <c r="Q123" s="265"/>
    </row>
    <row r="124" spans="1:17">
      <c r="D124" s="265"/>
      <c r="O124" s="265"/>
      <c r="P124" s="265"/>
      <c r="Q124" s="265"/>
    </row>
    <row r="125" spans="1:17">
      <c r="D125" s="265"/>
      <c r="O125" s="265"/>
      <c r="P125" s="265"/>
      <c r="Q125" s="265"/>
    </row>
    <row r="126" spans="1:17">
      <c r="D126" s="265"/>
      <c r="O126" s="265"/>
      <c r="P126" s="265"/>
      <c r="Q126" s="265"/>
    </row>
    <row r="127" spans="1:17">
      <c r="E127" s="264"/>
      <c r="O127" s="265"/>
      <c r="P127" s="265"/>
      <c r="Q127" s="265"/>
    </row>
  </sheetData>
  <mergeCells count="7">
    <mergeCell ref="A1:O1"/>
    <mergeCell ref="E3:N3"/>
    <mergeCell ref="A3:A4"/>
    <mergeCell ref="B3:B4"/>
    <mergeCell ref="C3:C4"/>
    <mergeCell ref="D3:D4"/>
    <mergeCell ref="O3:O4"/>
  </mergeCells>
  <conditionalFormatting sqref="O6:O74">
    <cfRule type="cellIs" dxfId="15" priority="1" operator="between">
      <formula>0.01</formula>
      <formula>0.99</formula>
    </cfRule>
    <cfRule type="expression" dxfId="14" priority="2">
      <formula>AND($O6&gt;100%,$O6&lt;100%)</formula>
    </cfRule>
  </conditionalFormatting>
  <pageMargins left="0.7" right="0.7" top="0.75" bottom="0.75" header="0.3" footer="0.3"/>
  <pageSetup paperSize="9" scale="7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26"/>
  <sheetViews>
    <sheetView zoomScale="80" zoomScaleNormal="80" workbookViewId="0">
      <pane xSplit="1" ySplit="4" topLeftCell="B13" activePane="bottomRight" state="frozen"/>
      <selection pane="topRight"/>
      <selection pane="bottomLeft"/>
      <selection pane="bottomRight" activeCell="I29" sqref="I29"/>
    </sheetView>
  </sheetViews>
  <sheetFormatPr defaultColWidth="9" defaultRowHeight="14.4"/>
  <cols>
    <col min="1" max="1" width="28.88671875" customWidth="1"/>
    <col min="2" max="4" width="12.77734375" customWidth="1"/>
    <col min="5" max="5" width="12.88671875" customWidth="1"/>
    <col min="6" max="12" width="10.77734375" customWidth="1"/>
    <col min="13" max="13" width="10.88671875" customWidth="1"/>
    <col min="14" max="14" width="10.77734375" customWidth="1"/>
  </cols>
  <sheetData>
    <row r="1" spans="1:17" ht="15.6">
      <c r="A1" s="1780" t="s">
        <v>210</v>
      </c>
      <c r="B1" s="1780"/>
      <c r="C1" s="1780"/>
      <c r="D1" s="1780"/>
      <c r="E1" s="1780"/>
      <c r="F1" s="1780"/>
      <c r="G1" s="1780"/>
      <c r="H1" s="1780"/>
      <c r="I1" s="1780"/>
      <c r="J1" s="1780"/>
      <c r="K1" s="1780"/>
      <c r="L1" s="1780"/>
      <c r="M1" s="1780"/>
      <c r="N1" s="1780"/>
      <c r="O1" s="1780"/>
      <c r="P1" s="151"/>
      <c r="Q1" s="221"/>
    </row>
    <row r="2" spans="1:17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152"/>
      <c r="P2" s="2"/>
    </row>
    <row r="3" spans="1:17" ht="27" customHeight="1">
      <c r="A3" s="1784" t="s">
        <v>1</v>
      </c>
      <c r="B3" s="1786" t="s">
        <v>2</v>
      </c>
      <c r="C3" s="1786" t="s">
        <v>211</v>
      </c>
      <c r="D3" s="1788" t="s">
        <v>212</v>
      </c>
      <c r="E3" s="1781" t="s">
        <v>213</v>
      </c>
      <c r="F3" s="1782"/>
      <c r="G3" s="1782"/>
      <c r="H3" s="1782"/>
      <c r="I3" s="1782"/>
      <c r="J3" s="1782"/>
      <c r="K3" s="1782"/>
      <c r="L3" s="1782"/>
      <c r="M3" s="1782"/>
      <c r="N3" s="1783"/>
      <c r="O3" s="1790" t="s">
        <v>214</v>
      </c>
      <c r="P3" s="154"/>
    </row>
    <row r="4" spans="1:17" ht="27.6">
      <c r="A4" s="1785"/>
      <c r="B4" s="1787"/>
      <c r="C4" s="1787"/>
      <c r="D4" s="1789"/>
      <c r="E4" s="6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155" t="s">
        <v>12</v>
      </c>
      <c r="K4" s="156" t="s">
        <v>13</v>
      </c>
      <c r="L4" s="156" t="s">
        <v>14</v>
      </c>
      <c r="M4" s="157" t="s">
        <v>15</v>
      </c>
      <c r="N4" s="158" t="s">
        <v>16</v>
      </c>
      <c r="O4" s="1791"/>
      <c r="P4" s="154"/>
    </row>
    <row r="5" spans="1:17" ht="15.6">
      <c r="A5" s="8"/>
      <c r="B5" s="9"/>
      <c r="C5" s="9"/>
      <c r="D5" s="10"/>
      <c r="E5" s="11"/>
      <c r="F5" s="12"/>
      <c r="G5" s="12"/>
      <c r="H5" s="12"/>
      <c r="I5" s="12"/>
      <c r="J5" s="160"/>
      <c r="K5" s="12"/>
      <c r="L5" s="12"/>
      <c r="M5" s="160"/>
      <c r="N5" s="161"/>
      <c r="O5" s="162"/>
      <c r="P5" s="154"/>
    </row>
    <row r="6" spans="1:17">
      <c r="A6" s="13" t="s">
        <v>177</v>
      </c>
      <c r="B6" s="14">
        <f t="shared" ref="B6:N6" si="0">SUM(B8:B18)</f>
        <v>4976683</v>
      </c>
      <c r="C6" s="14">
        <f t="shared" si="0"/>
        <v>4976683</v>
      </c>
      <c r="D6" s="15">
        <f>SUM(D9:D18)</f>
        <v>5283366</v>
      </c>
      <c r="E6" s="16">
        <f t="shared" si="0"/>
        <v>510032.2</v>
      </c>
      <c r="F6" s="17">
        <f t="shared" si="0"/>
        <v>137700</v>
      </c>
      <c r="G6" s="17">
        <f t="shared" si="0"/>
        <v>131004</v>
      </c>
      <c r="H6" s="17">
        <f t="shared" si="0"/>
        <v>5365.6</v>
      </c>
      <c r="I6" s="17">
        <f t="shared" si="0"/>
        <v>6658.6</v>
      </c>
      <c r="J6" s="17">
        <f t="shared" si="0"/>
        <v>0</v>
      </c>
      <c r="K6" s="17">
        <f t="shared" si="0"/>
        <v>59763</v>
      </c>
      <c r="L6" s="17">
        <f t="shared" si="0"/>
        <v>64924</v>
      </c>
      <c r="M6" s="17">
        <f t="shared" si="0"/>
        <v>4366</v>
      </c>
      <c r="N6" s="163">
        <f t="shared" si="0"/>
        <v>2783</v>
      </c>
      <c r="O6" s="164">
        <f t="shared" ref="O6:O11" si="1">+D6/C6</f>
        <v>1.0616239772555334</v>
      </c>
      <c r="P6" s="165"/>
      <c r="Q6" s="197"/>
    </row>
    <row r="7" spans="1:17">
      <c r="A7" s="18" t="s">
        <v>178</v>
      </c>
      <c r="B7" s="19"/>
      <c r="C7" s="19"/>
      <c r="D7" s="20"/>
      <c r="E7" s="21">
        <f t="shared" ref="E7:E11" si="2">SUM(F7:J7)</f>
        <v>0</v>
      </c>
      <c r="F7" s="22"/>
      <c r="G7" s="22"/>
      <c r="H7" s="22"/>
      <c r="I7" s="22"/>
      <c r="J7" s="99"/>
      <c r="K7" s="51"/>
      <c r="L7" s="51"/>
      <c r="M7" s="51"/>
      <c r="N7" s="166"/>
      <c r="O7" s="164"/>
      <c r="P7" s="165"/>
      <c r="Q7" s="2"/>
    </row>
    <row r="8" spans="1:17">
      <c r="A8" s="23" t="s">
        <v>179</v>
      </c>
      <c r="B8" s="19"/>
      <c r="C8" s="19"/>
      <c r="D8" s="20"/>
      <c r="E8" s="21">
        <f t="shared" si="2"/>
        <v>0</v>
      </c>
      <c r="F8" s="24"/>
      <c r="G8" s="24"/>
      <c r="H8" s="24"/>
      <c r="I8" s="24"/>
      <c r="J8" s="167"/>
      <c r="K8" s="168"/>
      <c r="L8" s="168"/>
      <c r="M8" s="168"/>
      <c r="N8" s="169"/>
      <c r="O8" s="164"/>
      <c r="P8" s="170"/>
      <c r="Q8" s="2"/>
    </row>
    <row r="9" spans="1:17">
      <c r="A9" s="18" t="s">
        <v>180</v>
      </c>
      <c r="B9" s="19">
        <f>108077+85467+113186+113042+116756+109995+110509+101300+92745+107226+101895+113016</f>
        <v>1273214</v>
      </c>
      <c r="C9" s="19">
        <f>108077+85467+113186+113042+116756+109995+110509+101300+92745+107226+101895+113016</f>
        <v>1273214</v>
      </c>
      <c r="D9" s="20">
        <f>195272+119565+111251+124577+111240+113765+121727+107555+127919+124121</f>
        <v>1256992</v>
      </c>
      <c r="E9" s="21">
        <f>93397+28503</f>
        <v>121900</v>
      </c>
      <c r="F9" s="24"/>
      <c r="G9" s="24"/>
      <c r="H9" s="24"/>
      <c r="I9" s="24"/>
      <c r="J9" s="171"/>
      <c r="K9" s="51"/>
      <c r="L9" s="51"/>
      <c r="M9" s="51"/>
      <c r="N9" s="166"/>
      <c r="O9" s="164">
        <f t="shared" si="1"/>
        <v>0.98725901537369209</v>
      </c>
      <c r="P9" s="172"/>
      <c r="Q9" s="222"/>
    </row>
    <row r="10" spans="1:17">
      <c r="A10" s="25" t="s">
        <v>181</v>
      </c>
      <c r="B10" s="26">
        <v>0</v>
      </c>
      <c r="C10" s="26">
        <v>0</v>
      </c>
      <c r="D10" s="27">
        <f>111446+37016+46962</f>
        <v>195424</v>
      </c>
      <c r="E10" s="28">
        <v>49904</v>
      </c>
      <c r="F10" s="29"/>
      <c r="G10" s="29"/>
      <c r="H10" s="30"/>
      <c r="I10" s="30"/>
      <c r="J10" s="29"/>
      <c r="K10" s="173"/>
      <c r="L10" s="173"/>
      <c r="M10" s="173"/>
      <c r="N10" s="174"/>
      <c r="O10" s="164"/>
      <c r="P10" s="172"/>
      <c r="Q10" s="222"/>
    </row>
    <row r="11" spans="1:17">
      <c r="A11" s="18" t="s">
        <v>21</v>
      </c>
      <c r="B11" s="19">
        <f>148719+103732+138638+114388+149772+144287+154524+162231+134683+114242+101779+138292</f>
        <v>1605287</v>
      </c>
      <c r="C11" s="19">
        <f>148719+103732+138638+114388+149772+144287+154524+162231+134683+114242+101779+138292</f>
        <v>1605287</v>
      </c>
      <c r="D11" s="31">
        <f>131015+78250+105874+111968+99207+123596+111773+110146+91651+118422+115294+111602</f>
        <v>1308798</v>
      </c>
      <c r="E11" s="32">
        <f t="shared" si="2"/>
        <v>111602</v>
      </c>
      <c r="F11" s="33">
        <v>55198</v>
      </c>
      <c r="G11" s="33">
        <v>56404</v>
      </c>
      <c r="H11" s="30">
        <v>0</v>
      </c>
      <c r="I11" s="30">
        <v>0</v>
      </c>
      <c r="J11" s="30">
        <v>0</v>
      </c>
      <c r="K11" s="168">
        <v>16322</v>
      </c>
      <c r="L11" s="168">
        <f>27844+5154</f>
        <v>32998</v>
      </c>
      <c r="M11" s="51"/>
      <c r="N11" s="166"/>
      <c r="O11" s="164">
        <f t="shared" si="1"/>
        <v>0.81530467760593583</v>
      </c>
      <c r="P11" s="170"/>
      <c r="Q11" s="222"/>
    </row>
    <row r="12" spans="1:17">
      <c r="A12" s="18" t="s">
        <v>22</v>
      </c>
      <c r="B12" s="19"/>
      <c r="C12" s="19"/>
      <c r="D12" s="34"/>
      <c r="E12" s="21"/>
      <c r="F12" s="24"/>
      <c r="G12" s="24"/>
      <c r="H12" s="24"/>
      <c r="I12" s="24"/>
      <c r="J12" s="167"/>
      <c r="K12" s="168"/>
      <c r="L12" s="168"/>
      <c r="M12" s="168"/>
      <c r="N12" s="169"/>
      <c r="O12" s="164"/>
      <c r="P12" s="172"/>
      <c r="Q12" s="222"/>
    </row>
    <row r="13" spans="1:17">
      <c r="A13" s="18" t="s">
        <v>182</v>
      </c>
      <c r="B13" s="19">
        <f>39231+38035+45839+55212+55252+51874+53719+51193+43893+46338+47055+45738</f>
        <v>573379</v>
      </c>
      <c r="C13" s="19">
        <f>39231+38035+45839+55212+55252+51874+53719+51193+43893+46338+47055+45738</f>
        <v>573379</v>
      </c>
      <c r="D13" s="34">
        <f>74332+41587+36538+49878+32546+31277+34151+28168+37725+30539+35982</f>
        <v>432723</v>
      </c>
      <c r="E13" s="21">
        <f>SUM(F13:J13)</f>
        <v>35982</v>
      </c>
      <c r="F13" s="24">
        <v>18564</v>
      </c>
      <c r="G13" s="24">
        <v>16175</v>
      </c>
      <c r="H13" s="24">
        <v>491</v>
      </c>
      <c r="I13" s="24">
        <v>752</v>
      </c>
      <c r="J13" s="30">
        <v>0</v>
      </c>
      <c r="K13" s="168">
        <v>10866</v>
      </c>
      <c r="L13" s="168">
        <f>553+8779+318+19</f>
        <v>9669</v>
      </c>
      <c r="M13" s="175">
        <v>0</v>
      </c>
      <c r="N13" s="175">
        <v>0</v>
      </c>
      <c r="O13" s="164">
        <f t="shared" ref="O13:O25" si="3">+D13/C13</f>
        <v>0.75468930672382495</v>
      </c>
      <c r="P13" s="170"/>
      <c r="Q13" s="222"/>
    </row>
    <row r="14" spans="1:17">
      <c r="A14" s="23" t="s">
        <v>183</v>
      </c>
      <c r="B14" s="19">
        <v>0</v>
      </c>
      <c r="C14" s="19">
        <v>0</v>
      </c>
      <c r="D14" s="1461">
        <f>'T11-2025'!D14+'T12-2025'!E14</f>
        <v>399798</v>
      </c>
      <c r="E14" s="1460">
        <f>'T11-2025'!E14</f>
        <v>40000</v>
      </c>
      <c r="F14" s="24"/>
      <c r="G14" s="24"/>
      <c r="H14" s="24"/>
      <c r="I14" s="24"/>
      <c r="J14" s="167"/>
      <c r="K14" s="168"/>
      <c r="L14" s="168"/>
      <c r="M14" s="168"/>
      <c r="N14" s="169"/>
      <c r="O14" s="164"/>
      <c r="P14" s="172"/>
      <c r="Q14" s="222"/>
    </row>
    <row r="15" spans="1:17">
      <c r="A15" s="35" t="s">
        <v>25</v>
      </c>
      <c r="B15" s="19">
        <f>107401+71667+97692+112321+100543+91682+100061+119410+112186+136804+148168+145637</f>
        <v>1343572</v>
      </c>
      <c r="C15" s="19">
        <f>107401+71667+97692+112321+100543+91682+100061+119410+112186+136804+148168+145637</f>
        <v>1343572</v>
      </c>
      <c r="D15" s="20">
        <f>1255391+108887+133144</f>
        <v>1497422</v>
      </c>
      <c r="E15" s="21">
        <f>SUM(F15:J15)</f>
        <v>133144.20000000001</v>
      </c>
      <c r="F15" s="36">
        <v>63938</v>
      </c>
      <c r="G15" s="36">
        <v>58425</v>
      </c>
      <c r="H15" s="36">
        <v>4874.6000000000004</v>
      </c>
      <c r="I15" s="36">
        <v>5906.6</v>
      </c>
      <c r="J15" s="30">
        <v>0</v>
      </c>
      <c r="K15" s="176">
        <v>32575</v>
      </c>
      <c r="L15" s="176">
        <v>22257</v>
      </c>
      <c r="M15" s="176">
        <v>4366</v>
      </c>
      <c r="N15" s="177">
        <v>2783</v>
      </c>
      <c r="O15" s="164">
        <f t="shared" si="3"/>
        <v>1.1145081915967288</v>
      </c>
      <c r="P15" s="170"/>
      <c r="Q15" s="222"/>
    </row>
    <row r="16" spans="1:17">
      <c r="A16" s="18" t="s">
        <v>26</v>
      </c>
      <c r="B16" s="19">
        <f>5818+3471+4879+3146+1868+3203+3535+2520+3649+3073+2995+3507</f>
        <v>41664</v>
      </c>
      <c r="C16" s="19">
        <f>5818+3471+4879+3146+1868+3203+3535+2520+3649+3073+2995+3507</f>
        <v>41664</v>
      </c>
      <c r="D16" s="20"/>
      <c r="E16" s="21"/>
      <c r="F16" s="24"/>
      <c r="G16" s="24"/>
      <c r="H16" s="24"/>
      <c r="I16" s="24"/>
      <c r="J16" s="167"/>
      <c r="K16" s="51"/>
      <c r="L16" s="168"/>
      <c r="M16" s="168"/>
      <c r="N16" s="169"/>
      <c r="O16" s="164"/>
      <c r="P16" s="178"/>
      <c r="Q16" s="222"/>
    </row>
    <row r="17" spans="1:17">
      <c r="A17" s="18" t="s">
        <v>27</v>
      </c>
      <c r="B17" s="19">
        <f>528</f>
        <v>528</v>
      </c>
      <c r="C17" s="19">
        <f>528</f>
        <v>528</v>
      </c>
      <c r="D17" s="20"/>
      <c r="E17" s="21"/>
      <c r="F17" s="24"/>
      <c r="G17" s="24"/>
      <c r="H17" s="24"/>
      <c r="I17" s="24"/>
      <c r="J17" s="167"/>
      <c r="K17" s="51"/>
      <c r="L17" s="51"/>
      <c r="M17" s="168"/>
      <c r="N17" s="169"/>
      <c r="O17" s="164"/>
      <c r="P17" s="178"/>
      <c r="Q17" s="222"/>
    </row>
    <row r="18" spans="1:17">
      <c r="A18" s="37" t="s">
        <v>28</v>
      </c>
      <c r="B18" s="38">
        <f>127397+11642</f>
        <v>139039</v>
      </c>
      <c r="C18" s="38">
        <f>127397+11642</f>
        <v>139039</v>
      </c>
      <c r="D18" s="39">
        <f>19907+16036+17100+18000+13965+16816+21546+15500+19650+16189+17500</f>
        <v>192209</v>
      </c>
      <c r="E18" s="40">
        <v>17500</v>
      </c>
      <c r="F18" s="41"/>
      <c r="G18" s="41"/>
      <c r="H18" s="41"/>
      <c r="I18" s="41"/>
      <c r="J18" s="41"/>
      <c r="K18" s="179"/>
      <c r="L18" s="179"/>
      <c r="M18" s="179"/>
      <c r="N18" s="180"/>
      <c r="O18" s="181">
        <f t="shared" si="3"/>
        <v>1.3824106905256799</v>
      </c>
      <c r="P18" s="182"/>
      <c r="Q18" s="223"/>
    </row>
    <row r="19" spans="1:17" ht="15.6">
      <c r="A19" s="42" t="s">
        <v>29</v>
      </c>
      <c r="B19" s="43">
        <f>534688+54911+55025</f>
        <v>644624</v>
      </c>
      <c r="C19" s="43">
        <f>534688+54911+55025</f>
        <v>644624</v>
      </c>
      <c r="D19" s="44">
        <v>583564</v>
      </c>
      <c r="E19" s="45">
        <v>46668</v>
      </c>
      <c r="F19" s="46"/>
      <c r="G19" s="46"/>
      <c r="H19" s="46"/>
      <c r="I19" s="46"/>
      <c r="J19" s="46"/>
      <c r="K19" s="46"/>
      <c r="L19" s="46"/>
      <c r="M19" s="46"/>
      <c r="N19" s="183"/>
      <c r="O19" s="184">
        <f t="shared" si="3"/>
        <v>0.90527811561468385</v>
      </c>
      <c r="P19" s="185"/>
      <c r="Q19" s="185"/>
    </row>
    <row r="20" spans="1:17" ht="15.6">
      <c r="A20" s="47" t="s">
        <v>30</v>
      </c>
      <c r="B20" s="48">
        <f>228437+18717+26622</f>
        <v>273776</v>
      </c>
      <c r="C20" s="48">
        <f>228437+18717+26622</f>
        <v>273776</v>
      </c>
      <c r="D20" s="49">
        <v>232769</v>
      </c>
      <c r="E20" s="50">
        <v>21990</v>
      </c>
      <c r="F20" s="51"/>
      <c r="G20" s="51"/>
      <c r="H20" s="51"/>
      <c r="I20" s="51"/>
      <c r="J20" s="51"/>
      <c r="K20" s="51"/>
      <c r="L20" s="51"/>
      <c r="M20" s="51"/>
      <c r="N20" s="166"/>
      <c r="O20" s="164">
        <f t="shared" si="3"/>
        <v>0.85021696569458238</v>
      </c>
      <c r="P20" s="186"/>
      <c r="Q20" s="152"/>
    </row>
    <row r="21" spans="1:17" ht="15.6">
      <c r="A21" s="47" t="s">
        <v>31</v>
      </c>
      <c r="B21" s="48">
        <f>76626+5290+8224</f>
        <v>90140</v>
      </c>
      <c r="C21" s="48">
        <f>76626+5290+8224</f>
        <v>90140</v>
      </c>
      <c r="D21" s="49">
        <v>59600</v>
      </c>
      <c r="E21" s="50">
        <v>6733</v>
      </c>
      <c r="F21" s="51"/>
      <c r="G21" s="51"/>
      <c r="H21" s="51"/>
      <c r="I21" s="51"/>
      <c r="J21" s="51"/>
      <c r="K21" s="51"/>
      <c r="L21" s="51"/>
      <c r="M21" s="51"/>
      <c r="N21" s="166"/>
      <c r="O21" s="164">
        <f t="shared" si="3"/>
        <v>0.66119369869092526</v>
      </c>
      <c r="P21" s="187"/>
      <c r="Q21" s="2"/>
    </row>
    <row r="22" spans="1:17" ht="15.6">
      <c r="A22" s="47" t="s">
        <v>32</v>
      </c>
      <c r="B22" s="48">
        <v>483790</v>
      </c>
      <c r="C22" s="48">
        <v>483790</v>
      </c>
      <c r="D22" s="49">
        <v>405177</v>
      </c>
      <c r="E22" s="50">
        <v>38205</v>
      </c>
      <c r="F22" s="51"/>
      <c r="G22" s="51"/>
      <c r="H22" s="51"/>
      <c r="I22" s="51"/>
      <c r="J22" s="51"/>
      <c r="K22" s="51"/>
      <c r="L22" s="51"/>
      <c r="M22" s="51"/>
      <c r="N22" s="166"/>
      <c r="O22" s="164">
        <f t="shared" si="3"/>
        <v>0.83750594266107192</v>
      </c>
      <c r="P22" s="187"/>
      <c r="Q22" s="2"/>
    </row>
    <row r="23" spans="1:17" ht="15.6">
      <c r="A23" s="47" t="s">
        <v>33</v>
      </c>
      <c r="B23" s="48">
        <f>159887+13631+13177</f>
        <v>186695</v>
      </c>
      <c r="C23" s="48">
        <f>159887+13631+13177</f>
        <v>186695</v>
      </c>
      <c r="D23" s="49">
        <v>133950</v>
      </c>
      <c r="E23" s="50">
        <v>15037</v>
      </c>
      <c r="F23" s="51"/>
      <c r="G23" s="51"/>
      <c r="H23" s="51"/>
      <c r="I23" s="51"/>
      <c r="J23" s="51"/>
      <c r="K23" s="51"/>
      <c r="L23" s="51"/>
      <c r="M23" s="51"/>
      <c r="N23" s="166"/>
      <c r="O23" s="164">
        <f t="shared" si="3"/>
        <v>0.71748038244195078</v>
      </c>
      <c r="P23" s="187"/>
      <c r="Q23" s="2"/>
    </row>
    <row r="24" spans="1:17" ht="15.6">
      <c r="A24" s="47" t="s">
        <v>34</v>
      </c>
      <c r="B24" s="48">
        <f>199276+27729+38601</f>
        <v>265606</v>
      </c>
      <c r="C24" s="48">
        <f>199276+27729+38601</f>
        <v>265606</v>
      </c>
      <c r="D24" s="49">
        <v>364707</v>
      </c>
      <c r="E24" s="52">
        <v>55277</v>
      </c>
      <c r="F24" s="51"/>
      <c r="G24" s="51"/>
      <c r="H24" s="51"/>
      <c r="I24" s="51"/>
      <c r="J24" s="51"/>
      <c r="K24" s="51"/>
      <c r="L24" s="51"/>
      <c r="M24" s="51"/>
      <c r="N24" s="166"/>
      <c r="O24" s="164">
        <f t="shared" si="3"/>
        <v>1.3731128061866071</v>
      </c>
      <c r="P24" s="187"/>
      <c r="Q24" s="2"/>
    </row>
    <row r="25" spans="1:17" ht="15.6">
      <c r="A25" s="53" t="s">
        <v>35</v>
      </c>
      <c r="B25" s="48">
        <v>169502</v>
      </c>
      <c r="C25" s="48">
        <v>169502</v>
      </c>
      <c r="D25" s="49">
        <v>127855</v>
      </c>
      <c r="E25" s="52">
        <v>9798</v>
      </c>
      <c r="F25" s="51"/>
      <c r="G25" s="51"/>
      <c r="H25" s="51"/>
      <c r="I25" s="51"/>
      <c r="J25" s="51"/>
      <c r="K25" s="51"/>
      <c r="L25" s="51"/>
      <c r="M25" s="51"/>
      <c r="N25" s="166"/>
      <c r="O25" s="164">
        <f t="shared" si="3"/>
        <v>0.75429788439074463</v>
      </c>
      <c r="P25" s="187"/>
      <c r="Q25" s="2"/>
    </row>
    <row r="26" spans="1:17" ht="15.6">
      <c r="A26" s="53" t="s">
        <v>184</v>
      </c>
      <c r="B26" s="54">
        <v>0</v>
      </c>
      <c r="C26" s="54">
        <v>0</v>
      </c>
      <c r="D26" s="55">
        <v>655215</v>
      </c>
      <c r="E26" s="52">
        <v>78265</v>
      </c>
      <c r="F26" s="51"/>
      <c r="G26" s="51"/>
      <c r="H26" s="51"/>
      <c r="I26" s="51"/>
      <c r="J26" s="51"/>
      <c r="K26" s="51"/>
      <c r="L26" s="51"/>
      <c r="M26" s="51"/>
      <c r="N26" s="166"/>
      <c r="O26" s="164"/>
      <c r="P26" s="187"/>
      <c r="Q26" s="2"/>
    </row>
    <row r="27" spans="1:17">
      <c r="A27" s="56" t="s">
        <v>142</v>
      </c>
      <c r="B27" s="57">
        <f>29509+14652+23209+24242+23009+26529+25218+28150+30612+24870+21148+23890</f>
        <v>295038</v>
      </c>
      <c r="C27" s="57">
        <f>29509+14652+23209+24242+23009+26529+25218+28150+30612+24870+21148+23890</f>
        <v>295038</v>
      </c>
      <c r="D27" s="58">
        <f>225080+20763+25013</f>
        <v>270856</v>
      </c>
      <c r="E27" s="59">
        <f>SUM(F27:J27)</f>
        <v>25013</v>
      </c>
      <c r="F27" s="60">
        <v>0</v>
      </c>
      <c r="G27" s="60">
        <v>0</v>
      </c>
      <c r="H27" s="61">
        <v>11803</v>
      </c>
      <c r="I27" s="61">
        <v>13210</v>
      </c>
      <c r="J27" s="61">
        <v>0</v>
      </c>
      <c r="K27" s="188">
        <v>6467</v>
      </c>
      <c r="L27" s="188">
        <f>77+1198</f>
        <v>1275</v>
      </c>
      <c r="M27" s="189"/>
      <c r="N27" s="190"/>
      <c r="O27" s="164">
        <f t="shared" ref="O27:O31" si="4">+D27/C27</f>
        <v>0.91803767650268775</v>
      </c>
      <c r="P27" s="187"/>
      <c r="Q27" s="2"/>
    </row>
    <row r="28" spans="1:17">
      <c r="A28" s="62"/>
      <c r="B28" s="63">
        <f>SUM(B19:B27)</f>
        <v>2409171</v>
      </c>
      <c r="C28" s="64">
        <f>SUM(C19:C27)</f>
        <v>2409171</v>
      </c>
      <c r="D28" s="65">
        <f>SUM(D19:D27)</f>
        <v>2833693</v>
      </c>
      <c r="E28" s="66">
        <f>SUM(E19:E27)</f>
        <v>296986</v>
      </c>
      <c r="F28" s="67"/>
      <c r="G28" s="67"/>
      <c r="H28" s="67"/>
      <c r="I28" s="67"/>
      <c r="J28" s="67"/>
      <c r="K28" s="191"/>
      <c r="L28" s="191"/>
      <c r="M28" s="51"/>
      <c r="N28" s="166"/>
      <c r="O28" s="164">
        <f t="shared" si="4"/>
        <v>1.1762108210666657</v>
      </c>
      <c r="P28" s="187"/>
      <c r="Q28" s="2"/>
    </row>
    <row r="29" spans="1:17">
      <c r="A29" s="68"/>
      <c r="B29" s="69"/>
      <c r="C29" s="69"/>
      <c r="D29" s="70"/>
      <c r="E29" s="71"/>
      <c r="F29" s="51"/>
      <c r="G29" s="51"/>
      <c r="H29" s="51"/>
      <c r="I29" s="51"/>
      <c r="J29" s="51"/>
      <c r="K29" s="51"/>
      <c r="L29" s="51"/>
      <c r="M29" s="51"/>
      <c r="N29" s="166"/>
      <c r="O29" s="164"/>
      <c r="P29" s="187"/>
      <c r="Q29" s="2"/>
    </row>
    <row r="30" spans="1:17">
      <c r="A30" s="72" t="s">
        <v>185</v>
      </c>
      <c r="B30" s="73">
        <f t="shared" ref="B30:N30" si="5">SUM(B31:B32)</f>
        <v>39074</v>
      </c>
      <c r="C30" s="73">
        <f t="shared" si="5"/>
        <v>39074</v>
      </c>
      <c r="D30" s="73">
        <f t="shared" si="5"/>
        <v>115478</v>
      </c>
      <c r="E30" s="73">
        <f t="shared" si="5"/>
        <v>10212</v>
      </c>
      <c r="F30" s="73">
        <f t="shared" si="5"/>
        <v>0</v>
      </c>
      <c r="G30" s="73">
        <f t="shared" si="5"/>
        <v>0</v>
      </c>
      <c r="H30" s="73">
        <f t="shared" si="5"/>
        <v>5106</v>
      </c>
      <c r="I30" s="73">
        <f t="shared" si="5"/>
        <v>5106</v>
      </c>
      <c r="J30" s="73">
        <f t="shared" si="5"/>
        <v>0</v>
      </c>
      <c r="K30" s="73">
        <f t="shared" si="5"/>
        <v>4772</v>
      </c>
      <c r="L30" s="73">
        <f t="shared" si="5"/>
        <v>2610</v>
      </c>
      <c r="M30" s="73">
        <f t="shared" si="5"/>
        <v>0</v>
      </c>
      <c r="N30" s="73">
        <f t="shared" si="5"/>
        <v>6908</v>
      </c>
      <c r="O30" s="164">
        <f t="shared" si="4"/>
        <v>2.9553667400317347</v>
      </c>
      <c r="P30" s="192"/>
      <c r="Q30" s="197"/>
    </row>
    <row r="31" spans="1:17">
      <c r="A31" s="18" t="s">
        <v>186</v>
      </c>
      <c r="B31" s="74">
        <f>31848+3560+3666</f>
        <v>39074</v>
      </c>
      <c r="C31" s="74">
        <f>31848+3560+3666</f>
        <v>39074</v>
      </c>
      <c r="D31" s="75">
        <f>51295+3304</f>
        <v>54599</v>
      </c>
      <c r="E31" s="21">
        <f>SUM(F31:J31)</f>
        <v>3304</v>
      </c>
      <c r="F31" s="76">
        <v>0</v>
      </c>
      <c r="G31" s="76">
        <v>0</v>
      </c>
      <c r="H31" s="77">
        <v>1590</v>
      </c>
      <c r="I31" s="77">
        <v>1714</v>
      </c>
      <c r="J31" s="76">
        <v>0</v>
      </c>
      <c r="K31" s="168">
        <v>1378</v>
      </c>
      <c r="L31" s="168">
        <f>612+39</f>
        <v>651</v>
      </c>
      <c r="M31" s="175">
        <v>0</v>
      </c>
      <c r="N31" s="175">
        <v>0</v>
      </c>
      <c r="O31" s="164">
        <f t="shared" si="4"/>
        <v>1.3973230281005271</v>
      </c>
      <c r="P31" s="193"/>
      <c r="Q31" s="2"/>
    </row>
    <row r="32" spans="1:17">
      <c r="A32" s="18" t="s">
        <v>149</v>
      </c>
      <c r="B32" s="78"/>
      <c r="C32" s="78"/>
      <c r="D32" s="75">
        <f>47524+6447+6908</f>
        <v>60879</v>
      </c>
      <c r="E32" s="28">
        <f>SUM(F32:J32)</f>
        <v>6908</v>
      </c>
      <c r="F32" s="76">
        <v>0</v>
      </c>
      <c r="G32" s="76">
        <v>0</v>
      </c>
      <c r="H32" s="77">
        <v>3516</v>
      </c>
      <c r="I32" s="77">
        <v>3392</v>
      </c>
      <c r="J32" s="76">
        <v>0</v>
      </c>
      <c r="K32" s="168">
        <v>3394</v>
      </c>
      <c r="L32" s="168">
        <f>1959</f>
        <v>1959</v>
      </c>
      <c r="M32" s="51">
        <v>0</v>
      </c>
      <c r="N32" s="169">
        <v>6908</v>
      </c>
      <c r="O32" s="164"/>
      <c r="P32" s="193"/>
      <c r="Q32" s="2"/>
    </row>
    <row r="33" spans="1:17">
      <c r="A33" s="18"/>
      <c r="B33" s="78"/>
      <c r="C33" s="78"/>
      <c r="D33" s="75"/>
      <c r="E33" s="28"/>
      <c r="F33" s="76"/>
      <c r="G33" s="76"/>
      <c r="H33" s="77"/>
      <c r="I33" s="77"/>
      <c r="J33" s="76"/>
      <c r="K33" s="168"/>
      <c r="L33" s="168"/>
      <c r="M33" s="51"/>
      <c r="N33" s="169"/>
      <c r="O33" s="164"/>
      <c r="P33" s="193"/>
      <c r="Q33" s="2"/>
    </row>
    <row r="34" spans="1:17">
      <c r="A34" s="72" t="s">
        <v>187</v>
      </c>
      <c r="B34" s="79">
        <f t="shared" ref="B34:N34" si="6">SUM(B35:B37)</f>
        <v>936794</v>
      </c>
      <c r="C34" s="79">
        <f t="shared" si="6"/>
        <v>936794</v>
      </c>
      <c r="D34" s="79">
        <f t="shared" si="6"/>
        <v>1031853</v>
      </c>
      <c r="E34" s="79">
        <f t="shared" si="6"/>
        <v>106022</v>
      </c>
      <c r="F34" s="79">
        <f t="shared" si="6"/>
        <v>42035</v>
      </c>
      <c r="G34" s="79">
        <f t="shared" si="6"/>
        <v>46579</v>
      </c>
      <c r="H34" s="79">
        <f t="shared" si="6"/>
        <v>11349</v>
      </c>
      <c r="I34" s="79">
        <f t="shared" si="6"/>
        <v>6059</v>
      </c>
      <c r="J34" s="79">
        <f t="shared" si="6"/>
        <v>0</v>
      </c>
      <c r="K34" s="79">
        <f t="shared" si="6"/>
        <v>20116</v>
      </c>
      <c r="L34" s="79">
        <f t="shared" si="6"/>
        <v>19069</v>
      </c>
      <c r="M34" s="79">
        <f t="shared" si="6"/>
        <v>0</v>
      </c>
      <c r="N34" s="79">
        <f t="shared" si="6"/>
        <v>0</v>
      </c>
      <c r="O34" s="164">
        <f t="shared" ref="O34:O36" si="7">+D34/C34</f>
        <v>1.1014726823613303</v>
      </c>
      <c r="P34" s="193"/>
      <c r="Q34" s="2"/>
    </row>
    <row r="35" spans="1:17">
      <c r="A35" s="80" t="s">
        <v>188</v>
      </c>
      <c r="B35" s="74">
        <f>64505+48073+62185+62452+59765+64280+67096+71165+61780+66528+63320+71042</f>
        <v>762191</v>
      </c>
      <c r="C35" s="74">
        <f>64505+48073+62185+62452+59765+64280+67096+71165+61780+66528+63320+71042</f>
        <v>762191</v>
      </c>
      <c r="D35" s="81">
        <f>122864+65834+68474+77377+68757+73572+78703+65592+72568+68867+84388</f>
        <v>846996</v>
      </c>
      <c r="E35" s="21">
        <f t="shared" ref="E35:E37" si="8">SUM(F35:J35)</f>
        <v>84388</v>
      </c>
      <c r="F35" s="82">
        <v>34083</v>
      </c>
      <c r="G35" s="82">
        <v>35438</v>
      </c>
      <c r="H35" s="82">
        <v>8917</v>
      </c>
      <c r="I35" s="82">
        <v>5950</v>
      </c>
      <c r="J35" s="76">
        <v>0</v>
      </c>
      <c r="K35" s="51">
        <v>16622</v>
      </c>
      <c r="L35" s="51">
        <f>2556+2597+3090+3984</f>
        <v>12227</v>
      </c>
      <c r="M35" s="51"/>
      <c r="N35" s="166"/>
      <c r="O35" s="164">
        <f t="shared" si="7"/>
        <v>1.1112647617198315</v>
      </c>
      <c r="P35" s="2"/>
      <c r="Q35" s="2"/>
    </row>
    <row r="36" spans="1:17">
      <c r="A36" s="80" t="s">
        <v>189</v>
      </c>
      <c r="B36" s="83">
        <f>22490+11900+19473+16591+12914+13370+11563+9278+10032+11317+15030+20645</f>
        <v>174603</v>
      </c>
      <c r="C36" s="83">
        <f>22490+11900+19473+16591+12914+13370+11563+9278+10032+11317+15030+20645</f>
        <v>174603</v>
      </c>
      <c r="D36" s="84">
        <f>35860+15843+15535+12262+10916+12135+12744+11821+20642+15465+21634</f>
        <v>184857</v>
      </c>
      <c r="E36" s="21">
        <f t="shared" si="8"/>
        <v>21634</v>
      </c>
      <c r="F36" s="85">
        <v>7952</v>
      </c>
      <c r="G36" s="82">
        <v>11141</v>
      </c>
      <c r="H36" s="82">
        <v>2432</v>
      </c>
      <c r="I36" s="82">
        <v>109</v>
      </c>
      <c r="J36" s="76">
        <v>0</v>
      </c>
      <c r="K36" s="51">
        <v>3494</v>
      </c>
      <c r="L36" s="51">
        <f>4386+18+2350+88</f>
        <v>6842</v>
      </c>
      <c r="M36" s="175">
        <v>0</v>
      </c>
      <c r="N36" s="175">
        <v>0</v>
      </c>
      <c r="O36" s="164">
        <f t="shared" si="7"/>
        <v>1.0587275132729679</v>
      </c>
      <c r="P36" s="2"/>
      <c r="Q36" s="2"/>
    </row>
    <row r="37" spans="1:17">
      <c r="A37" s="80" t="s">
        <v>215</v>
      </c>
      <c r="B37" s="19"/>
      <c r="C37" s="86"/>
      <c r="D37" s="20"/>
      <c r="E37" s="21">
        <f t="shared" si="8"/>
        <v>0</v>
      </c>
      <c r="F37" s="77"/>
      <c r="G37" s="77"/>
      <c r="H37" s="77"/>
      <c r="I37" s="77"/>
      <c r="J37" s="24"/>
      <c r="K37" s="168"/>
      <c r="L37" s="168"/>
      <c r="M37" s="168"/>
      <c r="N37" s="169"/>
      <c r="O37" s="164"/>
      <c r="P37" s="2"/>
      <c r="Q37" s="2"/>
    </row>
    <row r="38" spans="1:17">
      <c r="A38" s="87"/>
      <c r="B38" s="88"/>
      <c r="C38" s="89"/>
      <c r="D38" s="90"/>
      <c r="E38" s="91"/>
      <c r="F38" s="92"/>
      <c r="G38" s="92"/>
      <c r="H38" s="92"/>
      <c r="I38" s="92"/>
      <c r="J38" s="92"/>
      <c r="K38" s="194"/>
      <c r="L38" s="194"/>
      <c r="M38" s="194"/>
      <c r="N38" s="195"/>
      <c r="O38" s="164"/>
      <c r="P38" s="2"/>
      <c r="Q38" s="2"/>
    </row>
    <row r="39" spans="1:17" ht="28.2">
      <c r="A39" s="93" t="s">
        <v>190</v>
      </c>
      <c r="B39" s="14">
        <f t="shared" ref="B39:N39" si="9">SUM(B40:B50)</f>
        <v>8566129</v>
      </c>
      <c r="C39" s="94">
        <f t="shared" si="9"/>
        <v>8566129</v>
      </c>
      <c r="D39" s="15">
        <f t="shared" si="9"/>
        <v>9342301</v>
      </c>
      <c r="E39" s="15">
        <f t="shared" si="9"/>
        <v>745587</v>
      </c>
      <c r="F39" s="17">
        <f t="shared" si="9"/>
        <v>317589</v>
      </c>
      <c r="G39" s="17">
        <f t="shared" si="9"/>
        <v>257855</v>
      </c>
      <c r="H39" s="17">
        <f t="shared" si="9"/>
        <v>60077</v>
      </c>
      <c r="I39" s="17">
        <f t="shared" si="9"/>
        <v>109866</v>
      </c>
      <c r="J39" s="17">
        <f t="shared" si="9"/>
        <v>200</v>
      </c>
      <c r="K39" s="17">
        <f t="shared" si="9"/>
        <v>195399</v>
      </c>
      <c r="L39" s="17">
        <f t="shared" si="9"/>
        <v>92951</v>
      </c>
      <c r="M39" s="17">
        <f t="shared" si="9"/>
        <v>573</v>
      </c>
      <c r="N39" s="196">
        <f t="shared" si="9"/>
        <v>71571</v>
      </c>
      <c r="O39" s="164">
        <f t="shared" ref="O39:O41" si="10">+D39/C39</f>
        <v>1.0906094222956484</v>
      </c>
      <c r="P39" s="197"/>
      <c r="Q39" s="197"/>
    </row>
    <row r="40" spans="1:17">
      <c r="A40" s="18" t="s">
        <v>191</v>
      </c>
      <c r="B40" s="19">
        <f>176793+71526+59980+65204+71423+79211+71917+76068+84439+81079</f>
        <v>837640</v>
      </c>
      <c r="C40" s="19">
        <f>176793+71526+59980+65204+71423+79211+71917+76068+84439+81079</f>
        <v>837640</v>
      </c>
      <c r="D40" s="20">
        <f>141659+76024+81669+80656+83401+82771+90144+86739+86664+97258</f>
        <v>906985</v>
      </c>
      <c r="E40" s="21">
        <f t="shared" ref="E40:E42" si="11">SUM(F40:J40)</f>
        <v>0</v>
      </c>
      <c r="F40" s="76"/>
      <c r="G40" s="76"/>
      <c r="H40" s="24"/>
      <c r="I40" s="24"/>
      <c r="J40" s="76"/>
      <c r="K40" s="198"/>
      <c r="L40" s="198"/>
      <c r="M40" s="51"/>
      <c r="N40" s="166"/>
      <c r="O40" s="164">
        <f t="shared" si="10"/>
        <v>1.0827861611193352</v>
      </c>
      <c r="P40" s="2">
        <v>2</v>
      </c>
      <c r="Q40" s="1463">
        <f>D40/C40-1</f>
        <v>8.2786161119335233E-2</v>
      </c>
    </row>
    <row r="41" spans="1:17">
      <c r="A41" s="18" t="s">
        <v>44</v>
      </c>
      <c r="B41" s="19">
        <f>315296+56739+61665+55007+62647+65661+65065</f>
        <v>682080</v>
      </c>
      <c r="C41" s="19">
        <f>315296+56739+61665+55007+62647+65661+65065</f>
        <v>682080</v>
      </c>
      <c r="D41" s="95">
        <f>104618+64282+60352+64355+61155+69820+67741+61649+65796+65459+67411</f>
        <v>752638</v>
      </c>
      <c r="E41" s="21">
        <f t="shared" si="11"/>
        <v>67411</v>
      </c>
      <c r="F41" s="76">
        <v>0</v>
      </c>
      <c r="G41" s="76">
        <v>0</v>
      </c>
      <c r="H41" s="22">
        <v>8680</v>
      </c>
      <c r="I41" s="22">
        <v>58731</v>
      </c>
      <c r="J41" s="76">
        <v>0</v>
      </c>
      <c r="K41" s="168">
        <v>1843</v>
      </c>
      <c r="L41" s="199">
        <f>7879+4</f>
        <v>7883</v>
      </c>
      <c r="M41" s="175">
        <v>0</v>
      </c>
      <c r="N41" s="200">
        <v>67411</v>
      </c>
      <c r="O41" s="164">
        <f t="shared" si="10"/>
        <v>1.1034453436547034</v>
      </c>
      <c r="P41" s="2">
        <v>3</v>
      </c>
      <c r="Q41" s="1463">
        <f>D41/C41-1</f>
        <v>0.10344534365470337</v>
      </c>
    </row>
    <row r="42" spans="1:17">
      <c r="A42" s="18" t="s">
        <v>128</v>
      </c>
      <c r="B42" s="19">
        <v>0</v>
      </c>
      <c r="C42" s="19">
        <v>0</v>
      </c>
      <c r="D42" s="95">
        <f>169980+39843+31052</f>
        <v>240875</v>
      </c>
      <c r="E42" s="21">
        <f t="shared" si="11"/>
        <v>0</v>
      </c>
      <c r="F42" s="22"/>
      <c r="G42" s="22"/>
      <c r="H42" s="76"/>
      <c r="I42" s="76"/>
      <c r="J42" s="76"/>
      <c r="K42" s="201"/>
      <c r="L42" s="51"/>
      <c r="M42" s="51"/>
      <c r="N42" s="166"/>
      <c r="O42" s="164"/>
      <c r="P42" s="202"/>
      <c r="Q42" s="2"/>
    </row>
    <row r="43" spans="1:17">
      <c r="A43" s="80" t="s">
        <v>192</v>
      </c>
      <c r="B43" s="96">
        <f>20214+11681+23581+25619+22301+21824+20127+19528+19926+20275+23052+20682</f>
        <v>248810</v>
      </c>
      <c r="C43" s="96">
        <f>20214+11681+23581+25619+22301+21824+20127+19528+19926+20275+23052+20682</f>
        <v>248810</v>
      </c>
      <c r="D43" s="84">
        <f>35539+25020+25012+26281+22284+23157+20948+19597+31370+25185+26111</f>
        <v>280504</v>
      </c>
      <c r="E43" s="21">
        <f t="shared" ref="E43:E51" si="12">SUM(F43:J43)</f>
        <v>26111</v>
      </c>
      <c r="F43" s="76">
        <v>0</v>
      </c>
      <c r="G43" s="76">
        <v>20</v>
      </c>
      <c r="H43" s="24">
        <v>13174</v>
      </c>
      <c r="I43" s="24">
        <v>12917</v>
      </c>
      <c r="J43" s="76">
        <v>0</v>
      </c>
      <c r="K43" s="203">
        <v>6807</v>
      </c>
      <c r="L43" s="168">
        <f>4123+3643</f>
        <v>7766</v>
      </c>
      <c r="M43" s="168">
        <v>236</v>
      </c>
      <c r="N43" s="166"/>
      <c r="O43" s="164">
        <f t="shared" ref="O43:O47" si="13">+D43/C43</f>
        <v>1.1273823399381053</v>
      </c>
      <c r="P43" s="2"/>
      <c r="Q43" s="2"/>
    </row>
    <row r="44" spans="1:17">
      <c r="A44" s="80" t="s">
        <v>193</v>
      </c>
      <c r="B44" s="97">
        <f>36191+20920+29070+23929+27875+30427+28473+27605+28149+32945+33352+27283</f>
        <v>346219</v>
      </c>
      <c r="C44" s="97">
        <f>36191+20920+29070+23929+27875+30427+28473+27605+28149+32945+33352+27283</f>
        <v>346219</v>
      </c>
      <c r="D44" s="98">
        <f>42541+28883+28001+23533+23137+31624+30682+26896+34161+37632+33122</f>
        <v>340212</v>
      </c>
      <c r="E44" s="21">
        <f t="shared" si="12"/>
        <v>33122</v>
      </c>
      <c r="F44" s="76">
        <v>0</v>
      </c>
      <c r="G44" s="76">
        <v>0</v>
      </c>
      <c r="H44" s="99">
        <v>16709</v>
      </c>
      <c r="I44" s="99">
        <v>16413</v>
      </c>
      <c r="J44" s="76">
        <v>0</v>
      </c>
      <c r="K44" s="168">
        <v>10782</v>
      </c>
      <c r="L44" s="168">
        <f>1390+829</f>
        <v>2219</v>
      </c>
      <c r="M44" s="168">
        <v>337</v>
      </c>
      <c r="N44" s="175">
        <v>0</v>
      </c>
      <c r="O44" s="164">
        <f t="shared" si="13"/>
        <v>0.98264971015455538</v>
      </c>
      <c r="P44" s="2">
        <v>5</v>
      </c>
      <c r="Q44" s="2"/>
    </row>
    <row r="45" spans="1:17">
      <c r="A45" s="80" t="s">
        <v>194</v>
      </c>
      <c r="B45" s="97">
        <f>12008+9467+14763+14113+14691+14606+10209+8082+10081+11470+13518+17152</f>
        <v>150160</v>
      </c>
      <c r="C45" s="97">
        <f>12008+9467+14763+14113+14691+14606+10209+8082+10081+11470+13518+17152</f>
        <v>150160</v>
      </c>
      <c r="D45" s="100">
        <f>265227+22270+28401</f>
        <v>315898</v>
      </c>
      <c r="E45" s="21">
        <f t="shared" si="12"/>
        <v>28401</v>
      </c>
      <c r="F45" s="24">
        <v>13473</v>
      </c>
      <c r="G45" s="24">
        <v>14728</v>
      </c>
      <c r="H45" s="76">
        <v>0</v>
      </c>
      <c r="I45" s="76">
        <v>0</v>
      </c>
      <c r="J45" s="24">
        <v>200</v>
      </c>
      <c r="K45" s="168">
        <v>7797</v>
      </c>
      <c r="L45" s="168">
        <f>2142+5294+50</f>
        <v>7486</v>
      </c>
      <c r="M45" s="175">
        <v>0</v>
      </c>
      <c r="N45" s="169">
        <v>163</v>
      </c>
      <c r="O45" s="164">
        <f t="shared" si="13"/>
        <v>2.1037426744805541</v>
      </c>
      <c r="P45" s="2">
        <v>6</v>
      </c>
      <c r="Q45" s="2"/>
    </row>
    <row r="46" spans="1:17">
      <c r="A46" s="80" t="s">
        <v>195</v>
      </c>
      <c r="B46" s="97">
        <f>492323+373517+489518+501319+498148+483300+509517+496996+483525+491240+487179+505109</f>
        <v>5811691</v>
      </c>
      <c r="C46" s="97">
        <f>492323+373517+489518+501319+498148+483300+509517+496996+483525+491240+487179+505109</f>
        <v>5811691</v>
      </c>
      <c r="D46" s="98">
        <f>890002+542749+505450+501865+511958+508971+512557+491530+514214+487223+539325</f>
        <v>6005844</v>
      </c>
      <c r="E46" s="21">
        <f t="shared" si="12"/>
        <v>539325</v>
      </c>
      <c r="F46" s="24">
        <v>302090</v>
      </c>
      <c r="G46" s="24">
        <v>237235</v>
      </c>
      <c r="H46" s="76">
        <v>0</v>
      </c>
      <c r="I46" s="76">
        <v>0</v>
      </c>
      <c r="J46" s="76">
        <v>0</v>
      </c>
      <c r="K46" s="51">
        <v>155835</v>
      </c>
      <c r="L46" s="51">
        <f>21123+38512</f>
        <v>59635</v>
      </c>
      <c r="M46" s="175">
        <v>0</v>
      </c>
      <c r="N46" s="175">
        <v>0</v>
      </c>
      <c r="O46" s="164">
        <f t="shared" si="13"/>
        <v>1.0334073163903588</v>
      </c>
      <c r="P46" s="2">
        <v>1</v>
      </c>
      <c r="Q46" s="1463">
        <f>D46/C46-1</f>
        <v>3.3407316390358766E-2</v>
      </c>
    </row>
    <row r="47" spans="1:17">
      <c r="A47" s="80" t="s">
        <v>49</v>
      </c>
      <c r="B47" s="97">
        <f>41444+27037+39698+37856+42480+38521+41958+41846+36877+41203+36023+42811</f>
        <v>467754</v>
      </c>
      <c r="C47" s="97">
        <f>41444+27037+39698+37856+42480+38521+41958+41846+36877+41203+36023+42811</f>
        <v>467754</v>
      </c>
      <c r="D47" s="101">
        <f>400483+31413+46888</f>
        <v>478784</v>
      </c>
      <c r="E47" s="21">
        <f t="shared" si="12"/>
        <v>46888</v>
      </c>
      <c r="F47" s="102">
        <v>1501</v>
      </c>
      <c r="G47" s="102">
        <v>2068</v>
      </c>
      <c r="H47" s="102">
        <v>21514</v>
      </c>
      <c r="I47" s="102">
        <v>21805</v>
      </c>
      <c r="J47" s="76">
        <v>0</v>
      </c>
      <c r="K47" s="199">
        <v>10858</v>
      </c>
      <c r="L47" s="199">
        <f>109+4+2764+2620</f>
        <v>5497</v>
      </c>
      <c r="M47" s="175">
        <v>0</v>
      </c>
      <c r="N47" s="166"/>
      <c r="O47" s="164">
        <f t="shared" si="13"/>
        <v>1.0235807710890767</v>
      </c>
      <c r="P47" s="2">
        <v>4</v>
      </c>
      <c r="Q47" s="2"/>
    </row>
    <row r="48" spans="1:17">
      <c r="A48" s="80" t="s">
        <v>50</v>
      </c>
      <c r="B48" s="74"/>
      <c r="C48" s="74"/>
      <c r="D48" s="103"/>
      <c r="E48" s="21">
        <f t="shared" si="12"/>
        <v>0</v>
      </c>
      <c r="F48" s="104"/>
      <c r="G48" s="104"/>
      <c r="H48" s="104"/>
      <c r="I48" s="104"/>
      <c r="J48" s="104"/>
      <c r="K48" s="199"/>
      <c r="L48" s="199"/>
      <c r="M48" s="199"/>
      <c r="N48" s="200"/>
      <c r="O48" s="164"/>
      <c r="P48" s="202"/>
      <c r="Q48" s="2"/>
    </row>
    <row r="49" spans="1:18">
      <c r="A49" s="80" t="s">
        <v>51</v>
      </c>
      <c r="B49" s="105">
        <f>1591+185+300+228+282+250+254+222+245+289+277+286</f>
        <v>4409</v>
      </c>
      <c r="C49" s="105">
        <f>1591+185+300+228+282+250+254+222+245+289+277+286</f>
        <v>4409</v>
      </c>
      <c r="D49" s="106">
        <f>2723+257+332</f>
        <v>3312</v>
      </c>
      <c r="E49" s="21">
        <f t="shared" si="12"/>
        <v>332</v>
      </c>
      <c r="F49" s="104">
        <v>209</v>
      </c>
      <c r="G49" s="104">
        <v>123</v>
      </c>
      <c r="H49" s="76">
        <v>0</v>
      </c>
      <c r="I49" s="76">
        <v>0</v>
      </c>
      <c r="J49" s="76">
        <v>0</v>
      </c>
      <c r="K49" s="199">
        <v>332</v>
      </c>
      <c r="L49" s="199">
        <f>209</f>
        <v>209</v>
      </c>
      <c r="M49" s="51"/>
      <c r="N49" s="166"/>
      <c r="O49" s="164">
        <f t="shared" ref="O49:O51" si="14">+D49/C49</f>
        <v>0.75119074620095261</v>
      </c>
      <c r="P49" s="2"/>
      <c r="Q49" s="2"/>
    </row>
    <row r="50" spans="1:18">
      <c r="A50" s="107" t="s">
        <v>196</v>
      </c>
      <c r="B50" s="108">
        <f>5554+2707+1759+1797+950+1036+1570+888+1105</f>
        <v>17366</v>
      </c>
      <c r="C50" s="108">
        <f>5554+2707+1759+1797+950+1036+1570+888+1105</f>
        <v>17366</v>
      </c>
      <c r="D50" s="109">
        <f>11927+1325+3997</f>
        <v>17249</v>
      </c>
      <c r="E50" s="40">
        <f t="shared" si="12"/>
        <v>3997</v>
      </c>
      <c r="F50" s="110">
        <v>316</v>
      </c>
      <c r="G50" s="110">
        <v>3681</v>
      </c>
      <c r="H50" s="111">
        <v>0</v>
      </c>
      <c r="I50" s="111">
        <v>0</v>
      </c>
      <c r="J50" s="111">
        <v>0</v>
      </c>
      <c r="K50" s="204">
        <v>1145</v>
      </c>
      <c r="L50" s="205">
        <f>2256</f>
        <v>2256</v>
      </c>
      <c r="M50" s="206">
        <v>0</v>
      </c>
      <c r="N50" s="207">
        <v>3997</v>
      </c>
      <c r="O50" s="164">
        <f t="shared" si="14"/>
        <v>0.99326269722446159</v>
      </c>
      <c r="P50" s="2"/>
      <c r="Q50" s="2"/>
    </row>
    <row r="51" spans="1:18">
      <c r="A51" s="112" t="s">
        <v>197</v>
      </c>
      <c r="B51" s="113">
        <f>43919+38655+49389+49920+41452+46211+54147+61115+45816+53985+53251+54204</f>
        <v>592064</v>
      </c>
      <c r="C51" s="113">
        <f>43919+38655+49389+49920+41452+46211+54147+61115+45816+53985+53251+54204</f>
        <v>592064</v>
      </c>
      <c r="D51" s="114">
        <f>46498+25145+53554+45477+47222+51070+47167+41808+32662+49246+57773+61461</f>
        <v>559083</v>
      </c>
      <c r="E51" s="115">
        <f t="shared" si="12"/>
        <v>61461</v>
      </c>
      <c r="F51" s="116">
        <v>32390</v>
      </c>
      <c r="G51" s="116">
        <v>27254</v>
      </c>
      <c r="H51" s="117">
        <v>0</v>
      </c>
      <c r="I51" s="117">
        <v>0</v>
      </c>
      <c r="J51" s="208">
        <v>1817</v>
      </c>
      <c r="K51" s="209">
        <v>14381</v>
      </c>
      <c r="L51" s="209">
        <f>8421+2345+912</f>
        <v>11678</v>
      </c>
      <c r="M51" s="210">
        <v>0</v>
      </c>
      <c r="N51" s="211">
        <v>3010</v>
      </c>
      <c r="O51" s="164">
        <f t="shared" si="14"/>
        <v>0.94429487352718622</v>
      </c>
      <c r="P51" s="3"/>
      <c r="Q51" s="2"/>
    </row>
    <row r="52" spans="1:18">
      <c r="A52" s="87"/>
      <c r="B52" s="118"/>
      <c r="C52" s="119"/>
      <c r="D52" s="118"/>
      <c r="E52" s="120"/>
      <c r="F52" s="121"/>
      <c r="G52" s="121"/>
      <c r="H52" s="121"/>
      <c r="I52" s="121"/>
      <c r="J52" s="121"/>
      <c r="K52" s="212"/>
      <c r="L52" s="212"/>
      <c r="M52" s="212"/>
      <c r="N52" s="213"/>
      <c r="O52" s="164"/>
      <c r="P52" s="214"/>
      <c r="Q52" s="2"/>
    </row>
    <row r="53" spans="1:18">
      <c r="A53" s="13" t="s">
        <v>198</v>
      </c>
      <c r="B53" s="14">
        <f t="shared" ref="B53:I53" si="15">SUM(B54:B59)</f>
        <v>4719935</v>
      </c>
      <c r="C53" s="94">
        <f t="shared" si="15"/>
        <v>4719935</v>
      </c>
      <c r="D53" s="15">
        <f t="shared" si="15"/>
        <v>5674158</v>
      </c>
      <c r="E53" s="122">
        <f t="shared" si="15"/>
        <v>485965</v>
      </c>
      <c r="F53" s="15">
        <f t="shared" si="15"/>
        <v>180739</v>
      </c>
      <c r="G53" s="15">
        <f t="shared" si="15"/>
        <v>238691</v>
      </c>
      <c r="H53" s="15">
        <f t="shared" si="15"/>
        <v>2461</v>
      </c>
      <c r="I53" s="15">
        <f t="shared" si="15"/>
        <v>460</v>
      </c>
      <c r="J53" s="17">
        <f>SUM(J54:J60)</f>
        <v>80420</v>
      </c>
      <c r="K53" s="17">
        <f>SUM(K54:K60)</f>
        <v>62010</v>
      </c>
      <c r="L53" s="17">
        <f>SUM(L54:L60)</f>
        <v>137972</v>
      </c>
      <c r="M53" s="17">
        <f>SUM(M54:M60)</f>
        <v>4195</v>
      </c>
      <c r="N53" s="196">
        <f>SUM(N54:N60)</f>
        <v>153291</v>
      </c>
      <c r="O53" s="164">
        <f>+D53/C53</f>
        <v>1.2021686739330097</v>
      </c>
      <c r="P53" s="197"/>
      <c r="Q53" s="197"/>
    </row>
    <row r="54" spans="1:18">
      <c r="A54" s="80" t="s">
        <v>55</v>
      </c>
      <c r="B54" s="19"/>
      <c r="C54" s="19"/>
      <c r="D54" s="20"/>
      <c r="E54" s="21">
        <v>0</v>
      </c>
      <c r="F54" s="24"/>
      <c r="G54" s="24"/>
      <c r="H54" s="24"/>
      <c r="I54" s="24"/>
      <c r="J54" s="24"/>
      <c r="K54" s="51"/>
      <c r="L54" s="51"/>
      <c r="M54" s="51"/>
      <c r="N54" s="166"/>
      <c r="O54" s="164"/>
      <c r="P54" s="2"/>
      <c r="Q54" s="2"/>
    </row>
    <row r="55" spans="1:18">
      <c r="A55" s="123" t="s">
        <v>56</v>
      </c>
      <c r="B55" s="74">
        <f>152617+131920+130997+153389+149066+196349+174625+189556+159615+174414+174638+173536</f>
        <v>1960722</v>
      </c>
      <c r="C55" s="74">
        <f>152617+131920+130997+153389+149066+196349+174625+189556+159615+174414+174638+173536</f>
        <v>1960722</v>
      </c>
      <c r="D55" s="81">
        <f>209453+123222+177525+182527+179497+190574+195216+216952+167184+207469+198525+199975</f>
        <v>2248119</v>
      </c>
      <c r="E55" s="124">
        <f>SUM(F55:J55)</f>
        <v>199975</v>
      </c>
      <c r="F55" s="24">
        <v>81426</v>
      </c>
      <c r="G55" s="125">
        <v>103019</v>
      </c>
      <c r="H55" s="125">
        <v>2134</v>
      </c>
      <c r="I55" s="24">
        <v>233</v>
      </c>
      <c r="J55" s="24">
        <v>13163</v>
      </c>
      <c r="K55" s="168">
        <v>17173</v>
      </c>
      <c r="L55" s="168">
        <f>53059+3514+342+232+5565</f>
        <v>62712</v>
      </c>
      <c r="M55" s="215"/>
      <c r="N55" s="216"/>
      <c r="O55" s="164">
        <f>+D55/C55</f>
        <v>1.1465771282211348</v>
      </c>
      <c r="P55" s="217"/>
      <c r="Q55" s="2"/>
      <c r="R55" s="1446">
        <f>J55+I55</f>
        <v>13396</v>
      </c>
    </row>
    <row r="56" spans="1:18">
      <c r="A56" s="80" t="s">
        <v>199</v>
      </c>
      <c r="B56" s="126">
        <f>97537+55586+99611+80866+84077+87464+89817+110297+103108+86858+89238+102094</f>
        <v>1086553</v>
      </c>
      <c r="C56" s="126">
        <f>97537+55586+99611+80866+84077+87464+89817+110297+103108+86858+89238+102094</f>
        <v>1086553</v>
      </c>
      <c r="D56" s="84">
        <f>104773+79448+108729+100750+114908+101767+109538+102101+96227+101348+80712+95735</f>
        <v>1196036</v>
      </c>
      <c r="E56" s="21">
        <f>SUM(F56:J56)</f>
        <v>95735</v>
      </c>
      <c r="F56" s="127">
        <v>43311</v>
      </c>
      <c r="G56" s="22">
        <v>44939</v>
      </c>
      <c r="H56" s="76">
        <v>0</v>
      </c>
      <c r="I56" s="76">
        <v>0</v>
      </c>
      <c r="J56" s="22">
        <v>7485</v>
      </c>
      <c r="K56" s="51">
        <v>7131</v>
      </c>
      <c r="L56" s="51">
        <f>25490+2625+1481</f>
        <v>29596</v>
      </c>
      <c r="M56" s="51">
        <v>0</v>
      </c>
      <c r="N56" s="166"/>
      <c r="O56" s="164">
        <f>+D56/C56</f>
        <v>1.1007617667983063</v>
      </c>
      <c r="P56" s="218"/>
      <c r="Q56" s="2"/>
      <c r="R56" s="1446">
        <f>J56+I56</f>
        <v>7485</v>
      </c>
    </row>
    <row r="57" spans="1:18">
      <c r="A57" s="35" t="s">
        <v>58</v>
      </c>
      <c r="B57" s="105">
        <f>59734+65037+69566+76869+85180+98871+84349+95878+74900+91720+96454+90939</f>
        <v>989497</v>
      </c>
      <c r="C57" s="105">
        <f>59734+65037+69566+76869+85180+98871+84349+95878+74900+91720+96454+90939</f>
        <v>989497</v>
      </c>
      <c r="D57" s="98">
        <f>90832+90726+97425+112194+114431+98379+101821+103316+100021+117218+109359+112333</f>
        <v>1248055</v>
      </c>
      <c r="E57" s="21">
        <f>SUM(F57:J57)</f>
        <v>112333</v>
      </c>
      <c r="F57" s="24">
        <v>30502</v>
      </c>
      <c r="G57" s="24">
        <v>57540</v>
      </c>
      <c r="H57" s="76">
        <v>0</v>
      </c>
      <c r="I57" s="76">
        <v>0</v>
      </c>
      <c r="J57" s="24">
        <v>24291</v>
      </c>
      <c r="K57" s="168">
        <v>9165</v>
      </c>
      <c r="L57" s="168">
        <f>12785+544+6196</f>
        <v>19525</v>
      </c>
      <c r="M57" s="51">
        <v>2909</v>
      </c>
      <c r="N57" s="166">
        <v>84980</v>
      </c>
      <c r="O57" s="164">
        <f>+D57/C57</f>
        <v>1.2613024597345923</v>
      </c>
      <c r="P57" s="2"/>
      <c r="Q57" s="2"/>
      <c r="R57" s="1446">
        <f>J57+I57</f>
        <v>24291</v>
      </c>
    </row>
    <row r="58" spans="1:18">
      <c r="A58" s="35" t="s">
        <v>59</v>
      </c>
      <c r="B58" s="105">
        <f>47624+41548+39771+61527+61540+40461+59109+75205+60419+66567+64451+64941</f>
        <v>683163</v>
      </c>
      <c r="C58" s="105">
        <f>47624+41548+39771+61527+61540+40461+59109+75205+60419+66567+64451+64941</f>
        <v>683163</v>
      </c>
      <c r="D58" s="98">
        <f>85962+38994+58375+82416+99455+86639+82659+105881+73454+94153+96038+77922</f>
        <v>981948</v>
      </c>
      <c r="E58" s="21">
        <f>SUM(F58:J58)</f>
        <v>77922</v>
      </c>
      <c r="F58" s="24">
        <v>25500</v>
      </c>
      <c r="G58" s="24">
        <v>33193</v>
      </c>
      <c r="H58" s="24">
        <v>327</v>
      </c>
      <c r="I58" s="22">
        <v>227</v>
      </c>
      <c r="J58" s="24">
        <v>18675</v>
      </c>
      <c r="K58" s="168">
        <v>8312</v>
      </c>
      <c r="L58" s="168">
        <f>18281+548+111+7199</f>
        <v>26139</v>
      </c>
      <c r="M58" s="51">
        <v>1286</v>
      </c>
      <c r="N58" s="166">
        <v>68311</v>
      </c>
      <c r="O58" s="164">
        <f>+D58/C58</f>
        <v>1.4373553602873692</v>
      </c>
      <c r="P58" s="3"/>
      <c r="Q58" s="2"/>
    </row>
    <row r="59" spans="1:18">
      <c r="A59" s="128" t="s">
        <v>113</v>
      </c>
      <c r="B59" s="129"/>
      <c r="C59" s="129"/>
      <c r="D59" s="130"/>
      <c r="E59" s="131"/>
      <c r="F59" s="132"/>
      <c r="G59" s="132"/>
      <c r="H59" s="132"/>
      <c r="I59" s="132"/>
      <c r="J59" s="132"/>
      <c r="K59" s="179"/>
      <c r="L59" s="179"/>
      <c r="M59" s="179"/>
      <c r="N59" s="180"/>
      <c r="O59" s="164"/>
      <c r="P59" s="218"/>
      <c r="Q59" s="224"/>
    </row>
    <row r="60" spans="1:18">
      <c r="A60" s="133" t="s">
        <v>61</v>
      </c>
      <c r="B60" s="134">
        <v>1755236</v>
      </c>
      <c r="C60" s="134">
        <v>1755236</v>
      </c>
      <c r="D60" s="135">
        <f>1585050+175956+170041</f>
        <v>1931047</v>
      </c>
      <c r="E60" s="136">
        <f t="shared" ref="E60:E70" si="16">SUM(F60:J60)</f>
        <v>170041</v>
      </c>
      <c r="F60" s="137">
        <v>66518</v>
      </c>
      <c r="G60" s="137">
        <v>86717</v>
      </c>
      <c r="H60" s="117">
        <v>0</v>
      </c>
      <c r="I60" s="117">
        <v>0</v>
      </c>
      <c r="J60" s="208">
        <v>16806</v>
      </c>
      <c r="K60" s="219">
        <v>20229</v>
      </c>
      <c r="L60" s="219"/>
      <c r="M60" s="210">
        <v>0</v>
      </c>
      <c r="N60" s="220"/>
      <c r="O60" s="164">
        <f t="shared" ref="O60:O63" si="17">+D60/C60</f>
        <v>1.1001637386653418</v>
      </c>
      <c r="P60" s="3"/>
      <c r="Q60" s="3"/>
    </row>
    <row r="61" spans="1:18">
      <c r="A61" s="68"/>
      <c r="B61" s="138"/>
      <c r="C61" s="92"/>
      <c r="D61" s="138"/>
      <c r="E61" s="91"/>
      <c r="F61" s="139"/>
      <c r="G61" s="51"/>
      <c r="H61" s="92"/>
      <c r="I61" s="139"/>
      <c r="J61" s="212"/>
      <c r="K61" s="51"/>
      <c r="L61" s="51"/>
      <c r="M61" s="51"/>
      <c r="N61" s="166"/>
      <c r="O61" s="164"/>
      <c r="P61" s="3"/>
      <c r="Q61" s="3"/>
    </row>
    <row r="62" spans="1:18">
      <c r="A62" s="140" t="s">
        <v>200</v>
      </c>
      <c r="B62" s="141">
        <f t="shared" ref="B62:N62" si="18">SUM(B63:B70)</f>
        <v>55955</v>
      </c>
      <c r="C62" s="142">
        <f t="shared" si="18"/>
        <v>55955</v>
      </c>
      <c r="D62" s="143">
        <f t="shared" si="18"/>
        <v>69686</v>
      </c>
      <c r="E62" s="144">
        <f t="shared" si="18"/>
        <v>6613</v>
      </c>
      <c r="F62" s="144">
        <f t="shared" si="18"/>
        <v>0</v>
      </c>
      <c r="G62" s="144">
        <f t="shared" si="18"/>
        <v>0</v>
      </c>
      <c r="H62" s="144">
        <f t="shared" si="18"/>
        <v>3209</v>
      </c>
      <c r="I62" s="144">
        <f t="shared" si="18"/>
        <v>3404</v>
      </c>
      <c r="J62" s="144">
        <f t="shared" si="18"/>
        <v>0</v>
      </c>
      <c r="K62" s="144">
        <f t="shared" si="18"/>
        <v>4417</v>
      </c>
      <c r="L62" s="144">
        <f t="shared" si="18"/>
        <v>3173</v>
      </c>
      <c r="M62" s="144">
        <f t="shared" si="18"/>
        <v>0</v>
      </c>
      <c r="N62" s="144">
        <f t="shared" si="18"/>
        <v>564</v>
      </c>
      <c r="O62" s="164">
        <f t="shared" si="17"/>
        <v>1.2453936198731124</v>
      </c>
      <c r="P62" s="197"/>
      <c r="Q62" s="225"/>
    </row>
    <row r="63" spans="1:18">
      <c r="A63" s="35" t="s">
        <v>201</v>
      </c>
      <c r="B63" s="105">
        <f>335+74+675+1816+624+522+232+273+655+1600+1480+1538</f>
        <v>9824</v>
      </c>
      <c r="C63" s="105">
        <f>335+74+675+1816+624+522+232+273+655+1600+1480+1538</f>
        <v>9824</v>
      </c>
      <c r="D63" s="145">
        <f>9380+2012+2071</f>
        <v>13463</v>
      </c>
      <c r="E63" s="21">
        <f>SUM(H63:J63)</f>
        <v>2071</v>
      </c>
      <c r="F63" s="76">
        <v>0</v>
      </c>
      <c r="G63" s="76">
        <v>0</v>
      </c>
      <c r="H63" s="146">
        <v>1019</v>
      </c>
      <c r="I63" s="24">
        <v>1052</v>
      </c>
      <c r="J63" s="76">
        <v>0</v>
      </c>
      <c r="K63" s="51">
        <v>423</v>
      </c>
      <c r="L63" s="51">
        <f>2+930</f>
        <v>932</v>
      </c>
      <c r="M63" s="51"/>
      <c r="N63" s="166"/>
      <c r="O63" s="164">
        <f t="shared" si="17"/>
        <v>1.3704193811074918</v>
      </c>
      <c r="P63" s="2"/>
      <c r="Q63" s="2"/>
    </row>
    <row r="64" spans="1:18">
      <c r="A64" s="147" t="s">
        <v>202</v>
      </c>
      <c r="B64" s="19"/>
      <c r="C64" s="19"/>
      <c r="D64" s="148"/>
      <c r="E64" s="21">
        <f t="shared" si="16"/>
        <v>0</v>
      </c>
      <c r="F64" s="149"/>
      <c r="G64" s="150"/>
      <c r="H64" s="24"/>
      <c r="I64" s="24"/>
      <c r="J64" s="24"/>
      <c r="K64" s="51"/>
      <c r="L64" s="51"/>
      <c r="M64" s="51"/>
      <c r="N64" s="166"/>
      <c r="O64" s="164"/>
      <c r="P64" s="2"/>
      <c r="Q64" s="2"/>
    </row>
    <row r="65" spans="1:17">
      <c r="A65" s="35" t="s">
        <v>203</v>
      </c>
      <c r="B65" s="105">
        <f>1670+1062+1129+1350+1391+1439+1192+1252+1332+1078+1196+1258</f>
        <v>15349</v>
      </c>
      <c r="C65" s="105">
        <f>1670+1062+1129+1350+1391+1439+1192+1252+1332+1078+1196+1258</f>
        <v>15349</v>
      </c>
      <c r="D65" s="145">
        <f>1143+584+1068+1170+1018+1940+2160+2337+2201+2341+1720</f>
        <v>17682</v>
      </c>
      <c r="E65" s="21">
        <f t="shared" si="16"/>
        <v>1720</v>
      </c>
      <c r="F65" s="76">
        <v>0</v>
      </c>
      <c r="G65" s="76">
        <v>0</v>
      </c>
      <c r="H65" s="24">
        <v>773</v>
      </c>
      <c r="I65" s="24">
        <v>947</v>
      </c>
      <c r="J65" s="76">
        <v>0</v>
      </c>
      <c r="K65" s="51">
        <v>1372</v>
      </c>
      <c r="L65" s="51">
        <f>515+317</f>
        <v>832</v>
      </c>
      <c r="M65" s="51"/>
      <c r="N65" s="166"/>
      <c r="O65" s="164">
        <f t="shared" ref="O65:O68" si="19">+D65/C65</f>
        <v>1.1519968727604404</v>
      </c>
      <c r="P65" s="2"/>
      <c r="Q65" s="2"/>
    </row>
    <row r="66" spans="1:17">
      <c r="A66" s="35" t="s">
        <v>66</v>
      </c>
      <c r="B66" s="19">
        <f>1089+517+1381+2546+1336+1503+1713+1785+1646+1436+909+1418</f>
        <v>17279</v>
      </c>
      <c r="C66" s="19">
        <f>1089+517+1381+2546+1336+1503+1713+1785+1646+1436+909+1418</f>
        <v>17279</v>
      </c>
      <c r="D66" s="148">
        <f>9020+1300+1328+1755+1870+1593+2099</f>
        <v>18965</v>
      </c>
      <c r="E66" s="21">
        <f t="shared" si="16"/>
        <v>2099</v>
      </c>
      <c r="F66" s="76">
        <v>0</v>
      </c>
      <c r="G66" s="76">
        <v>0</v>
      </c>
      <c r="H66" s="24">
        <v>1012</v>
      </c>
      <c r="I66" s="24">
        <v>1087</v>
      </c>
      <c r="J66" s="76">
        <v>0</v>
      </c>
      <c r="K66" s="168">
        <v>1911</v>
      </c>
      <c r="L66" s="168">
        <f>1012+2</f>
        <v>1014</v>
      </c>
      <c r="M66" s="51"/>
      <c r="N66" s="166"/>
      <c r="O66" s="164">
        <f t="shared" si="19"/>
        <v>1.0975750911511082</v>
      </c>
      <c r="P66" s="2"/>
      <c r="Q66" s="2"/>
    </row>
    <row r="67" spans="1:17">
      <c r="A67" s="226" t="s">
        <v>204</v>
      </c>
      <c r="B67" s="74"/>
      <c r="C67" s="74"/>
      <c r="D67" s="75"/>
      <c r="E67" s="21">
        <f t="shared" si="16"/>
        <v>0</v>
      </c>
      <c r="F67" s="227"/>
      <c r="G67" s="150"/>
      <c r="H67" s="24"/>
      <c r="I67" s="24"/>
      <c r="J67" s="24"/>
      <c r="K67" s="51"/>
      <c r="L67" s="51"/>
      <c r="M67" s="51"/>
      <c r="N67" s="166"/>
      <c r="O67" s="164"/>
      <c r="P67" s="2"/>
      <c r="Q67" s="2"/>
    </row>
    <row r="68" spans="1:17">
      <c r="A68" s="35" t="s">
        <v>205</v>
      </c>
      <c r="B68" s="19">
        <f>949+632+800+680+378+254+120+150+155+159+135+133</f>
        <v>4545</v>
      </c>
      <c r="C68" s="19">
        <f>949+632+800+680+378+254+120+150+155+159+135+133</f>
        <v>4545</v>
      </c>
      <c r="D68" s="228">
        <v>8152</v>
      </c>
      <c r="E68" s="21">
        <f t="shared" si="16"/>
        <v>564</v>
      </c>
      <c r="F68" s="76">
        <v>0</v>
      </c>
      <c r="G68" s="76">
        <v>0</v>
      </c>
      <c r="H68" s="24">
        <v>321</v>
      </c>
      <c r="I68" s="24">
        <v>243</v>
      </c>
      <c r="J68" s="76">
        <v>0</v>
      </c>
      <c r="K68" s="168">
        <v>564</v>
      </c>
      <c r="L68" s="168">
        <f>321</f>
        <v>321</v>
      </c>
      <c r="M68" s="175">
        <v>0</v>
      </c>
      <c r="N68" s="166">
        <v>564</v>
      </c>
      <c r="O68" s="164">
        <f t="shared" si="19"/>
        <v>1.7936193619361935</v>
      </c>
      <c r="P68" s="2"/>
      <c r="Q68" s="2"/>
    </row>
    <row r="69" spans="1:17">
      <c r="A69" s="147" t="s">
        <v>206</v>
      </c>
      <c r="B69" s="105"/>
      <c r="C69" s="105"/>
      <c r="D69" s="145"/>
      <c r="E69" s="21">
        <f t="shared" si="16"/>
        <v>0</v>
      </c>
      <c r="F69" s="33"/>
      <c r="G69" s="229"/>
      <c r="H69" s="22"/>
      <c r="I69" s="22"/>
      <c r="J69" s="22"/>
      <c r="K69" s="51"/>
      <c r="L69" s="51"/>
      <c r="M69" s="51"/>
      <c r="N69" s="166"/>
      <c r="O69" s="164"/>
      <c r="P69" s="2"/>
      <c r="Q69" s="2"/>
    </row>
    <row r="70" spans="1:17">
      <c r="A70" s="35" t="s">
        <v>70</v>
      </c>
      <c r="B70" s="105">
        <f>703+210+509+267+526+508+670+637+1462+1836+801+829</f>
        <v>8958</v>
      </c>
      <c r="C70" s="105">
        <f>703+210+509+267+526+508+670+637+1462+1836+801+829</f>
        <v>8958</v>
      </c>
      <c r="D70" s="230">
        <v>11424</v>
      </c>
      <c r="E70" s="21">
        <f t="shared" si="16"/>
        <v>159</v>
      </c>
      <c r="F70" s="76">
        <v>0</v>
      </c>
      <c r="G70" s="76">
        <v>0</v>
      </c>
      <c r="H70" s="24">
        <v>84</v>
      </c>
      <c r="I70" s="24">
        <v>75</v>
      </c>
      <c r="J70" s="76">
        <v>0</v>
      </c>
      <c r="K70" s="168">
        <v>147</v>
      </c>
      <c r="L70" s="168">
        <f>74</f>
        <v>74</v>
      </c>
      <c r="M70" s="51">
        <v>0</v>
      </c>
      <c r="N70" s="166"/>
      <c r="O70" s="164">
        <f t="shared" ref="O70:O73" si="20">+D70/C70</f>
        <v>1.2752846617548559</v>
      </c>
      <c r="P70" s="2"/>
      <c r="Q70" s="152"/>
    </row>
    <row r="71" spans="1:17">
      <c r="A71" s="231"/>
      <c r="B71" s="232"/>
      <c r="C71" s="232"/>
      <c r="D71" s="130"/>
      <c r="E71" s="233"/>
      <c r="F71" s="234"/>
      <c r="G71" s="234"/>
      <c r="H71" s="234"/>
      <c r="I71" s="234"/>
      <c r="J71" s="234"/>
      <c r="K71" s="194"/>
      <c r="L71" s="194"/>
      <c r="M71" s="194"/>
      <c r="N71" s="195"/>
      <c r="O71" s="164"/>
      <c r="P71" s="2"/>
      <c r="Q71" s="2"/>
    </row>
    <row r="72" spans="1:17">
      <c r="A72" s="235" t="s">
        <v>71</v>
      </c>
      <c r="B72" s="236">
        <f t="shared" ref="B72:N72" si="21">B6+B30+B34+B39+B53+B62</f>
        <v>19294570</v>
      </c>
      <c r="C72" s="236">
        <f t="shared" si="21"/>
        <v>19294570</v>
      </c>
      <c r="D72" s="236">
        <f t="shared" si="21"/>
        <v>21516842</v>
      </c>
      <c r="E72" s="236">
        <f t="shared" si="21"/>
        <v>1864431.2</v>
      </c>
      <c r="F72" s="236">
        <f t="shared" si="21"/>
        <v>678063</v>
      </c>
      <c r="G72" s="236">
        <f t="shared" si="21"/>
        <v>674129</v>
      </c>
      <c r="H72" s="236">
        <f t="shared" si="21"/>
        <v>87567.6</v>
      </c>
      <c r="I72" s="236">
        <f t="shared" si="21"/>
        <v>131553.60000000001</v>
      </c>
      <c r="J72" s="236">
        <f t="shared" si="21"/>
        <v>80620</v>
      </c>
      <c r="K72" s="236">
        <f t="shared" si="21"/>
        <v>346477</v>
      </c>
      <c r="L72" s="236">
        <f t="shared" si="21"/>
        <v>320699</v>
      </c>
      <c r="M72" s="236">
        <f t="shared" si="21"/>
        <v>9134</v>
      </c>
      <c r="N72" s="236">
        <f t="shared" si="21"/>
        <v>235117</v>
      </c>
      <c r="O72" s="164">
        <f t="shared" si="20"/>
        <v>1.1151760313912153</v>
      </c>
      <c r="P72" s="266"/>
      <c r="Q72" s="266"/>
    </row>
    <row r="73" spans="1:17">
      <c r="A73" s="237" t="s">
        <v>72</v>
      </c>
      <c r="B73" s="238">
        <f>+B72+B28+B51+B60</f>
        <v>24051041</v>
      </c>
      <c r="C73" s="238">
        <f>+C72+C28+C51+C60</f>
        <v>24051041</v>
      </c>
      <c r="D73" s="239">
        <f>+D72+D28+D51+D60</f>
        <v>26840665</v>
      </c>
      <c r="E73" s="239">
        <f>+E72+E28+E51+E60</f>
        <v>2392919.2000000002</v>
      </c>
      <c r="F73" s="240"/>
      <c r="G73" s="240"/>
      <c r="H73" s="240"/>
      <c r="I73" s="240"/>
      <c r="J73" s="240"/>
      <c r="K73" s="240"/>
      <c r="L73" s="240"/>
      <c r="M73" s="240"/>
      <c r="N73" s="240"/>
      <c r="O73" s="164">
        <f t="shared" si="20"/>
        <v>1.1159876614072546</v>
      </c>
      <c r="P73" s="151"/>
      <c r="Q73" s="151"/>
    </row>
    <row r="74" spans="1:17">
      <c r="A74" s="2"/>
      <c r="B74" s="241"/>
      <c r="C74" s="241"/>
      <c r="D74" s="241"/>
      <c r="E74" s="242"/>
      <c r="F74" s="3"/>
      <c r="G74" s="3"/>
      <c r="H74" s="3"/>
      <c r="I74" s="3"/>
      <c r="J74" s="3"/>
      <c r="K74" s="3"/>
      <c r="L74" s="3"/>
      <c r="M74" s="3"/>
      <c r="N74" s="3"/>
      <c r="O74" s="2"/>
      <c r="P74" s="2"/>
      <c r="Q74" s="2"/>
    </row>
    <row r="75" spans="1:17">
      <c r="A75" s="2"/>
      <c r="B75" s="2"/>
      <c r="C75" s="2"/>
      <c r="D75" s="2"/>
      <c r="E75" s="3"/>
      <c r="F75" s="3"/>
      <c r="G75" s="3"/>
      <c r="H75" s="3"/>
      <c r="I75" s="3"/>
      <c r="J75" s="3"/>
      <c r="K75" s="3"/>
      <c r="L75" s="3"/>
      <c r="M75" s="3"/>
      <c r="N75" s="3"/>
      <c r="O75" s="2"/>
      <c r="P75" s="2"/>
      <c r="Q75" s="2"/>
    </row>
    <row r="76" spans="1:17" ht="83.4">
      <c r="A76" s="2"/>
      <c r="B76" s="243" t="s">
        <v>207</v>
      </c>
      <c r="C76" s="243"/>
      <c r="D76" s="244" t="s">
        <v>74</v>
      </c>
      <c r="E76" s="245" t="s">
        <v>75</v>
      </c>
      <c r="F76" s="245" t="s">
        <v>76</v>
      </c>
      <c r="G76" s="245" t="s">
        <v>77</v>
      </c>
      <c r="H76" s="245" t="s">
        <v>78</v>
      </c>
      <c r="I76" s="245" t="s">
        <v>79</v>
      </c>
      <c r="J76" s="245" t="s">
        <v>80</v>
      </c>
      <c r="K76" s="245" t="s">
        <v>81</v>
      </c>
      <c r="L76" s="245" t="s">
        <v>82</v>
      </c>
      <c r="M76" s="245" t="s">
        <v>83</v>
      </c>
      <c r="N76" s="245" t="s">
        <v>84</v>
      </c>
      <c r="O76" s="267" t="s">
        <v>85</v>
      </c>
      <c r="P76" s="268"/>
      <c r="Q76" s="2"/>
    </row>
    <row r="77" spans="1:17">
      <c r="A77" s="2"/>
      <c r="B77" s="246" t="s">
        <v>87</v>
      </c>
      <c r="C77" s="246"/>
      <c r="D77" s="247">
        <v>1737613</v>
      </c>
      <c r="E77" s="248">
        <v>1447754</v>
      </c>
      <c r="F77" s="168">
        <f>E72</f>
        <v>1864431.2</v>
      </c>
      <c r="G77" s="248">
        <v>1891960</v>
      </c>
      <c r="H77" s="248">
        <v>1972368</v>
      </c>
      <c r="I77" s="92">
        <v>1787673</v>
      </c>
      <c r="J77" s="248">
        <v>1808050</v>
      </c>
      <c r="K77" s="168">
        <v>1902721</v>
      </c>
      <c r="L77" s="168">
        <v>1755705</v>
      </c>
      <c r="M77" s="269">
        <v>1995514</v>
      </c>
      <c r="N77" s="252">
        <v>1828037</v>
      </c>
      <c r="O77" s="270"/>
      <c r="P77" s="152"/>
      <c r="Q77" s="2"/>
    </row>
    <row r="78" spans="1:17">
      <c r="A78" s="2"/>
      <c r="B78" s="249" t="s">
        <v>88</v>
      </c>
      <c r="C78" s="249"/>
      <c r="D78" s="249"/>
      <c r="E78" s="250">
        <f t="shared" ref="E78:N78" si="22">IF(D77&gt;0,E77/D77,0)*100</f>
        <v>83.318552520037542</v>
      </c>
      <c r="F78" s="250">
        <f t="shared" si="22"/>
        <v>128.78093930322416</v>
      </c>
      <c r="G78" s="250">
        <f t="shared" si="22"/>
        <v>101.47652538747474</v>
      </c>
      <c r="H78" s="250">
        <f t="shared" si="22"/>
        <v>104.24998414342798</v>
      </c>
      <c r="I78" s="250">
        <f t="shared" si="22"/>
        <v>90.63587525248839</v>
      </c>
      <c r="J78" s="250">
        <f t="shared" si="22"/>
        <v>101.13986170848919</v>
      </c>
      <c r="K78" s="250">
        <f t="shared" si="22"/>
        <v>105.23608307292388</v>
      </c>
      <c r="L78" s="250">
        <f t="shared" si="22"/>
        <v>92.273381121036664</v>
      </c>
      <c r="M78" s="250">
        <f t="shared" si="22"/>
        <v>113.65884359844051</v>
      </c>
      <c r="N78" s="250">
        <f t="shared" si="22"/>
        <v>91.607325230491995</v>
      </c>
      <c r="O78" s="271"/>
      <c r="P78" s="272"/>
      <c r="Q78" s="2"/>
    </row>
    <row r="79" spans="1:17">
      <c r="A79" s="2"/>
      <c r="B79" s="251"/>
      <c r="C79" s="251"/>
      <c r="D79" s="251"/>
      <c r="E79" s="252"/>
      <c r="F79" s="253"/>
      <c r="G79" s="3" t="s">
        <v>115</v>
      </c>
      <c r="H79" s="3"/>
      <c r="I79" s="3"/>
      <c r="J79" s="3"/>
      <c r="K79" s="3"/>
      <c r="L79" s="3"/>
      <c r="M79" s="3"/>
      <c r="N79" s="3"/>
      <c r="O79" s="152"/>
      <c r="P79" s="2"/>
    </row>
    <row r="80" spans="1:17">
      <c r="A80" s="1442" t="s">
        <v>208</v>
      </c>
      <c r="B80" s="152"/>
      <c r="C80" s="152"/>
      <c r="D80" s="152"/>
      <c r="E80" s="3"/>
      <c r="F80" s="3"/>
      <c r="G80" s="3"/>
      <c r="H80" s="3"/>
      <c r="I80" s="3"/>
      <c r="J80" s="3"/>
      <c r="K80" s="3"/>
      <c r="L80" s="3"/>
      <c r="M80" s="3"/>
      <c r="N80" s="3"/>
      <c r="O80" s="152"/>
      <c r="P80" s="2"/>
      <c r="Q80" s="3"/>
    </row>
    <row r="81" spans="1:17">
      <c r="A81" s="2" t="s">
        <v>90</v>
      </c>
      <c r="B81" s="152"/>
      <c r="C81" s="152"/>
      <c r="D81" s="152"/>
      <c r="E81" s="3"/>
      <c r="F81" s="3"/>
      <c r="G81" s="3"/>
      <c r="H81" s="3"/>
      <c r="I81" s="3"/>
      <c r="J81" s="3"/>
      <c r="K81" s="3"/>
      <c r="L81" s="3"/>
      <c r="M81" s="3"/>
      <c r="N81" s="3"/>
      <c r="O81" s="152"/>
      <c r="P81" s="2"/>
      <c r="Q81" s="3"/>
    </row>
    <row r="82" spans="1:17">
      <c r="A82" s="1442" t="s">
        <v>209</v>
      </c>
      <c r="B82" s="152"/>
      <c r="C82" s="152"/>
      <c r="D82" s="152"/>
      <c r="E82" s="3"/>
      <c r="F82" s="3"/>
      <c r="G82" s="3"/>
      <c r="H82" s="3"/>
      <c r="I82" s="3"/>
      <c r="J82" s="3"/>
      <c r="K82" s="3"/>
      <c r="L82" s="3"/>
      <c r="M82" s="3"/>
      <c r="N82" s="3"/>
      <c r="O82" s="152"/>
      <c r="P82" s="2"/>
      <c r="Q82" s="3"/>
    </row>
    <row r="83" spans="1:17">
      <c r="A83" s="1443" t="s">
        <v>92</v>
      </c>
      <c r="B83" s="152"/>
      <c r="C83" s="152"/>
      <c r="D83" s="152"/>
      <c r="E83" s="3"/>
      <c r="F83" s="3"/>
      <c r="G83" s="3"/>
      <c r="H83" s="3"/>
      <c r="J83" s="3"/>
      <c r="K83" s="3"/>
      <c r="L83" s="3"/>
      <c r="M83" s="3"/>
      <c r="N83" s="3"/>
      <c r="O83" s="152"/>
      <c r="P83" s="2"/>
      <c r="Q83" s="281"/>
    </row>
    <row r="84" spans="1:17">
      <c r="A84" s="2" t="s">
        <v>93</v>
      </c>
      <c r="B84" s="2"/>
      <c r="C84" s="2"/>
      <c r="D84" s="2"/>
      <c r="E84" s="3"/>
      <c r="F84" s="3"/>
      <c r="G84" s="3"/>
      <c r="H84" s="3"/>
      <c r="K84" s="3"/>
      <c r="M84" s="3"/>
      <c r="N84" s="3"/>
      <c r="O84" s="152"/>
      <c r="P84" s="2"/>
    </row>
    <row r="85" spans="1:17">
      <c r="A85" s="2" t="s">
        <v>94</v>
      </c>
      <c r="B85" s="2"/>
      <c r="C85" s="2"/>
      <c r="D85" s="2"/>
      <c r="E85" s="3"/>
      <c r="F85" s="3"/>
      <c r="G85" s="3"/>
      <c r="H85" s="3"/>
      <c r="K85" s="3"/>
      <c r="M85" s="3"/>
      <c r="N85" s="3"/>
      <c r="O85" s="273"/>
      <c r="P85" s="2"/>
    </row>
    <row r="86" spans="1:17">
      <c r="A86" s="2" t="s">
        <v>95</v>
      </c>
      <c r="B86" s="2"/>
      <c r="C86" s="2"/>
      <c r="D86" s="2"/>
      <c r="E86" s="3"/>
      <c r="F86" s="3"/>
      <c r="G86" s="3"/>
      <c r="H86" s="3"/>
      <c r="K86" s="3"/>
      <c r="L86" s="3"/>
      <c r="M86" s="3"/>
      <c r="N86" s="3"/>
      <c r="O86" s="152"/>
      <c r="P86" s="2"/>
    </row>
    <row r="88" spans="1:17" ht="15.6">
      <c r="B88" s="254" t="s">
        <v>165</v>
      </c>
      <c r="C88" s="254"/>
      <c r="D88" s="254"/>
      <c r="E88" s="254"/>
      <c r="F88" s="254"/>
      <c r="G88" s="254"/>
      <c r="H88" s="254"/>
      <c r="I88" s="254"/>
      <c r="J88" s="254"/>
      <c r="K88" s="254"/>
      <c r="L88" s="254"/>
      <c r="M88" s="254"/>
      <c r="N88" s="254"/>
      <c r="O88" s="254"/>
    </row>
    <row r="89" spans="1:17">
      <c r="A89" s="255" t="s">
        <v>97</v>
      </c>
      <c r="B89" s="256" t="s">
        <v>74</v>
      </c>
      <c r="C89" s="256" t="s">
        <v>75</v>
      </c>
      <c r="D89" s="256" t="s">
        <v>76</v>
      </c>
      <c r="E89" s="256" t="s">
        <v>77</v>
      </c>
      <c r="F89" s="256" t="s">
        <v>78</v>
      </c>
      <c r="G89" s="256" t="s">
        <v>79</v>
      </c>
      <c r="H89" s="256" t="s">
        <v>80</v>
      </c>
      <c r="I89" s="256" t="s">
        <v>81</v>
      </c>
      <c r="J89" s="256" t="s">
        <v>82</v>
      </c>
      <c r="K89" s="256" t="s">
        <v>83</v>
      </c>
      <c r="L89" s="256" t="s">
        <v>84</v>
      </c>
      <c r="M89" s="256" t="s">
        <v>85</v>
      </c>
      <c r="N89" s="256" t="s">
        <v>86</v>
      </c>
      <c r="O89" s="255" t="s">
        <v>98</v>
      </c>
    </row>
    <row r="90" spans="1:17">
      <c r="A90" s="257" t="s">
        <v>99</v>
      </c>
      <c r="B90" s="258">
        <f t="shared" ref="B90:L90" si="23">SUM(B91:B97)</f>
        <v>5559901</v>
      </c>
      <c r="C90" s="258">
        <v>4699172</v>
      </c>
      <c r="D90" s="258">
        <v>6626289</v>
      </c>
      <c r="E90" s="258">
        <f t="shared" si="23"/>
        <v>7289664</v>
      </c>
      <c r="F90" s="258">
        <f t="shared" si="23"/>
        <v>7552957</v>
      </c>
      <c r="G90" s="258">
        <f t="shared" si="23"/>
        <v>7137978</v>
      </c>
      <c r="H90" s="258">
        <f t="shared" si="23"/>
        <v>7261577</v>
      </c>
      <c r="I90" s="258">
        <f t="shared" si="23"/>
        <v>7423642.6568181785</v>
      </c>
      <c r="J90" s="258">
        <f t="shared" si="23"/>
        <v>7317274.6456277864</v>
      </c>
      <c r="K90" s="258">
        <f t="shared" si="23"/>
        <v>7810844.0238295384</v>
      </c>
      <c r="L90" s="258">
        <f t="shared" si="23"/>
        <v>7997080.4029974239</v>
      </c>
      <c r="M90" s="274"/>
      <c r="N90" s="258">
        <f t="shared" ref="N90:N106" si="24">SUM(B90:M90)</f>
        <v>76676379.729272932</v>
      </c>
      <c r="O90" s="275">
        <f t="shared" ref="O90:O97" si="25">N90/$N$90</f>
        <v>1</v>
      </c>
    </row>
    <row r="91" spans="1:17">
      <c r="A91" s="259" t="s">
        <v>100</v>
      </c>
      <c r="B91" s="260">
        <v>1809898</v>
      </c>
      <c r="C91" s="260">
        <v>1730564</v>
      </c>
      <c r="D91" s="260">
        <v>2112389</v>
      </c>
      <c r="E91" s="260">
        <v>2570971</v>
      </c>
      <c r="F91" s="260">
        <v>2877822</v>
      </c>
      <c r="G91" s="260">
        <v>2522285</v>
      </c>
      <c r="H91" s="260">
        <v>2379861</v>
      </c>
      <c r="I91" s="276">
        <v>1649483.96140941</v>
      </c>
      <c r="J91" s="277">
        <v>2145448.2027232898</v>
      </c>
      <c r="K91" s="260">
        <v>2185241.3473768402</v>
      </c>
      <c r="L91" s="260">
        <v>2165350.4173335498</v>
      </c>
      <c r="M91" s="260"/>
      <c r="N91" s="277">
        <f t="shared" si="24"/>
        <v>24149313.928843088</v>
      </c>
      <c r="O91" s="278">
        <f t="shared" si="25"/>
        <v>0.31495114941666374</v>
      </c>
    </row>
    <row r="92" spans="1:17">
      <c r="A92" s="259" t="s">
        <v>101</v>
      </c>
      <c r="B92" s="260">
        <v>216643</v>
      </c>
      <c r="C92" s="260">
        <v>165584</v>
      </c>
      <c r="D92" s="260">
        <v>464816</v>
      </c>
      <c r="E92" s="260">
        <v>179363</v>
      </c>
      <c r="F92" s="260">
        <v>325949</v>
      </c>
      <c r="G92" s="260">
        <v>301067</v>
      </c>
      <c r="H92" s="260">
        <v>208263</v>
      </c>
      <c r="I92" s="276">
        <v>556923.47207816201</v>
      </c>
      <c r="J92" s="277">
        <v>415004.996358937</v>
      </c>
      <c r="K92" s="260">
        <v>351758.76002235099</v>
      </c>
      <c r="L92" s="260">
        <v>489505.70748552302</v>
      </c>
      <c r="M92" s="260"/>
      <c r="N92" s="277">
        <f t="shared" si="24"/>
        <v>3674877.9359449735</v>
      </c>
      <c r="O92" s="278">
        <f t="shared" si="25"/>
        <v>4.7927118480556093E-2</v>
      </c>
    </row>
    <row r="93" spans="1:17">
      <c r="A93" s="259" t="s">
        <v>102</v>
      </c>
      <c r="B93" s="260">
        <v>1371301</v>
      </c>
      <c r="C93" s="260">
        <v>870579</v>
      </c>
      <c r="D93" s="260">
        <v>1114225</v>
      </c>
      <c r="E93" s="260">
        <v>1074841</v>
      </c>
      <c r="F93" s="260">
        <v>1197562</v>
      </c>
      <c r="G93" s="260">
        <v>1270373</v>
      </c>
      <c r="H93" s="260">
        <v>1356812</v>
      </c>
      <c r="I93" s="276">
        <v>1428637.4627896</v>
      </c>
      <c r="J93" s="277">
        <v>1247824.8462519899</v>
      </c>
      <c r="K93" s="260">
        <v>957946.88996302499</v>
      </c>
      <c r="L93" s="260">
        <v>1397597.3805813501</v>
      </c>
      <c r="M93" s="260"/>
      <c r="N93" s="277">
        <f t="shared" si="24"/>
        <v>13287699.579585966</v>
      </c>
      <c r="O93" s="278">
        <f t="shared" si="25"/>
        <v>0.17329586538255781</v>
      </c>
    </row>
    <row r="94" spans="1:17">
      <c r="A94" s="259" t="s">
        <v>103</v>
      </c>
      <c r="B94" s="260">
        <v>758783</v>
      </c>
      <c r="C94" s="260">
        <v>620788</v>
      </c>
      <c r="D94" s="260">
        <v>832464</v>
      </c>
      <c r="E94" s="260">
        <v>805760</v>
      </c>
      <c r="F94" s="260">
        <v>873484</v>
      </c>
      <c r="G94" s="260">
        <v>767484</v>
      </c>
      <c r="H94" s="260">
        <v>901143</v>
      </c>
      <c r="I94" s="276">
        <v>1048065.44177413</v>
      </c>
      <c r="J94" s="277">
        <v>885187.76367192296</v>
      </c>
      <c r="K94" s="260">
        <v>1644774.5354611899</v>
      </c>
      <c r="L94" s="260">
        <v>1007158.88651302</v>
      </c>
      <c r="M94" s="260"/>
      <c r="N94" s="277">
        <f t="shared" si="24"/>
        <v>10145092.627420263</v>
      </c>
      <c r="O94" s="278">
        <f t="shared" si="25"/>
        <v>0.1323105324382855</v>
      </c>
    </row>
    <row r="95" spans="1:17">
      <c r="A95" s="259" t="s">
        <v>104</v>
      </c>
      <c r="B95" s="260">
        <v>663451</v>
      </c>
      <c r="C95" s="260">
        <v>687147</v>
      </c>
      <c r="D95" s="260">
        <v>1074747</v>
      </c>
      <c r="E95" s="260">
        <v>1431356</v>
      </c>
      <c r="F95" s="260">
        <v>1344265</v>
      </c>
      <c r="G95" s="260">
        <v>1186850</v>
      </c>
      <c r="H95" s="260">
        <v>1525557</v>
      </c>
      <c r="I95" s="276">
        <v>1204868.26132492</v>
      </c>
      <c r="J95" s="277">
        <v>789731.61168467801</v>
      </c>
      <c r="K95" s="260">
        <v>631262.43774486496</v>
      </c>
      <c r="L95" s="260">
        <v>1083401.18247509</v>
      </c>
      <c r="M95" s="260"/>
      <c r="N95" s="277">
        <f t="shared" si="24"/>
        <v>11622636.493229553</v>
      </c>
      <c r="O95" s="278">
        <f t="shared" si="25"/>
        <v>0.15158040239075543</v>
      </c>
    </row>
    <row r="96" spans="1:17">
      <c r="A96" s="259" t="s">
        <v>105</v>
      </c>
      <c r="B96" s="260">
        <v>94829</v>
      </c>
      <c r="C96" s="260">
        <v>74713</v>
      </c>
      <c r="D96" s="260">
        <v>126500</v>
      </c>
      <c r="E96" s="260">
        <v>117804</v>
      </c>
      <c r="F96" s="260">
        <v>116232</v>
      </c>
      <c r="G96" s="260">
        <v>117017</v>
      </c>
      <c r="H96" s="260">
        <v>119409</v>
      </c>
      <c r="I96" s="276">
        <v>426707.09230535798</v>
      </c>
      <c r="J96" s="277">
        <v>516802.34385403898</v>
      </c>
      <c r="K96" s="260">
        <v>712885.31554481795</v>
      </c>
      <c r="L96" s="260">
        <v>623485.43851693103</v>
      </c>
      <c r="M96" s="260"/>
      <c r="N96" s="277">
        <f t="shared" si="24"/>
        <v>3046384.1902211462</v>
      </c>
      <c r="O96" s="278">
        <f t="shared" si="25"/>
        <v>3.973041242918933E-2</v>
      </c>
    </row>
    <row r="97" spans="1:17">
      <c r="A97" s="259" t="s">
        <v>58</v>
      </c>
      <c r="B97" s="260">
        <v>644996</v>
      </c>
      <c r="C97" s="260">
        <v>549797</v>
      </c>
      <c r="D97" s="260">
        <v>901148</v>
      </c>
      <c r="E97" s="260">
        <v>1109569</v>
      </c>
      <c r="F97" s="260">
        <v>817643</v>
      </c>
      <c r="G97" s="260">
        <v>972902</v>
      </c>
      <c r="H97" s="260">
        <v>770532</v>
      </c>
      <c r="I97" s="276">
        <v>1108956.9651366</v>
      </c>
      <c r="J97" s="277">
        <v>1317274.8810829299</v>
      </c>
      <c r="K97" s="260">
        <v>1326974.7377164499</v>
      </c>
      <c r="L97" s="260">
        <v>1230581.3900919601</v>
      </c>
      <c r="M97" s="260"/>
      <c r="N97" s="277">
        <f t="shared" si="24"/>
        <v>10750374.974027939</v>
      </c>
      <c r="O97" s="278">
        <f t="shared" si="25"/>
        <v>0.14020451946199206</v>
      </c>
    </row>
    <row r="98" spans="1:17">
      <c r="A98" s="257" t="s">
        <v>106</v>
      </c>
      <c r="B98" s="258">
        <f t="shared" ref="B98:L98" si="26">SUM(B99:B105)</f>
        <v>6806119</v>
      </c>
      <c r="C98" s="258">
        <v>5512491</v>
      </c>
      <c r="D98" s="258">
        <v>8179108</v>
      </c>
      <c r="E98" s="258">
        <f t="shared" si="26"/>
        <v>8765844</v>
      </c>
      <c r="F98" s="258">
        <f t="shared" si="26"/>
        <v>8376295</v>
      </c>
      <c r="G98" s="258">
        <f t="shared" si="26"/>
        <v>8199263</v>
      </c>
      <c r="H98" s="258">
        <f t="shared" si="26"/>
        <v>8405793</v>
      </c>
      <c r="I98" s="258">
        <f t="shared" si="26"/>
        <v>9120088.1304625664</v>
      </c>
      <c r="J98" s="258">
        <f t="shared" si="26"/>
        <v>8422294.5254808925</v>
      </c>
      <c r="K98" s="258">
        <f t="shared" si="26"/>
        <v>10251987.251608843</v>
      </c>
      <c r="L98" s="258">
        <f t="shared" si="26"/>
        <v>9522768.4799644202</v>
      </c>
      <c r="M98" s="257"/>
      <c r="N98" s="258">
        <f t="shared" si="24"/>
        <v>91562051.387516722</v>
      </c>
      <c r="O98" s="275">
        <f t="shared" ref="O98:O105" si="27">N98/$N$98</f>
        <v>1</v>
      </c>
    </row>
    <row r="99" spans="1:17">
      <c r="A99" s="259" t="s">
        <v>100</v>
      </c>
      <c r="B99" s="260">
        <v>2135077</v>
      </c>
      <c r="C99" s="260">
        <v>1954967</v>
      </c>
      <c r="D99" s="260">
        <v>2573893</v>
      </c>
      <c r="E99" s="260">
        <v>3073887</v>
      </c>
      <c r="F99" s="260">
        <v>3261336</v>
      </c>
      <c r="G99" s="260">
        <v>3026937</v>
      </c>
      <c r="H99" s="260">
        <v>2813170</v>
      </c>
      <c r="I99" s="276">
        <v>2771764.24442368</v>
      </c>
      <c r="J99" s="277">
        <v>2874199.5261229998</v>
      </c>
      <c r="K99" s="260">
        <v>3505747.6387520302</v>
      </c>
      <c r="L99" s="260">
        <v>3226534.0950880302</v>
      </c>
      <c r="M99" s="260"/>
      <c r="N99" s="277">
        <f t="shared" si="24"/>
        <v>31217512.504386742</v>
      </c>
      <c r="O99" s="278">
        <f t="shared" si="27"/>
        <v>0.34094378655044899</v>
      </c>
    </row>
    <row r="100" spans="1:17">
      <c r="A100" s="259" t="s">
        <v>101</v>
      </c>
      <c r="B100" s="260">
        <v>263002</v>
      </c>
      <c r="C100" s="260">
        <v>221352</v>
      </c>
      <c r="D100" s="260">
        <v>387773</v>
      </c>
      <c r="E100" s="260">
        <v>258017</v>
      </c>
      <c r="F100" s="260">
        <v>388537</v>
      </c>
      <c r="G100" s="260">
        <v>292594</v>
      </c>
      <c r="H100" s="260">
        <v>286187</v>
      </c>
      <c r="I100" s="276">
        <v>371162.45418796502</v>
      </c>
      <c r="J100" s="277">
        <v>377418.838031133</v>
      </c>
      <c r="K100" s="260">
        <v>526470.35569161596</v>
      </c>
      <c r="L100" s="260">
        <v>603592.07934567204</v>
      </c>
      <c r="M100" s="260"/>
      <c r="N100" s="277">
        <f t="shared" si="24"/>
        <v>3976105.7272563861</v>
      </c>
      <c r="O100" s="278">
        <f t="shared" si="27"/>
        <v>4.3425258248402196E-2</v>
      </c>
    </row>
    <row r="101" spans="1:17">
      <c r="A101" s="259" t="s">
        <v>102</v>
      </c>
      <c r="B101" s="260">
        <v>1600519</v>
      </c>
      <c r="C101" s="260">
        <v>975825</v>
      </c>
      <c r="D101" s="260">
        <v>1500811</v>
      </c>
      <c r="E101" s="260">
        <v>1431201</v>
      </c>
      <c r="F101" s="260">
        <v>1312883</v>
      </c>
      <c r="G101" s="260">
        <v>1628844</v>
      </c>
      <c r="H101" s="260">
        <v>1563650</v>
      </c>
      <c r="I101" s="276">
        <v>1567478.3799777699</v>
      </c>
      <c r="J101" s="277">
        <v>1218496.8775750101</v>
      </c>
      <c r="K101" s="260">
        <v>1009022.45347845</v>
      </c>
      <c r="L101" s="260">
        <v>1521959.7647422799</v>
      </c>
      <c r="M101" s="260"/>
      <c r="N101" s="277">
        <f t="shared" si="24"/>
        <v>15330690.47577351</v>
      </c>
      <c r="O101" s="278">
        <f t="shared" si="27"/>
        <v>0.16743498254412906</v>
      </c>
    </row>
    <row r="102" spans="1:17">
      <c r="A102" s="259" t="s">
        <v>103</v>
      </c>
      <c r="B102" s="260">
        <v>906127</v>
      </c>
      <c r="C102" s="260">
        <v>684506</v>
      </c>
      <c r="D102" s="260">
        <v>1019356</v>
      </c>
      <c r="E102" s="260">
        <v>936276</v>
      </c>
      <c r="F102" s="260">
        <v>1009873</v>
      </c>
      <c r="G102" s="260">
        <v>790066</v>
      </c>
      <c r="H102" s="260">
        <v>1001312</v>
      </c>
      <c r="I102" s="276">
        <v>1059004.6865963</v>
      </c>
      <c r="J102" s="277">
        <v>1115659.7180649899</v>
      </c>
      <c r="K102" s="260">
        <v>2057804.0921621199</v>
      </c>
      <c r="L102" s="260">
        <v>836778.92556376301</v>
      </c>
      <c r="M102" s="260"/>
      <c r="N102" s="277">
        <f t="shared" si="24"/>
        <v>11416763.422387173</v>
      </c>
      <c r="O102" s="278">
        <f t="shared" si="27"/>
        <v>0.12468881211571127</v>
      </c>
    </row>
    <row r="103" spans="1:17">
      <c r="A103" s="259" t="s">
        <v>104</v>
      </c>
      <c r="B103" s="260">
        <v>910303</v>
      </c>
      <c r="C103" s="260">
        <v>843503</v>
      </c>
      <c r="D103" s="260">
        <v>1350561</v>
      </c>
      <c r="E103" s="260">
        <v>1603712</v>
      </c>
      <c r="F103" s="260">
        <v>1322029</v>
      </c>
      <c r="G103" s="260">
        <v>1326834</v>
      </c>
      <c r="H103" s="260">
        <v>1615435</v>
      </c>
      <c r="I103" s="276">
        <v>1427094.8094327101</v>
      </c>
      <c r="J103" s="277">
        <v>1040755.49606988</v>
      </c>
      <c r="K103" s="260">
        <v>1260870.4950699899</v>
      </c>
      <c r="L103" s="260">
        <v>1376003.8426560301</v>
      </c>
      <c r="M103" s="260"/>
      <c r="N103" s="277">
        <f t="shared" si="24"/>
        <v>14077101.643228609</v>
      </c>
      <c r="O103" s="278">
        <f t="shared" si="27"/>
        <v>0.15374384289021986</v>
      </c>
    </row>
    <row r="104" spans="1:17">
      <c r="A104" s="259" t="s">
        <v>105</v>
      </c>
      <c r="B104" s="260">
        <v>73110</v>
      </c>
      <c r="C104" s="260">
        <v>87700</v>
      </c>
      <c r="D104" s="260">
        <v>119850</v>
      </c>
      <c r="E104" s="260">
        <v>120063</v>
      </c>
      <c r="F104" s="260">
        <v>106070</v>
      </c>
      <c r="G104" s="260">
        <v>105910</v>
      </c>
      <c r="H104" s="260">
        <v>116555</v>
      </c>
      <c r="I104" s="276">
        <v>318808.68661145098</v>
      </c>
      <c r="J104" s="277">
        <v>279913.02113921801</v>
      </c>
      <c r="K104" s="260">
        <v>280026.16302326799</v>
      </c>
      <c r="L104" s="260">
        <v>224388.01297575401</v>
      </c>
      <c r="M104" s="260"/>
      <c r="N104" s="277">
        <f t="shared" si="24"/>
        <v>1832393.8837496911</v>
      </c>
      <c r="O104" s="278">
        <f t="shared" si="27"/>
        <v>2.001259098045409E-2</v>
      </c>
    </row>
    <row r="105" spans="1:17">
      <c r="A105" s="259" t="s">
        <v>58</v>
      </c>
      <c r="B105" s="260">
        <v>917981</v>
      </c>
      <c r="C105" s="260">
        <v>744638</v>
      </c>
      <c r="D105" s="260">
        <v>1226864</v>
      </c>
      <c r="E105" s="260">
        <v>1342688</v>
      </c>
      <c r="F105" s="260">
        <v>975567</v>
      </c>
      <c r="G105" s="260">
        <v>1028078</v>
      </c>
      <c r="H105" s="260">
        <v>1009484</v>
      </c>
      <c r="I105" s="276">
        <v>1604774.86923269</v>
      </c>
      <c r="J105" s="277">
        <v>1515851.0484776599</v>
      </c>
      <c r="K105" s="260">
        <v>1612046.0534313701</v>
      </c>
      <c r="L105" s="260">
        <v>1733511.75959289</v>
      </c>
      <c r="M105" s="260"/>
      <c r="N105" s="277">
        <f t="shared" si="24"/>
        <v>13711483.730734609</v>
      </c>
      <c r="O105" s="278">
        <f t="shared" si="27"/>
        <v>0.14975072667063452</v>
      </c>
    </row>
    <row r="106" spans="1:17">
      <c r="A106" s="257" t="s">
        <v>107</v>
      </c>
      <c r="B106" s="261">
        <f t="shared" ref="B106:L106" si="28">B90+B98</f>
        <v>12366020</v>
      </c>
      <c r="C106" s="261">
        <v>10413069</v>
      </c>
      <c r="D106" s="261">
        <v>14805397</v>
      </c>
      <c r="E106" s="261">
        <f t="shared" si="28"/>
        <v>16055508</v>
      </c>
      <c r="F106" s="261">
        <f t="shared" si="28"/>
        <v>15929252</v>
      </c>
      <c r="G106" s="261">
        <f t="shared" si="28"/>
        <v>15337241</v>
      </c>
      <c r="H106" s="261">
        <f t="shared" si="28"/>
        <v>15667370</v>
      </c>
      <c r="I106" s="279">
        <f t="shared" si="28"/>
        <v>16543730.787280746</v>
      </c>
      <c r="J106" s="261">
        <f t="shared" si="28"/>
        <v>15739569.171108678</v>
      </c>
      <c r="K106" s="261">
        <f t="shared" si="28"/>
        <v>18062831.275438383</v>
      </c>
      <c r="L106" s="261">
        <f t="shared" si="28"/>
        <v>17519848.882961843</v>
      </c>
      <c r="M106" s="257"/>
      <c r="N106" s="258">
        <f t="shared" si="24"/>
        <v>168439837.11678964</v>
      </c>
      <c r="O106" s="259"/>
    </row>
    <row r="107" spans="1:17">
      <c r="C107" s="262">
        <f t="shared" ref="C107:L107" si="29">C106/B106</f>
        <v>0.8420711756895104</v>
      </c>
      <c r="D107" s="262">
        <f t="shared" si="29"/>
        <v>1.4218091707641618</v>
      </c>
      <c r="E107" s="262">
        <f t="shared" si="29"/>
        <v>1.0844361687835862</v>
      </c>
      <c r="F107" s="262">
        <f t="shared" si="29"/>
        <v>0.99213628120642461</v>
      </c>
      <c r="G107" s="262">
        <f t="shared" si="29"/>
        <v>0.96283497806425566</v>
      </c>
      <c r="H107" s="262">
        <f t="shared" si="29"/>
        <v>1.0215246666594076</v>
      </c>
      <c r="I107" s="262">
        <f t="shared" si="29"/>
        <v>1.0559354114494486</v>
      </c>
      <c r="J107" s="262">
        <f t="shared" si="29"/>
        <v>0.95139176123499736</v>
      </c>
      <c r="K107" s="262">
        <f t="shared" si="29"/>
        <v>1.1476064610837158</v>
      </c>
      <c r="L107" s="262">
        <f t="shared" si="29"/>
        <v>0.96993924240354934</v>
      </c>
    </row>
    <row r="109" spans="1:17">
      <c r="K109" s="280"/>
    </row>
    <row r="110" spans="1:17">
      <c r="A110" s="263"/>
      <c r="B110" s="263"/>
      <c r="C110" s="263"/>
      <c r="D110" s="264"/>
      <c r="E110" s="264"/>
      <c r="F110" s="264"/>
      <c r="G110" s="264"/>
      <c r="O110" s="265"/>
      <c r="P110" s="265"/>
    </row>
    <row r="111" spans="1:17">
      <c r="D111" s="265"/>
      <c r="L111" s="3"/>
      <c r="O111" s="265"/>
      <c r="P111" s="265"/>
      <c r="Q111" s="265"/>
    </row>
    <row r="112" spans="1:17">
      <c r="D112" s="265"/>
      <c r="L112" s="3"/>
      <c r="O112" s="265"/>
      <c r="P112" s="265"/>
      <c r="Q112" s="265"/>
    </row>
    <row r="113" spans="1:17">
      <c r="D113" s="265"/>
      <c r="L113" s="3"/>
      <c r="O113" s="265"/>
      <c r="P113" s="265"/>
      <c r="Q113" s="265"/>
    </row>
    <row r="114" spans="1:17">
      <c r="D114" s="265"/>
      <c r="L114" s="3"/>
      <c r="O114" s="265"/>
      <c r="P114" s="265"/>
      <c r="Q114" s="265"/>
    </row>
    <row r="115" spans="1:17">
      <c r="D115" s="265"/>
      <c r="O115" s="265"/>
      <c r="P115" s="265"/>
      <c r="Q115" s="265"/>
    </row>
    <row r="116" spans="1:17">
      <c r="D116" s="265"/>
      <c r="O116" s="265"/>
      <c r="P116" s="265"/>
      <c r="Q116" s="265"/>
    </row>
    <row r="117" spans="1:17">
      <c r="D117" s="265"/>
      <c r="O117" s="265"/>
      <c r="P117" s="265"/>
      <c r="Q117" s="265"/>
    </row>
    <row r="118" spans="1:17">
      <c r="A118" s="263"/>
      <c r="B118" s="263"/>
      <c r="C118" s="263"/>
      <c r="D118" s="264"/>
      <c r="E118" s="264"/>
      <c r="F118" s="264"/>
      <c r="G118" s="264"/>
      <c r="O118" s="265"/>
      <c r="P118" s="265"/>
      <c r="Q118" s="265"/>
    </row>
    <row r="119" spans="1:17">
      <c r="D119" s="265"/>
      <c r="O119" s="265"/>
      <c r="P119" s="265"/>
      <c r="Q119" s="265"/>
    </row>
    <row r="120" spans="1:17">
      <c r="D120" s="265"/>
      <c r="O120" s="265"/>
      <c r="P120" s="265"/>
      <c r="Q120" s="265"/>
    </row>
    <row r="121" spans="1:17">
      <c r="D121" s="265"/>
      <c r="O121" s="265"/>
      <c r="P121" s="265"/>
      <c r="Q121" s="265"/>
    </row>
    <row r="122" spans="1:17">
      <c r="D122" s="265"/>
      <c r="O122" s="265"/>
      <c r="P122" s="265"/>
      <c r="Q122" s="265"/>
    </row>
    <row r="123" spans="1:17">
      <c r="D123" s="265"/>
      <c r="O123" s="265"/>
      <c r="P123" s="265"/>
      <c r="Q123" s="265"/>
    </row>
    <row r="124" spans="1:17">
      <c r="D124" s="265"/>
      <c r="O124" s="265"/>
      <c r="P124" s="265"/>
      <c r="Q124" s="265"/>
    </row>
    <row r="125" spans="1:17">
      <c r="D125" s="265"/>
      <c r="O125" s="265"/>
      <c r="P125" s="265"/>
      <c r="Q125" s="265"/>
    </row>
    <row r="126" spans="1:17">
      <c r="E126" s="264"/>
      <c r="O126" s="265"/>
      <c r="P126" s="265"/>
      <c r="Q126" s="265"/>
    </row>
  </sheetData>
  <mergeCells count="7">
    <mergeCell ref="A1:O1"/>
    <mergeCell ref="E3:N3"/>
    <mergeCell ref="A3:A4"/>
    <mergeCell ref="B3:B4"/>
    <mergeCell ref="C3:C4"/>
    <mergeCell ref="D3:D4"/>
    <mergeCell ref="O3:O4"/>
  </mergeCells>
  <conditionalFormatting sqref="O6:O73">
    <cfRule type="cellIs" dxfId="13" priority="1" operator="between">
      <formula>0.01</formula>
      <formula>0.99</formula>
    </cfRule>
    <cfRule type="expression" dxfId="12" priority="2">
      <formula>AND($O6&gt;100%,$O6&lt;100%)</formula>
    </cfRule>
  </conditionalFormatting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CBB5A-66A0-4C3E-90DD-D45952D17053}">
  <dimension ref="A1:Q104"/>
  <sheetViews>
    <sheetView topLeftCell="A69" workbookViewId="0">
      <selection sqref="A1:XFD1048576"/>
    </sheetView>
  </sheetViews>
  <sheetFormatPr defaultColWidth="9" defaultRowHeight="14.4"/>
  <cols>
    <col min="1" max="1" width="28.88671875" customWidth="1"/>
    <col min="2" max="3" width="12.6640625" customWidth="1"/>
    <col min="4" max="14" width="12.109375" customWidth="1"/>
  </cols>
  <sheetData>
    <row r="1" spans="1:17" ht="15.6">
      <c r="A1" s="1767" t="s">
        <v>216</v>
      </c>
      <c r="B1" s="1767"/>
      <c r="C1" s="1767"/>
      <c r="D1" s="1767"/>
      <c r="E1" s="1767"/>
      <c r="F1" s="1767"/>
      <c r="G1" s="1767"/>
      <c r="H1" s="1767"/>
      <c r="I1" s="1767"/>
      <c r="J1" s="1767"/>
      <c r="K1" s="1767"/>
      <c r="L1" s="1767"/>
      <c r="M1" s="1767"/>
      <c r="N1" s="1767"/>
      <c r="O1" s="1767"/>
      <c r="P1" s="1464"/>
      <c r="Q1" s="1465"/>
    </row>
    <row r="2" spans="1:17" ht="15" thickBot="1">
      <c r="A2" s="1466"/>
      <c r="B2" s="1466"/>
      <c r="C2" s="1466"/>
      <c r="D2" s="1466"/>
      <c r="E2" s="1467"/>
      <c r="F2" s="1467"/>
      <c r="G2" s="1467"/>
      <c r="H2" s="1467"/>
      <c r="I2" s="1467"/>
      <c r="J2" s="1467"/>
      <c r="K2" s="1467"/>
      <c r="L2" s="1467"/>
      <c r="M2" s="1467"/>
      <c r="N2" s="1467"/>
      <c r="O2" s="1468"/>
      <c r="P2" s="1466"/>
    </row>
    <row r="3" spans="1:17" ht="27" customHeight="1">
      <c r="A3" s="1768" t="s">
        <v>1</v>
      </c>
      <c r="B3" s="1770" t="s">
        <v>217</v>
      </c>
      <c r="C3" s="1770" t="s">
        <v>218</v>
      </c>
      <c r="D3" s="1772" t="s">
        <v>219</v>
      </c>
      <c r="E3" s="1774" t="s">
        <v>220</v>
      </c>
      <c r="F3" s="1775"/>
      <c r="G3" s="1775"/>
      <c r="H3" s="1775"/>
      <c r="I3" s="1775"/>
      <c r="J3" s="1775"/>
      <c r="K3" s="1775"/>
      <c r="L3" s="1775"/>
      <c r="M3" s="1775"/>
      <c r="N3" s="1776"/>
      <c r="O3" s="1777" t="s">
        <v>221</v>
      </c>
      <c r="P3" s="1469"/>
    </row>
    <row r="4" spans="1:17" ht="28.2" thickBot="1">
      <c r="A4" s="1769"/>
      <c r="B4" s="1771"/>
      <c r="C4" s="1771"/>
      <c r="D4" s="1773"/>
      <c r="E4" s="1470" t="s">
        <v>7</v>
      </c>
      <c r="F4" s="1471" t="s">
        <v>8</v>
      </c>
      <c r="G4" s="1471" t="s">
        <v>9</v>
      </c>
      <c r="H4" s="1471" t="s">
        <v>10</v>
      </c>
      <c r="I4" s="1471" t="s">
        <v>11</v>
      </c>
      <c r="J4" s="1472" t="s">
        <v>12</v>
      </c>
      <c r="K4" s="1473" t="s">
        <v>13</v>
      </c>
      <c r="L4" s="1473" t="s">
        <v>14</v>
      </c>
      <c r="M4" s="1474" t="s">
        <v>15</v>
      </c>
      <c r="N4" s="1475" t="s">
        <v>16</v>
      </c>
      <c r="O4" s="1778"/>
      <c r="P4" s="1469"/>
    </row>
    <row r="5" spans="1:17" ht="15.6">
      <c r="A5" s="1476"/>
      <c r="B5" s="1477"/>
      <c r="C5" s="1477"/>
      <c r="D5" s="1478"/>
      <c r="E5" s="1479"/>
      <c r="F5" s="1480"/>
      <c r="G5" s="1480"/>
      <c r="H5" s="1480"/>
      <c r="I5" s="1480"/>
      <c r="J5" s="1481"/>
      <c r="K5" s="1480"/>
      <c r="L5" s="1480"/>
      <c r="M5" s="1481"/>
      <c r="N5" s="1482"/>
      <c r="O5" s="1483"/>
      <c r="P5" s="1469"/>
    </row>
    <row r="6" spans="1:17">
      <c r="A6" s="1484" t="s">
        <v>222</v>
      </c>
      <c r="B6" s="1485">
        <f>SUM(B7:B27)</f>
        <v>8323043</v>
      </c>
      <c r="C6" s="1485">
        <f>SUM(C7:C27)</f>
        <v>636910</v>
      </c>
      <c r="D6" s="1485">
        <f>SUM(D7:D27)</f>
        <v>833837</v>
      </c>
      <c r="E6" s="1485">
        <f t="shared" ref="E6:N6" si="0">SUM(E7:E27)</f>
        <v>781524.4</v>
      </c>
      <c r="F6" s="1485">
        <f t="shared" si="0"/>
        <v>217956</v>
      </c>
      <c r="G6" s="1485">
        <f t="shared" si="0"/>
        <v>195712</v>
      </c>
      <c r="H6" s="1485">
        <f t="shared" si="0"/>
        <v>35103.4</v>
      </c>
      <c r="I6" s="1485">
        <f t="shared" si="0"/>
        <v>38675</v>
      </c>
      <c r="J6" s="1485">
        <f t="shared" si="0"/>
        <v>802</v>
      </c>
      <c r="K6" s="1485">
        <f t="shared" si="0"/>
        <v>74588</v>
      </c>
      <c r="L6" s="1485">
        <f t="shared" si="0"/>
        <v>100008</v>
      </c>
      <c r="M6" s="1485">
        <f t="shared" si="0"/>
        <v>545</v>
      </c>
      <c r="N6" s="1485">
        <f t="shared" si="0"/>
        <v>64837</v>
      </c>
      <c r="O6" s="1486">
        <f t="shared" ref="O6:O11" si="1">+D6/C6</f>
        <v>1.3091912515112025</v>
      </c>
      <c r="P6" s="1487"/>
      <c r="Q6" s="1488"/>
    </row>
    <row r="7" spans="1:17">
      <c r="A7" s="1489" t="s">
        <v>178</v>
      </c>
      <c r="B7" s="1490">
        <v>0</v>
      </c>
      <c r="C7" s="1491"/>
      <c r="D7" s="1492">
        <v>0</v>
      </c>
      <c r="E7" s="1493">
        <v>0</v>
      </c>
      <c r="F7" s="1493">
        <v>0</v>
      </c>
      <c r="G7" s="1493">
        <v>0</v>
      </c>
      <c r="H7" s="1493">
        <v>0</v>
      </c>
      <c r="I7" s="1493">
        <v>0</v>
      </c>
      <c r="J7" s="1493">
        <v>0</v>
      </c>
      <c r="K7" s="1494"/>
      <c r="L7" s="1494"/>
      <c r="M7" s="1494"/>
      <c r="N7" s="1495"/>
      <c r="O7" s="1486"/>
      <c r="P7" s="1487"/>
      <c r="Q7" s="1466"/>
    </row>
    <row r="8" spans="1:17">
      <c r="A8" s="1496" t="s">
        <v>179</v>
      </c>
      <c r="B8" s="1497"/>
      <c r="C8" s="1498"/>
      <c r="D8" s="1499"/>
      <c r="E8" s="1500">
        <f t="shared" ref="E8:E15" si="2">SUM(F8:J8)</f>
        <v>0</v>
      </c>
      <c r="F8" s="1501"/>
      <c r="G8" s="1501"/>
      <c r="H8" s="1501"/>
      <c r="I8" s="1501"/>
      <c r="J8" s="1502"/>
      <c r="K8" s="1503"/>
      <c r="L8" s="1503"/>
      <c r="M8" s="1503"/>
      <c r="N8" s="1504"/>
      <c r="O8" s="1486"/>
      <c r="P8" s="1505"/>
      <c r="Q8" s="1466"/>
    </row>
    <row r="9" spans="1:17">
      <c r="A9" s="1489" t="s">
        <v>180</v>
      </c>
      <c r="B9" s="1497">
        <f>195272+119565+111251+124577+111240+113765+121727+107555+127919+124121+129654</f>
        <v>1386646</v>
      </c>
      <c r="C9" s="1498">
        <v>108077</v>
      </c>
      <c r="D9" s="1499">
        <f>129474</f>
        <v>129474</v>
      </c>
      <c r="E9" s="1500">
        <f t="shared" si="2"/>
        <v>129474</v>
      </c>
      <c r="F9" s="1501">
        <v>44080</v>
      </c>
      <c r="G9" s="1501">
        <v>45078</v>
      </c>
      <c r="H9" s="1501">
        <v>19313</v>
      </c>
      <c r="I9" s="1501">
        <v>21003</v>
      </c>
      <c r="J9" s="1506">
        <v>0</v>
      </c>
      <c r="K9" s="1494"/>
      <c r="L9" s="1494"/>
      <c r="M9" s="1494"/>
      <c r="N9" s="1495"/>
      <c r="O9" s="1486">
        <f t="shared" si="1"/>
        <v>1.1979792185201292</v>
      </c>
      <c r="P9" s="1507"/>
      <c r="Q9" s="1508"/>
    </row>
    <row r="10" spans="1:17">
      <c r="A10" s="1509" t="s">
        <v>181</v>
      </c>
      <c r="B10" s="1510">
        <f>194433+49476</f>
        <v>243909</v>
      </c>
      <c r="C10" s="1511">
        <v>0</v>
      </c>
      <c r="D10" s="1512">
        <f>55403</f>
        <v>55403</v>
      </c>
      <c r="E10" s="1513">
        <f t="shared" si="2"/>
        <v>55403</v>
      </c>
      <c r="F10" s="1514">
        <v>34684</v>
      </c>
      <c r="G10" s="1514">
        <v>20719</v>
      </c>
      <c r="H10" s="1515">
        <v>0</v>
      </c>
      <c r="I10" s="1515">
        <v>0</v>
      </c>
      <c r="J10" s="1514">
        <v>0</v>
      </c>
      <c r="K10" s="1516">
        <v>11815</v>
      </c>
      <c r="L10" s="1516">
        <f>12294+20547</f>
        <v>32841</v>
      </c>
      <c r="M10" s="1516">
        <v>545</v>
      </c>
      <c r="N10" s="1517">
        <v>626</v>
      </c>
      <c r="O10" s="1486"/>
      <c r="P10" s="1507"/>
      <c r="Q10" s="1508"/>
    </row>
    <row r="11" spans="1:17">
      <c r="A11" s="1489" t="s">
        <v>21</v>
      </c>
      <c r="B11" s="1498">
        <f>131015+78250+105874+111968+99207+123596+111773+110146+91651+118422+115294+111602</f>
        <v>1308798</v>
      </c>
      <c r="C11" s="1518">
        <f>131015</f>
        <v>131015</v>
      </c>
      <c r="D11" s="1519">
        <f>123477</f>
        <v>123477</v>
      </c>
      <c r="E11" s="1513">
        <f t="shared" si="2"/>
        <v>123477</v>
      </c>
      <c r="F11" s="1520">
        <v>63373</v>
      </c>
      <c r="G11" s="1520">
        <v>59302</v>
      </c>
      <c r="H11" s="1515">
        <v>0</v>
      </c>
      <c r="I11" s="1515">
        <v>0</v>
      </c>
      <c r="J11" s="1515">
        <v>802</v>
      </c>
      <c r="K11" s="1503">
        <v>16279</v>
      </c>
      <c r="L11" s="1503">
        <f>33526+4095</f>
        <v>37621</v>
      </c>
      <c r="M11" s="1517">
        <v>0</v>
      </c>
      <c r="N11" s="1495"/>
      <c r="O11" s="1486">
        <f t="shared" si="1"/>
        <v>0.94246460328969961</v>
      </c>
      <c r="P11" s="1505"/>
      <c r="Q11" s="1508"/>
    </row>
    <row r="12" spans="1:17">
      <c r="A12" s="1489" t="s">
        <v>22</v>
      </c>
      <c r="B12" s="1497"/>
      <c r="C12" s="1518"/>
      <c r="D12" s="1521"/>
      <c r="E12" s="1500">
        <f t="shared" si="2"/>
        <v>0</v>
      </c>
      <c r="F12" s="1501"/>
      <c r="G12" s="1501"/>
      <c r="H12" s="1501"/>
      <c r="I12" s="1501"/>
      <c r="J12" s="1502"/>
      <c r="K12" s="1503"/>
      <c r="L12" s="1503"/>
      <c r="M12" s="1503"/>
      <c r="N12" s="1504"/>
      <c r="O12" s="1486"/>
      <c r="P12" s="1507"/>
      <c r="Q12" s="1508"/>
    </row>
    <row r="13" spans="1:17">
      <c r="A13" s="1489" t="s">
        <v>182</v>
      </c>
      <c r="B13" s="1497">
        <f>74332+41587+36538+49878+32546+31277+34151+28168+37725+30539+35982</f>
        <v>432723</v>
      </c>
      <c r="C13" s="1518">
        <f>44552</f>
        <v>44552</v>
      </c>
      <c r="D13" s="1521">
        <f>36880</f>
        <v>36880</v>
      </c>
      <c r="E13" s="1500">
        <f t="shared" si="2"/>
        <v>36880</v>
      </c>
      <c r="F13" s="1501">
        <v>18863</v>
      </c>
      <c r="G13" s="1501">
        <v>17211</v>
      </c>
      <c r="H13" s="1501">
        <v>548</v>
      </c>
      <c r="I13" s="1501">
        <v>258</v>
      </c>
      <c r="J13" s="1515">
        <v>0</v>
      </c>
      <c r="K13" s="1503">
        <v>9624</v>
      </c>
      <c r="L13" s="1503">
        <f>341+9004+340+54</f>
        <v>9739</v>
      </c>
      <c r="M13" s="1517"/>
      <c r="N13" s="1517"/>
      <c r="O13" s="1486">
        <f t="shared" ref="O13:O25" si="3">+D13/C13</f>
        <v>0.82779673190878078</v>
      </c>
      <c r="P13" s="1505"/>
      <c r="Q13" s="1508"/>
    </row>
    <row r="14" spans="1:17">
      <c r="A14" s="1496" t="s">
        <v>183</v>
      </c>
      <c r="B14" s="1497"/>
      <c r="C14" s="1518"/>
      <c r="D14" s="1521">
        <v>52313</v>
      </c>
      <c r="E14" s="1500">
        <f t="shared" si="2"/>
        <v>0</v>
      </c>
      <c r="F14" s="1501"/>
      <c r="G14" s="1501"/>
      <c r="H14" s="1501"/>
      <c r="I14" s="1501"/>
      <c r="J14" s="1502"/>
      <c r="K14" s="1503"/>
      <c r="L14" s="1503"/>
      <c r="M14" s="1503"/>
      <c r="N14" s="1504"/>
      <c r="O14" s="1486"/>
      <c r="P14" s="1507"/>
      <c r="Q14" s="1508"/>
    </row>
    <row r="15" spans="1:17">
      <c r="A15" s="1522" t="s">
        <v>25</v>
      </c>
      <c r="B15" s="1497">
        <f>1255391+108887+133144</f>
        <v>1497422</v>
      </c>
      <c r="C15" s="1518">
        <f>137359</f>
        <v>137359</v>
      </c>
      <c r="D15" s="1499">
        <f>121167</f>
        <v>121167</v>
      </c>
      <c r="E15" s="1500">
        <f t="shared" si="2"/>
        <v>121167.4</v>
      </c>
      <c r="F15" s="1523">
        <v>56956</v>
      </c>
      <c r="G15" s="1523">
        <v>53402</v>
      </c>
      <c r="H15" s="1523">
        <v>5110.3999999999996</v>
      </c>
      <c r="I15" s="1523">
        <v>5699</v>
      </c>
      <c r="J15" s="1515">
        <v>0</v>
      </c>
      <c r="K15" s="1524">
        <v>31159</v>
      </c>
      <c r="L15" s="1524">
        <f>4441+11785+1205+1254</f>
        <v>18685</v>
      </c>
      <c r="M15" s="1524"/>
      <c r="N15" s="1525">
        <v>64211</v>
      </c>
      <c r="O15" s="1486">
        <f t="shared" si="3"/>
        <v>0.88211911851425828</v>
      </c>
      <c r="P15" s="1505"/>
      <c r="Q15" s="1508"/>
    </row>
    <row r="16" spans="1:17">
      <c r="A16" s="1489" t="s">
        <v>26</v>
      </c>
      <c r="B16" s="1497"/>
      <c r="C16" s="1518">
        <f>2935</f>
        <v>2935</v>
      </c>
      <c r="D16" s="1499"/>
      <c r="E16" s="1500"/>
      <c r="F16" s="1501"/>
      <c r="G16" s="1501"/>
      <c r="H16" s="1501"/>
      <c r="I16" s="1501"/>
      <c r="J16" s="1502"/>
      <c r="K16" s="1494"/>
      <c r="L16" s="1503"/>
      <c r="M16" s="1503"/>
      <c r="N16" s="1504"/>
      <c r="O16" s="1486"/>
      <c r="P16" s="1526"/>
      <c r="Q16" s="1508"/>
    </row>
    <row r="17" spans="1:17">
      <c r="A17" s="1489" t="s">
        <v>27</v>
      </c>
      <c r="B17" s="1497"/>
      <c r="C17" s="1518"/>
      <c r="D17" s="1499"/>
      <c r="E17" s="1500"/>
      <c r="F17" s="1501"/>
      <c r="G17" s="1501"/>
      <c r="H17" s="1501"/>
      <c r="I17" s="1501"/>
      <c r="J17" s="1502"/>
      <c r="K17" s="1494"/>
      <c r="L17" s="1494"/>
      <c r="M17" s="1503"/>
      <c r="N17" s="1504"/>
      <c r="O17" s="1486"/>
      <c r="P17" s="1526"/>
      <c r="Q17" s="1508"/>
    </row>
    <row r="18" spans="1:17" ht="15" thickBot="1">
      <c r="A18" s="1527" t="s">
        <v>28</v>
      </c>
      <c r="B18" s="1528">
        <f>19907+16036+17100+18000+13965+16816+21546+15500+19650+16189+17500</f>
        <v>192209</v>
      </c>
      <c r="C18" s="1529">
        <f>11949</f>
        <v>11949</v>
      </c>
      <c r="D18" s="1530">
        <f>23800</f>
        <v>23800</v>
      </c>
      <c r="E18" s="1531">
        <v>23800</v>
      </c>
      <c r="F18" s="1532"/>
      <c r="G18" s="1532"/>
      <c r="H18" s="1532"/>
      <c r="I18" s="1532"/>
      <c r="J18" s="1532"/>
      <c r="K18" s="1533"/>
      <c r="L18" s="1533"/>
      <c r="M18" s="1533"/>
      <c r="N18" s="1534"/>
      <c r="O18" s="1535">
        <f t="shared" si="3"/>
        <v>1.9917984768599883</v>
      </c>
      <c r="P18" s="1536"/>
      <c r="Q18" s="1537"/>
    </row>
    <row r="19" spans="1:17" ht="15.6">
      <c r="A19" s="1538" t="s">
        <v>29</v>
      </c>
      <c r="B19" s="1539">
        <v>685261</v>
      </c>
      <c r="C19" s="1540">
        <v>45442</v>
      </c>
      <c r="D19" s="1541">
        <f>56615</f>
        <v>56615</v>
      </c>
      <c r="E19" s="1542">
        <v>56615</v>
      </c>
      <c r="F19" s="1543"/>
      <c r="G19" s="1543"/>
      <c r="H19" s="1543"/>
      <c r="I19" s="1543"/>
      <c r="J19" s="1543"/>
      <c r="K19" s="1543"/>
      <c r="L19" s="1543"/>
      <c r="M19" s="1543"/>
      <c r="N19" s="1544"/>
      <c r="O19" s="1545">
        <f t="shared" si="3"/>
        <v>1.2458738611856872</v>
      </c>
      <c r="P19" s="1546"/>
      <c r="Q19" s="1546"/>
    </row>
    <row r="20" spans="1:17" ht="15.6">
      <c r="A20" s="1456" t="s">
        <v>30</v>
      </c>
      <c r="B20" s="1547">
        <v>250606</v>
      </c>
      <c r="C20" s="1548">
        <v>23561</v>
      </c>
      <c r="D20" s="1541">
        <f>22696</f>
        <v>22696</v>
      </c>
      <c r="E20" s="1549">
        <v>22696</v>
      </c>
      <c r="F20" s="1494"/>
      <c r="G20" s="1494"/>
      <c r="H20" s="1494"/>
      <c r="I20" s="1494"/>
      <c r="J20" s="1494"/>
      <c r="K20" s="1494"/>
      <c r="L20" s="1494"/>
      <c r="M20" s="1494"/>
      <c r="N20" s="1495"/>
      <c r="O20" s="1486">
        <f t="shared" si="3"/>
        <v>0.96328678748779761</v>
      </c>
      <c r="P20" s="1550"/>
      <c r="Q20" s="1468"/>
    </row>
    <row r="21" spans="1:17" ht="15.6">
      <c r="A21" s="1456" t="s">
        <v>31</v>
      </c>
      <c r="B21" s="1547">
        <v>66447</v>
      </c>
      <c r="C21" s="1548">
        <v>5832</v>
      </c>
      <c r="D21" s="1541">
        <f>5222</f>
        <v>5222</v>
      </c>
      <c r="E21" s="1549">
        <v>5222</v>
      </c>
      <c r="F21" s="1494"/>
      <c r="G21" s="1494"/>
      <c r="H21" s="1494"/>
      <c r="I21" s="1494"/>
      <c r="J21" s="1494"/>
      <c r="K21" s="1494"/>
      <c r="L21" s="1494"/>
      <c r="M21" s="1494"/>
      <c r="N21" s="1495"/>
      <c r="O21" s="1486">
        <f t="shared" si="3"/>
        <v>0.89540466392318241</v>
      </c>
      <c r="P21" s="1551"/>
      <c r="Q21" s="1466"/>
    </row>
    <row r="22" spans="1:17" ht="15.6">
      <c r="A22" s="1456" t="s">
        <v>32</v>
      </c>
      <c r="B22" s="1547">
        <v>450014</v>
      </c>
      <c r="C22" s="1548">
        <v>41080</v>
      </c>
      <c r="D22" s="1541">
        <f>31008</f>
        <v>31008</v>
      </c>
      <c r="E22" s="1549">
        <v>31008</v>
      </c>
      <c r="F22" s="1494"/>
      <c r="G22" s="1494"/>
      <c r="H22" s="1494"/>
      <c r="I22" s="1494"/>
      <c r="J22" s="1494"/>
      <c r="K22" s="1494"/>
      <c r="L22" s="1494"/>
      <c r="M22" s="1494"/>
      <c r="N22" s="1495"/>
      <c r="O22" s="1486">
        <f t="shared" si="3"/>
        <v>0.75481986368062315</v>
      </c>
      <c r="P22" s="1551"/>
      <c r="Q22" s="1466"/>
    </row>
    <row r="23" spans="1:17" ht="15.6">
      <c r="A23" s="1456" t="s">
        <v>33</v>
      </c>
      <c r="B23" s="1547">
        <v>144643</v>
      </c>
      <c r="C23" s="1548">
        <v>12445</v>
      </c>
      <c r="D23" s="1541">
        <f>13630</f>
        <v>13630</v>
      </c>
      <c r="E23" s="1549">
        <v>13630</v>
      </c>
      <c r="F23" s="1494"/>
      <c r="G23" s="1494"/>
      <c r="H23" s="1494"/>
      <c r="I23" s="1494"/>
      <c r="J23" s="1494"/>
      <c r="K23" s="1494"/>
      <c r="L23" s="1494"/>
      <c r="M23" s="1494"/>
      <c r="N23" s="1495"/>
      <c r="O23" s="1486">
        <f t="shared" si="3"/>
        <v>1.0952189634391323</v>
      </c>
      <c r="P23" s="1551"/>
      <c r="Q23" s="1466"/>
    </row>
    <row r="24" spans="1:17" ht="15.6">
      <c r="A24" s="1456" t="s">
        <v>34</v>
      </c>
      <c r="B24" s="1547">
        <v>418181</v>
      </c>
      <c r="C24" s="1548">
        <v>32478</v>
      </c>
      <c r="D24" s="1541">
        <f>52313</f>
        <v>52313</v>
      </c>
      <c r="E24" s="1549">
        <v>52313</v>
      </c>
      <c r="F24" s="1494"/>
      <c r="G24" s="1494"/>
      <c r="H24" s="1494"/>
      <c r="I24" s="1494"/>
      <c r="J24" s="1494"/>
      <c r="K24" s="1494"/>
      <c r="L24" s="1494"/>
      <c r="M24" s="1494"/>
      <c r="N24" s="1495"/>
      <c r="O24" s="1486">
        <f t="shared" si="3"/>
        <v>1.6107211035162263</v>
      </c>
      <c r="P24" s="1551"/>
      <c r="Q24" s="1466"/>
    </row>
    <row r="25" spans="1:17" ht="15.6">
      <c r="A25" s="1458" t="s">
        <v>35</v>
      </c>
      <c r="B25" s="1547">
        <v>154824</v>
      </c>
      <c r="C25" s="1548">
        <v>18288</v>
      </c>
      <c r="D25" s="1541">
        <f>11209</f>
        <v>11209</v>
      </c>
      <c r="E25" s="1549">
        <v>11209</v>
      </c>
      <c r="F25" s="1494"/>
      <c r="G25" s="1494"/>
      <c r="H25" s="1494"/>
      <c r="I25" s="1494"/>
      <c r="J25" s="1494"/>
      <c r="K25" s="1494"/>
      <c r="L25" s="1494"/>
      <c r="M25" s="1494"/>
      <c r="N25" s="1495"/>
      <c r="O25" s="1486">
        <f t="shared" si="3"/>
        <v>0.6129155730533683</v>
      </c>
      <c r="P25" s="1551"/>
      <c r="Q25" s="1466"/>
    </row>
    <row r="26" spans="1:17" ht="15.6">
      <c r="A26" s="1458" t="s">
        <v>184</v>
      </c>
      <c r="B26" s="1552">
        <v>820504</v>
      </c>
      <c r="C26" s="1553">
        <v>0</v>
      </c>
      <c r="D26" s="1554">
        <f>76783</f>
        <v>76783</v>
      </c>
      <c r="E26" s="1555">
        <v>76783</v>
      </c>
      <c r="F26" s="1494"/>
      <c r="G26" s="1494"/>
      <c r="H26" s="1494"/>
      <c r="I26" s="1494"/>
      <c r="J26" s="1494"/>
      <c r="K26" s="1494"/>
      <c r="L26" s="1494"/>
      <c r="M26" s="1494"/>
      <c r="N26" s="1495"/>
      <c r="O26" s="1486"/>
      <c r="P26" s="1551"/>
      <c r="Q26" s="1466"/>
    </row>
    <row r="27" spans="1:17" ht="15.6">
      <c r="A27" s="1556" t="s">
        <v>142</v>
      </c>
      <c r="B27" s="1557">
        <f>225080+20763+25013</f>
        <v>270856</v>
      </c>
      <c r="C27" s="1553">
        <f>21897</f>
        <v>21897</v>
      </c>
      <c r="D27" s="1558">
        <f>21847</f>
        <v>21847</v>
      </c>
      <c r="E27" s="1559">
        <f>SUM(F27:J27)</f>
        <v>21847</v>
      </c>
      <c r="F27" s="1560">
        <v>0</v>
      </c>
      <c r="G27" s="1560">
        <v>0</v>
      </c>
      <c r="H27" s="1561">
        <v>10132</v>
      </c>
      <c r="I27" s="1561">
        <v>11715</v>
      </c>
      <c r="J27" s="1562">
        <v>0</v>
      </c>
      <c r="K27" s="1563">
        <v>5711</v>
      </c>
      <c r="L27" s="1563">
        <f>16+1106</f>
        <v>1122</v>
      </c>
      <c r="M27" s="1564">
        <v>0</v>
      </c>
      <c r="N27" s="1565">
        <v>0</v>
      </c>
      <c r="O27" s="1486">
        <f t="shared" ref="O27:O31" si="4">+D27/C27</f>
        <v>0.99771658218020731</v>
      </c>
      <c r="P27" s="1551"/>
      <c r="Q27" s="1466"/>
    </row>
    <row r="28" spans="1:17">
      <c r="A28" s="1566"/>
      <c r="B28" s="1567"/>
      <c r="C28" s="1567"/>
      <c r="D28" s="1568"/>
      <c r="E28" s="1569"/>
      <c r="F28" s="1494"/>
      <c r="G28" s="1494"/>
      <c r="H28" s="1494"/>
      <c r="I28" s="1494"/>
      <c r="J28" s="1494"/>
      <c r="K28" s="1494"/>
      <c r="L28" s="1494"/>
      <c r="M28" s="1494"/>
      <c r="N28" s="1495"/>
      <c r="O28" s="1486"/>
      <c r="P28" s="1551"/>
      <c r="Q28" s="1466"/>
    </row>
    <row r="29" spans="1:17">
      <c r="A29" s="1447" t="s">
        <v>223</v>
      </c>
      <c r="B29" s="1570">
        <f t="shared" ref="B29:N29" si="5">SUM(B30:B31)</f>
        <v>115478</v>
      </c>
      <c r="C29" s="1570">
        <f t="shared" si="5"/>
        <v>3848</v>
      </c>
      <c r="D29" s="1570">
        <f t="shared" si="5"/>
        <v>11699</v>
      </c>
      <c r="E29" s="1570">
        <f t="shared" si="5"/>
        <v>11699</v>
      </c>
      <c r="F29" s="1570">
        <f t="shared" si="5"/>
        <v>0</v>
      </c>
      <c r="G29" s="1570">
        <f t="shared" si="5"/>
        <v>0</v>
      </c>
      <c r="H29" s="1570">
        <f t="shared" si="5"/>
        <v>5859</v>
      </c>
      <c r="I29" s="1570">
        <f t="shared" si="5"/>
        <v>5840</v>
      </c>
      <c r="J29" s="1570">
        <f t="shared" si="5"/>
        <v>0</v>
      </c>
      <c r="K29" s="1570">
        <f t="shared" si="5"/>
        <v>5729</v>
      </c>
      <c r="L29" s="1570">
        <f t="shared" si="5"/>
        <v>3474</v>
      </c>
      <c r="M29" s="1570">
        <f t="shared" si="5"/>
        <v>0</v>
      </c>
      <c r="N29" s="1570">
        <f t="shared" si="5"/>
        <v>7369</v>
      </c>
      <c r="O29" s="1486">
        <f t="shared" si="4"/>
        <v>3.0402806652806653</v>
      </c>
      <c r="P29" s="1571"/>
      <c r="Q29" s="1488"/>
    </row>
    <row r="30" spans="1:17">
      <c r="A30" s="1489" t="s">
        <v>186</v>
      </c>
      <c r="B30" s="1572">
        <f>51295+3304</f>
        <v>54599</v>
      </c>
      <c r="C30" s="1573">
        <f>3848</f>
        <v>3848</v>
      </c>
      <c r="D30" s="1574">
        <f>4330</f>
        <v>4330</v>
      </c>
      <c r="E30" s="1500">
        <f>SUM(F30:J30)</f>
        <v>4330</v>
      </c>
      <c r="F30" s="1575">
        <v>0</v>
      </c>
      <c r="G30" s="1575">
        <v>0</v>
      </c>
      <c r="H30" s="1576">
        <v>1794</v>
      </c>
      <c r="I30" s="1576">
        <v>2536</v>
      </c>
      <c r="J30" s="1575">
        <v>0</v>
      </c>
      <c r="K30" s="1503">
        <v>2030</v>
      </c>
      <c r="L30" s="1503">
        <f>752+125</f>
        <v>877</v>
      </c>
      <c r="M30" s="1517">
        <v>0</v>
      </c>
      <c r="N30" s="1517">
        <v>0</v>
      </c>
      <c r="O30" s="1486">
        <f t="shared" si="4"/>
        <v>1.1252598752598753</v>
      </c>
      <c r="P30" s="1577"/>
      <c r="Q30" s="1466"/>
    </row>
    <row r="31" spans="1:17">
      <c r="A31" s="1489" t="s">
        <v>149</v>
      </c>
      <c r="B31" s="1572">
        <f>47524+6447+6908</f>
        <v>60879</v>
      </c>
      <c r="C31" s="1578">
        <v>0</v>
      </c>
      <c r="D31" s="1574">
        <f>7369</f>
        <v>7369</v>
      </c>
      <c r="E31" s="1513">
        <f>SUM(F31:J31)</f>
        <v>7369</v>
      </c>
      <c r="F31" s="1575">
        <v>0</v>
      </c>
      <c r="G31" s="1575">
        <v>0</v>
      </c>
      <c r="H31" s="1576">
        <v>4065</v>
      </c>
      <c r="I31" s="1576">
        <v>3304</v>
      </c>
      <c r="J31" s="1575">
        <v>0</v>
      </c>
      <c r="K31" s="1503">
        <v>3699</v>
      </c>
      <c r="L31" s="1503">
        <f>2581+16</f>
        <v>2597</v>
      </c>
      <c r="M31" s="1494">
        <v>0</v>
      </c>
      <c r="N31" s="1504">
        <v>7369</v>
      </c>
      <c r="O31" s="1486" t="e">
        <f t="shared" si="4"/>
        <v>#DIV/0!</v>
      </c>
      <c r="P31" s="1577"/>
      <c r="Q31" s="1466"/>
    </row>
    <row r="32" spans="1:17">
      <c r="A32" s="1489"/>
      <c r="B32" s="1572"/>
      <c r="C32" s="1578"/>
      <c r="D32" s="1574"/>
      <c r="E32" s="1513"/>
      <c r="F32" s="1575"/>
      <c r="G32" s="1575"/>
      <c r="H32" s="1576"/>
      <c r="I32" s="1576"/>
      <c r="J32" s="1575"/>
      <c r="K32" s="1503"/>
      <c r="L32" s="1503"/>
      <c r="M32" s="1494"/>
      <c r="N32" s="1504"/>
      <c r="O32" s="1486"/>
      <c r="P32" s="1577"/>
      <c r="Q32" s="1466"/>
    </row>
    <row r="33" spans="1:17">
      <c r="A33" s="1447" t="s">
        <v>224</v>
      </c>
      <c r="B33" s="1579">
        <f t="shared" ref="B33:N33" si="6">SUM(B34:B36)</f>
        <v>1031853</v>
      </c>
      <c r="C33" s="1579">
        <f t="shared" si="6"/>
        <v>89093</v>
      </c>
      <c r="D33" s="1579">
        <f t="shared" si="6"/>
        <v>108268</v>
      </c>
      <c r="E33" s="1579">
        <f t="shared" si="6"/>
        <v>108268</v>
      </c>
      <c r="F33" s="1579">
        <f t="shared" si="6"/>
        <v>44316</v>
      </c>
      <c r="G33" s="1579">
        <f t="shared" si="6"/>
        <v>46859</v>
      </c>
      <c r="H33" s="1579">
        <f t="shared" si="6"/>
        <v>10497</v>
      </c>
      <c r="I33" s="1579">
        <f t="shared" si="6"/>
        <v>6596</v>
      </c>
      <c r="J33" s="1579">
        <f t="shared" si="6"/>
        <v>0</v>
      </c>
      <c r="K33" s="1579">
        <f t="shared" si="6"/>
        <v>18772</v>
      </c>
      <c r="L33" s="1579">
        <f t="shared" si="6"/>
        <v>23109</v>
      </c>
      <c r="M33" s="1579">
        <f t="shared" si="6"/>
        <v>0</v>
      </c>
      <c r="N33" s="1579">
        <f t="shared" si="6"/>
        <v>0</v>
      </c>
      <c r="O33" s="1486">
        <f>+D33/C33</f>
        <v>1.2152245406485358</v>
      </c>
      <c r="P33" s="1577"/>
      <c r="Q33" s="1466"/>
    </row>
    <row r="34" spans="1:17">
      <c r="A34" s="1580" t="s">
        <v>188</v>
      </c>
      <c r="B34" s="1572">
        <f>122864+65834+68474+77377+68757+73572+78703+65592+72568+68867+84388</f>
        <v>846996</v>
      </c>
      <c r="C34" s="1573">
        <f>68444</f>
        <v>68444</v>
      </c>
      <c r="D34" s="1581">
        <f>85261</f>
        <v>85261</v>
      </c>
      <c r="E34" s="1500">
        <f t="shared" ref="E34:E35" si="7">SUM(F34:J34)</f>
        <v>85261</v>
      </c>
      <c r="F34" s="1582">
        <v>36209</v>
      </c>
      <c r="G34" s="1582">
        <v>34568</v>
      </c>
      <c r="H34" s="1582">
        <v>8007</v>
      </c>
      <c r="I34" s="1582">
        <v>6477</v>
      </c>
      <c r="J34" s="1575">
        <v>0</v>
      </c>
      <c r="K34" s="1494">
        <v>16657</v>
      </c>
      <c r="L34" s="1494">
        <f>2323+4633+2540+4945</f>
        <v>14441</v>
      </c>
      <c r="M34" s="1494"/>
      <c r="N34" s="1495"/>
      <c r="O34" s="1486">
        <f>+D34/C34</f>
        <v>1.2457045175618024</v>
      </c>
      <c r="P34" s="1466"/>
      <c r="Q34" s="1466"/>
    </row>
    <row r="35" spans="1:17">
      <c r="A35" s="1580" t="s">
        <v>189</v>
      </c>
      <c r="B35" s="1583">
        <f>35860+15843+15535+12262+10916+12135+12744+11821+20642+15465+21634</f>
        <v>184857</v>
      </c>
      <c r="C35" s="1584">
        <f>20649</f>
        <v>20649</v>
      </c>
      <c r="D35" s="1585">
        <f>23007</f>
        <v>23007</v>
      </c>
      <c r="E35" s="1500">
        <f t="shared" si="7"/>
        <v>23007</v>
      </c>
      <c r="F35" s="1586">
        <v>8107</v>
      </c>
      <c r="G35" s="1582">
        <v>12291</v>
      </c>
      <c r="H35" s="1582">
        <v>2490</v>
      </c>
      <c r="I35" s="1582">
        <v>119</v>
      </c>
      <c r="J35" s="1575">
        <v>0</v>
      </c>
      <c r="K35" s="1494">
        <v>2115</v>
      </c>
      <c r="L35" s="1494">
        <f>6153+34+2401+80</f>
        <v>8668</v>
      </c>
      <c r="M35" s="1517">
        <v>0</v>
      </c>
      <c r="N35" s="1517">
        <v>0</v>
      </c>
      <c r="O35" s="1486">
        <f>+D35/C35</f>
        <v>1.1141943919802413</v>
      </c>
      <c r="P35" s="1466"/>
      <c r="Q35" s="1466"/>
    </row>
    <row r="36" spans="1:17">
      <c r="A36" s="1580" t="s">
        <v>215</v>
      </c>
      <c r="B36" s="1490">
        <v>0</v>
      </c>
      <c r="C36" s="1518">
        <v>0</v>
      </c>
      <c r="D36" s="1492">
        <v>0</v>
      </c>
      <c r="E36" s="1493">
        <v>0</v>
      </c>
      <c r="F36" s="1587"/>
      <c r="G36" s="1587"/>
      <c r="H36" s="1587"/>
      <c r="I36" s="1587"/>
      <c r="J36" s="1588"/>
      <c r="K36" s="1503"/>
      <c r="L36" s="1503"/>
      <c r="M36" s="1503"/>
      <c r="N36" s="1504"/>
      <c r="O36" s="1486" t="e">
        <f>+D36/C36</f>
        <v>#DIV/0!</v>
      </c>
      <c r="P36" s="1466"/>
      <c r="Q36" s="1466"/>
    </row>
    <row r="37" spans="1:17">
      <c r="A37" s="1589"/>
      <c r="B37" s="1590"/>
      <c r="C37" s="1518"/>
      <c r="D37" s="1591"/>
      <c r="E37" s="1592"/>
      <c r="F37" s="1593"/>
      <c r="G37" s="1593"/>
      <c r="H37" s="1593"/>
      <c r="I37" s="1593"/>
      <c r="J37" s="1593"/>
      <c r="K37" s="1594"/>
      <c r="L37" s="1594"/>
      <c r="M37" s="1594"/>
      <c r="N37" s="1595"/>
      <c r="O37" s="1486"/>
      <c r="P37" s="1466"/>
      <c r="Q37" s="1466"/>
    </row>
    <row r="38" spans="1:17" ht="28.2">
      <c r="A38" s="1596" t="s">
        <v>225</v>
      </c>
      <c r="B38" s="1485">
        <f>SUM(B39:B50)</f>
        <v>9947095</v>
      </c>
      <c r="C38" s="1485">
        <f t="shared" ref="C38:N38" si="8">SUM(C39:C50)</f>
        <v>759590</v>
      </c>
      <c r="D38" s="1485">
        <f t="shared" si="8"/>
        <v>935309</v>
      </c>
      <c r="E38" s="1485">
        <f t="shared" si="8"/>
        <v>935309</v>
      </c>
      <c r="F38" s="1485">
        <f t="shared" si="8"/>
        <v>376375</v>
      </c>
      <c r="G38" s="1485">
        <f t="shared" si="8"/>
        <v>291826</v>
      </c>
      <c r="H38" s="1485">
        <f t="shared" si="8"/>
        <v>86499</v>
      </c>
      <c r="I38" s="1485">
        <f t="shared" si="8"/>
        <v>178416</v>
      </c>
      <c r="J38" s="1485">
        <f t="shared" si="8"/>
        <v>2193</v>
      </c>
      <c r="K38" s="1485">
        <f t="shared" si="8"/>
        <v>223245</v>
      </c>
      <c r="L38" s="1485">
        <f t="shared" si="8"/>
        <v>117828</v>
      </c>
      <c r="M38" s="1485">
        <f t="shared" si="8"/>
        <v>704</v>
      </c>
      <c r="N38" s="1485">
        <f t="shared" si="8"/>
        <v>71697</v>
      </c>
      <c r="O38" s="1486">
        <f t="shared" ref="O38:O40" si="9">+D38/C38</f>
        <v>1.2313340091365079</v>
      </c>
      <c r="P38" s="1488"/>
      <c r="Q38" s="1488"/>
    </row>
    <row r="39" spans="1:17">
      <c r="A39" s="1489" t="s">
        <v>191</v>
      </c>
      <c r="B39" s="1497">
        <f>141659+76024+81669+80656+83401+82771+90144+86739+86664+97258+14937</f>
        <v>921922</v>
      </c>
      <c r="C39" s="1518">
        <f>79188</f>
        <v>79188</v>
      </c>
      <c r="D39" s="1499">
        <f>95005</f>
        <v>95005</v>
      </c>
      <c r="E39" s="1500">
        <f t="shared" ref="E39:E50" si="10">SUM(F39:J39)</f>
        <v>95005</v>
      </c>
      <c r="F39" s="1575">
        <v>0</v>
      </c>
      <c r="G39" s="1575">
        <v>0</v>
      </c>
      <c r="H39" s="1501">
        <v>26489</v>
      </c>
      <c r="I39" s="1501">
        <v>68516</v>
      </c>
      <c r="J39" s="1575">
        <v>0</v>
      </c>
      <c r="K39" s="1597">
        <v>1943</v>
      </c>
      <c r="L39" s="1597">
        <f>21099+10</f>
        <v>21109</v>
      </c>
      <c r="M39" s="1517"/>
      <c r="N39" s="1495"/>
      <c r="O39" s="1486">
        <f t="shared" si="9"/>
        <v>1.1997398595746831</v>
      </c>
      <c r="P39" s="1466"/>
      <c r="Q39" s="1466"/>
    </row>
    <row r="40" spans="1:17">
      <c r="A40" s="1489" t="s">
        <v>44</v>
      </c>
      <c r="B40" s="1498">
        <f>104618+64282+60352+64355+61155+69820+67741+61649+65796+65459+67411</f>
        <v>752638</v>
      </c>
      <c r="C40" s="1518">
        <f>59800</f>
        <v>59800</v>
      </c>
      <c r="D40" s="1598">
        <f>66996</f>
        <v>66996</v>
      </c>
      <c r="E40" s="1500">
        <f t="shared" si="10"/>
        <v>66996</v>
      </c>
      <c r="F40" s="1575">
        <v>0</v>
      </c>
      <c r="G40" s="1575">
        <v>0</v>
      </c>
      <c r="H40" s="1599">
        <v>8059</v>
      </c>
      <c r="I40" s="1599">
        <v>58937</v>
      </c>
      <c r="J40" s="1575">
        <v>0</v>
      </c>
      <c r="K40" s="1503">
        <v>1900</v>
      </c>
      <c r="L40" s="1600">
        <f>7680+4</f>
        <v>7684</v>
      </c>
      <c r="M40" s="1517"/>
      <c r="N40" s="1601">
        <v>66996</v>
      </c>
      <c r="O40" s="1486">
        <f t="shared" si="9"/>
        <v>1.1203344481605351</v>
      </c>
      <c r="P40" s="1466"/>
      <c r="Q40" s="1466"/>
    </row>
    <row r="41" spans="1:17">
      <c r="A41" s="1489" t="s">
        <v>128</v>
      </c>
      <c r="B41" s="1498">
        <f>169980+39843+31052+30774</f>
        <v>271649</v>
      </c>
      <c r="C41" s="1602">
        <v>0</v>
      </c>
      <c r="D41" s="1598">
        <f>50797</f>
        <v>50797</v>
      </c>
      <c r="E41" s="1500">
        <f t="shared" si="10"/>
        <v>50797</v>
      </c>
      <c r="F41" s="1599">
        <v>35925</v>
      </c>
      <c r="G41" s="1599">
        <v>14872</v>
      </c>
      <c r="H41" s="1575">
        <v>0</v>
      </c>
      <c r="I41" s="1575">
        <v>0</v>
      </c>
      <c r="J41" s="1575">
        <v>0</v>
      </c>
      <c r="K41" s="1603">
        <v>14707</v>
      </c>
      <c r="L41" s="1494"/>
      <c r="M41" s="1517"/>
      <c r="N41" s="1495"/>
      <c r="O41" s="1486"/>
      <c r="P41" s="1604"/>
      <c r="Q41" s="1466"/>
    </row>
    <row r="42" spans="1:17">
      <c r="A42" s="1580" t="s">
        <v>192</v>
      </c>
      <c r="B42" s="1583">
        <f>35539+25020+25012+26281+22284+23157+20948+19597+31370+25185+26111</f>
        <v>280504</v>
      </c>
      <c r="C42" s="1602">
        <f>21093</f>
        <v>21093</v>
      </c>
      <c r="D42" s="1585">
        <f>28107</f>
        <v>28107</v>
      </c>
      <c r="E42" s="1500">
        <f t="shared" si="10"/>
        <v>28107</v>
      </c>
      <c r="F42" s="1575">
        <v>0</v>
      </c>
      <c r="G42" s="1575">
        <v>12</v>
      </c>
      <c r="H42" s="1501">
        <v>13717</v>
      </c>
      <c r="I42" s="1501">
        <v>14378</v>
      </c>
      <c r="J42" s="1575">
        <v>0</v>
      </c>
      <c r="K42" s="1605">
        <v>6839</v>
      </c>
      <c r="L42" s="1503">
        <f>4226+4781</f>
        <v>9007</v>
      </c>
      <c r="M42" s="1503">
        <v>334</v>
      </c>
      <c r="N42" s="1495"/>
      <c r="O42" s="1486">
        <f t="shared" ref="O42:O46" si="11">+D42/C42</f>
        <v>1.3325273787512444</v>
      </c>
      <c r="P42" s="1466"/>
      <c r="Q42" s="1466"/>
    </row>
    <row r="43" spans="1:17">
      <c r="A43" s="1580" t="s">
        <v>193</v>
      </c>
      <c r="B43" s="1606">
        <f>42541+28883+28001+23533+23137+31624+30682+26896+34161+37632+33122</f>
        <v>340212</v>
      </c>
      <c r="C43" s="1607">
        <f>23167</f>
        <v>23167</v>
      </c>
      <c r="D43" s="1608">
        <f>37371</f>
        <v>37371</v>
      </c>
      <c r="E43" s="1500">
        <f t="shared" si="10"/>
        <v>37371</v>
      </c>
      <c r="F43" s="1575">
        <v>0</v>
      </c>
      <c r="G43" s="1575">
        <v>0</v>
      </c>
      <c r="H43" s="1609">
        <v>19255</v>
      </c>
      <c r="I43" s="1609">
        <v>18116</v>
      </c>
      <c r="J43" s="1575">
        <v>0</v>
      </c>
      <c r="K43" s="1503">
        <v>12059</v>
      </c>
      <c r="L43" s="1503">
        <f>2037+1048</f>
        <v>3085</v>
      </c>
      <c r="M43" s="1503">
        <v>370</v>
      </c>
      <c r="N43" s="1517">
        <v>0</v>
      </c>
      <c r="O43" s="1486">
        <f t="shared" si="11"/>
        <v>1.6131134803815772</v>
      </c>
      <c r="P43" s="1466"/>
      <c r="Q43" s="1466"/>
    </row>
    <row r="44" spans="1:17">
      <c r="A44" s="1580" t="s">
        <v>194</v>
      </c>
      <c r="B44" s="1610">
        <f>265227+22270+28401</f>
        <v>315898</v>
      </c>
      <c r="C44" s="1607">
        <v>16861</v>
      </c>
      <c r="D44" s="1611">
        <f>25361</f>
        <v>25361</v>
      </c>
      <c r="E44" s="1500">
        <f t="shared" si="10"/>
        <v>25361</v>
      </c>
      <c r="F44" s="1501">
        <v>10020</v>
      </c>
      <c r="G44" s="1501">
        <v>15293</v>
      </c>
      <c r="H44" s="1575">
        <v>0</v>
      </c>
      <c r="I44" s="1575">
        <v>0</v>
      </c>
      <c r="J44" s="1501">
        <v>48</v>
      </c>
      <c r="K44" s="1503">
        <v>7987</v>
      </c>
      <c r="L44" s="1503">
        <f>1453+3725</f>
        <v>5178</v>
      </c>
      <c r="M44" s="1517">
        <v>0</v>
      </c>
      <c r="N44" s="1504">
        <v>11</v>
      </c>
      <c r="O44" s="1486">
        <f t="shared" si="11"/>
        <v>1.5041219382005813</v>
      </c>
      <c r="P44" s="1466"/>
      <c r="Q44" s="1466"/>
    </row>
    <row r="45" spans="1:17">
      <c r="A45" s="1580" t="s">
        <v>195</v>
      </c>
      <c r="B45" s="1606">
        <f>890002+542749+505450+501865+511958+508971+512557+491530+514214+487223+539325</f>
        <v>6005844</v>
      </c>
      <c r="C45" s="1607">
        <f>470369</f>
        <v>470369</v>
      </c>
      <c r="D45" s="1608">
        <f>521467</f>
        <v>521467</v>
      </c>
      <c r="E45" s="1500">
        <f t="shared" si="10"/>
        <v>521467</v>
      </c>
      <c r="F45" s="1501">
        <v>294239</v>
      </c>
      <c r="G45" s="1501">
        <v>227228</v>
      </c>
      <c r="H45" s="1575">
        <v>0</v>
      </c>
      <c r="I45" s="1575">
        <v>0</v>
      </c>
      <c r="J45" s="1575">
        <v>0</v>
      </c>
      <c r="K45" s="1494">
        <v>153593</v>
      </c>
      <c r="L45" s="1494">
        <f>28852+23120</f>
        <v>51972</v>
      </c>
      <c r="M45" s="1517">
        <v>0</v>
      </c>
      <c r="N45" s="1517">
        <v>0</v>
      </c>
      <c r="O45" s="1486">
        <f t="shared" si="11"/>
        <v>1.1086338597994341</v>
      </c>
      <c r="P45" s="1466"/>
      <c r="Q45" s="1466"/>
    </row>
    <row r="46" spans="1:17">
      <c r="A46" s="1580" t="s">
        <v>49</v>
      </c>
      <c r="B46" s="1612">
        <f>400483+31413+46888</f>
        <v>478784</v>
      </c>
      <c r="C46" s="1607">
        <f>41135</f>
        <v>41135</v>
      </c>
      <c r="D46" s="1613">
        <f>40143</f>
        <v>40143</v>
      </c>
      <c r="E46" s="1500">
        <f t="shared" si="10"/>
        <v>40143</v>
      </c>
      <c r="F46" s="1614">
        <v>1447</v>
      </c>
      <c r="G46" s="1614">
        <v>2666</v>
      </c>
      <c r="H46" s="1614">
        <v>18290</v>
      </c>
      <c r="I46" s="1614">
        <v>17740</v>
      </c>
      <c r="J46" s="1575">
        <v>0</v>
      </c>
      <c r="K46" s="1600">
        <v>9133</v>
      </c>
      <c r="L46" s="1600">
        <f>161+2526+2024</f>
        <v>4711</v>
      </c>
      <c r="M46" s="1517">
        <v>0</v>
      </c>
      <c r="N46" s="1495"/>
      <c r="O46" s="1486">
        <f t="shared" si="11"/>
        <v>0.97588428345691014</v>
      </c>
      <c r="P46" s="1466"/>
      <c r="Q46" s="1466"/>
    </row>
    <row r="47" spans="1:17">
      <c r="A47" s="1580" t="s">
        <v>50</v>
      </c>
      <c r="B47" s="1578"/>
      <c r="C47" s="1573"/>
      <c r="D47" s="1615"/>
      <c r="E47" s="1500">
        <f t="shared" si="10"/>
        <v>0</v>
      </c>
      <c r="F47" s="1616"/>
      <c r="G47" s="1616"/>
      <c r="H47" s="1616"/>
      <c r="I47" s="1616"/>
      <c r="J47" s="1616"/>
      <c r="K47" s="1600"/>
      <c r="L47" s="1600"/>
      <c r="M47" s="1600"/>
      <c r="N47" s="1601"/>
      <c r="O47" s="1486"/>
      <c r="P47" s="1604"/>
      <c r="Q47" s="1466"/>
    </row>
    <row r="48" spans="1:17">
      <c r="A48" s="1580" t="s">
        <v>51</v>
      </c>
      <c r="B48" s="1617">
        <f>2723+257+332</f>
        <v>3312</v>
      </c>
      <c r="C48" s="1618">
        <f>353</f>
        <v>353</v>
      </c>
      <c r="D48" s="1619">
        <f>354</f>
        <v>354</v>
      </c>
      <c r="E48" s="1500">
        <f t="shared" si="10"/>
        <v>354</v>
      </c>
      <c r="F48" s="1616">
        <v>146</v>
      </c>
      <c r="G48" s="1616">
        <v>208</v>
      </c>
      <c r="H48" s="1575">
        <v>0</v>
      </c>
      <c r="I48" s="1575">
        <v>0</v>
      </c>
      <c r="J48" s="1575">
        <v>0</v>
      </c>
      <c r="K48" s="1600">
        <v>354</v>
      </c>
      <c r="L48" s="1600">
        <f>146</f>
        <v>146</v>
      </c>
      <c r="M48" s="1517">
        <v>0</v>
      </c>
      <c r="N48" s="1495"/>
      <c r="O48" s="1486">
        <f t="shared" ref="O48:O50" si="12">+D48/C48</f>
        <v>1.0028328611898016</v>
      </c>
      <c r="P48" s="1466"/>
      <c r="Q48" s="1466"/>
    </row>
    <row r="49" spans="1:17" ht="15" thickBot="1">
      <c r="A49" s="1620" t="s">
        <v>196</v>
      </c>
      <c r="B49" s="1621">
        <f>11927+1325+3997</f>
        <v>17249</v>
      </c>
      <c r="C49" s="1622">
        <f>1126</f>
        <v>1126</v>
      </c>
      <c r="D49" s="1623">
        <f>1216</f>
        <v>1216</v>
      </c>
      <c r="E49" s="1531">
        <f t="shared" si="10"/>
        <v>1216</v>
      </c>
      <c r="F49" s="1624">
        <v>92</v>
      </c>
      <c r="G49" s="1624">
        <v>1124</v>
      </c>
      <c r="H49" s="1625">
        <v>0</v>
      </c>
      <c r="I49" s="1625">
        <v>0</v>
      </c>
      <c r="J49" s="1625">
        <v>0</v>
      </c>
      <c r="K49" s="1626">
        <v>226</v>
      </c>
      <c r="L49" s="1627">
        <f>5+24</f>
        <v>29</v>
      </c>
      <c r="M49" s="1628">
        <v>0</v>
      </c>
      <c r="N49" s="1629">
        <v>1216</v>
      </c>
      <c r="O49" s="1486">
        <f t="shared" si="12"/>
        <v>1.0799289520426287</v>
      </c>
      <c r="P49" s="1466"/>
      <c r="Q49" s="1466"/>
    </row>
    <row r="50" spans="1:17">
      <c r="A50" s="1630" t="s">
        <v>197</v>
      </c>
      <c r="B50" s="1631">
        <f>46498+25145+53554+45477+47222+51070+47167+41808+32662+49246+57773+61461</f>
        <v>559083</v>
      </c>
      <c r="C50" s="1632">
        <v>46498</v>
      </c>
      <c r="D50" s="1633">
        <f>68492</f>
        <v>68492</v>
      </c>
      <c r="E50" s="1634">
        <f t="shared" si="10"/>
        <v>68492</v>
      </c>
      <c r="F50" s="1635">
        <v>34506</v>
      </c>
      <c r="G50" s="1635">
        <v>30423</v>
      </c>
      <c r="H50" s="1636">
        <v>689</v>
      </c>
      <c r="I50" s="1636">
        <v>729</v>
      </c>
      <c r="J50" s="1637">
        <v>2145</v>
      </c>
      <c r="K50" s="1638">
        <v>14504</v>
      </c>
      <c r="L50" s="1638">
        <f>9908+3220+176+163+1440</f>
        <v>14907</v>
      </c>
      <c r="M50" s="1639">
        <v>0</v>
      </c>
      <c r="N50" s="1640">
        <v>3474</v>
      </c>
      <c r="O50" s="1486">
        <f t="shared" si="12"/>
        <v>1.4730095918104005</v>
      </c>
      <c r="P50" s="1467"/>
      <c r="Q50" s="1466"/>
    </row>
    <row r="51" spans="1:17">
      <c r="A51" s="1589"/>
      <c r="B51" s="1641"/>
      <c r="C51" s="1618"/>
      <c r="D51" s="1641"/>
      <c r="E51" s="1642"/>
      <c r="F51" s="1643"/>
      <c r="G51" s="1643"/>
      <c r="H51" s="1643"/>
      <c r="I51" s="1643"/>
      <c r="J51" s="1643"/>
      <c r="K51" s="1644"/>
      <c r="L51" s="1644"/>
      <c r="M51" s="1644"/>
      <c r="N51" s="1645"/>
      <c r="O51" s="1486"/>
      <c r="P51" s="1646"/>
      <c r="Q51" s="1466"/>
    </row>
    <row r="52" spans="1:17">
      <c r="A52" s="1484" t="s">
        <v>226</v>
      </c>
      <c r="B52" s="1485">
        <f>SUM(B53:B59)</f>
        <v>7605205</v>
      </c>
      <c r="C52" s="1485">
        <f t="shared" ref="C52:N52" si="13">SUM(C53:C59)</f>
        <v>647653</v>
      </c>
      <c r="D52" s="1485">
        <f t="shared" si="13"/>
        <v>711429</v>
      </c>
      <c r="E52" s="1485">
        <f t="shared" si="13"/>
        <v>711429</v>
      </c>
      <c r="F52" s="1485">
        <f t="shared" si="13"/>
        <v>294315</v>
      </c>
      <c r="G52" s="1485">
        <f t="shared" si="13"/>
        <v>328961</v>
      </c>
      <c r="H52" s="1485">
        <f t="shared" si="13"/>
        <v>3296</v>
      </c>
      <c r="I52" s="1485">
        <f t="shared" si="13"/>
        <v>7733</v>
      </c>
      <c r="J52" s="1485">
        <f t="shared" si="13"/>
        <v>77124</v>
      </c>
      <c r="K52" s="1485">
        <f t="shared" si="13"/>
        <v>72468</v>
      </c>
      <c r="L52" s="1485">
        <f t="shared" si="13"/>
        <v>160666</v>
      </c>
      <c r="M52" s="1485">
        <f t="shared" si="13"/>
        <v>3603</v>
      </c>
      <c r="N52" s="1485">
        <f t="shared" si="13"/>
        <v>167907</v>
      </c>
      <c r="O52" s="1486">
        <f>+D52/C52</f>
        <v>1.0984724844940115</v>
      </c>
      <c r="P52" s="1488"/>
      <c r="Q52" s="1488"/>
    </row>
    <row r="53" spans="1:17">
      <c r="A53" s="1580" t="s">
        <v>55</v>
      </c>
      <c r="B53" s="1497"/>
      <c r="C53" s="1491"/>
      <c r="D53" s="1499"/>
      <c r="E53" s="1500">
        <v>0</v>
      </c>
      <c r="F53" s="1501"/>
      <c r="G53" s="1501"/>
      <c r="H53" s="1501"/>
      <c r="I53" s="1501"/>
      <c r="J53" s="1501"/>
      <c r="K53" s="1494"/>
      <c r="L53" s="1494"/>
      <c r="M53" s="1494"/>
      <c r="N53" s="1495"/>
      <c r="O53" s="1486"/>
      <c r="P53" s="1466"/>
      <c r="Q53" s="1466"/>
    </row>
    <row r="54" spans="1:17">
      <c r="A54" s="1647" t="s">
        <v>56</v>
      </c>
      <c r="B54" s="1572">
        <f>209453+123222+177525+182527+179497+190574+195216+216952+167184+207469+198525+199975</f>
        <v>2248119</v>
      </c>
      <c r="C54" s="1648">
        <v>209453</v>
      </c>
      <c r="D54" s="1581">
        <f>194209</f>
        <v>194209</v>
      </c>
      <c r="E54" s="1649">
        <f>SUM(F54:J54)</f>
        <v>194209</v>
      </c>
      <c r="F54" s="1501">
        <v>85481</v>
      </c>
      <c r="G54" s="1650">
        <v>93261</v>
      </c>
      <c r="H54" s="1650">
        <v>2518</v>
      </c>
      <c r="I54" s="1501">
        <v>373</v>
      </c>
      <c r="J54" s="1501">
        <v>12576</v>
      </c>
      <c r="K54" s="1503">
        <v>21147</v>
      </c>
      <c r="L54" s="1503">
        <f>60103+1292+292+242+3913</f>
        <v>65842</v>
      </c>
      <c r="M54" s="1651"/>
      <c r="N54" s="1652"/>
      <c r="O54" s="1486">
        <f>+D54/C54</f>
        <v>0.9272199491055273</v>
      </c>
      <c r="P54" s="1653"/>
      <c r="Q54" s="1466"/>
    </row>
    <row r="55" spans="1:17">
      <c r="A55" s="1580" t="s">
        <v>199</v>
      </c>
      <c r="B55" s="1583">
        <f>104773+79448+108729+100750+114908+101767+109538+102101+96227+101348+80712+95735</f>
        <v>1196036</v>
      </c>
      <c r="C55" s="1654">
        <v>104773</v>
      </c>
      <c r="D55" s="1585">
        <v>105063</v>
      </c>
      <c r="E55" s="1500">
        <f>SUM(F55:J55)</f>
        <v>105063</v>
      </c>
      <c r="F55" s="1655">
        <v>49742</v>
      </c>
      <c r="G55" s="1599">
        <v>48508</v>
      </c>
      <c r="H55" s="1575">
        <v>0</v>
      </c>
      <c r="I55" s="1575">
        <v>6813</v>
      </c>
      <c r="J55" s="1599">
        <v>0</v>
      </c>
      <c r="K55" s="1494">
        <v>9185</v>
      </c>
      <c r="L55" s="1494">
        <f>32184+64+1409</f>
        <v>33657</v>
      </c>
      <c r="M55" s="1517">
        <v>0</v>
      </c>
      <c r="N55" s="1495"/>
      <c r="O55" s="1486">
        <f>+D55/C55</f>
        <v>1.0027678886736087</v>
      </c>
      <c r="P55" s="1656"/>
      <c r="Q55" s="1466"/>
    </row>
    <row r="56" spans="1:17">
      <c r="A56" s="1522" t="s">
        <v>58</v>
      </c>
      <c r="B56" s="1606">
        <f>90832+90726+97425+112194+114431+98379+101821+103316+100021+117218+109359+112333</f>
        <v>1248055</v>
      </c>
      <c r="C56" s="1657">
        <v>90832</v>
      </c>
      <c r="D56" s="1608">
        <f>114635</f>
        <v>114635</v>
      </c>
      <c r="E56" s="1500">
        <f>SUM(F56:J56)</f>
        <v>114635</v>
      </c>
      <c r="F56" s="1501">
        <v>35738</v>
      </c>
      <c r="G56" s="1501">
        <v>57235</v>
      </c>
      <c r="H56" s="1575">
        <v>0</v>
      </c>
      <c r="I56" s="1575">
        <v>0</v>
      </c>
      <c r="J56" s="1501">
        <v>21662</v>
      </c>
      <c r="K56" s="1503">
        <v>8851</v>
      </c>
      <c r="L56" s="1503">
        <f>21291+633+4214</f>
        <v>26138</v>
      </c>
      <c r="M56" s="1494">
        <v>2298</v>
      </c>
      <c r="N56" s="1495">
        <v>82019</v>
      </c>
      <c r="O56" s="1486">
        <f>+D56/C56</f>
        <v>1.262055222828959</v>
      </c>
      <c r="P56" s="1466"/>
      <c r="Q56" s="1466"/>
    </row>
    <row r="57" spans="1:17">
      <c r="A57" s="1522" t="s">
        <v>59</v>
      </c>
      <c r="B57" s="1606">
        <f>85962+38994+58375+82416+99455+86639+82659+105881+73454+94153+96038+77922</f>
        <v>981948</v>
      </c>
      <c r="C57" s="1657">
        <v>85962</v>
      </c>
      <c r="D57" s="1608">
        <f>98617</f>
        <v>98617</v>
      </c>
      <c r="E57" s="1500">
        <f>SUM(F57:J57)</f>
        <v>98617</v>
      </c>
      <c r="F57" s="1501">
        <v>38795</v>
      </c>
      <c r="G57" s="1501">
        <v>38650</v>
      </c>
      <c r="H57" s="1501">
        <v>778</v>
      </c>
      <c r="I57" s="1599">
        <v>547</v>
      </c>
      <c r="J57" s="1501">
        <v>19847</v>
      </c>
      <c r="K57" s="1503">
        <v>12286</v>
      </c>
      <c r="L57" s="1503">
        <f>27875+56+555+197+6346</f>
        <v>35029</v>
      </c>
      <c r="M57" s="1494">
        <v>1305</v>
      </c>
      <c r="N57" s="1495">
        <v>85888</v>
      </c>
      <c r="O57" s="1486">
        <f>+D57/C57</f>
        <v>1.1472162118145226</v>
      </c>
      <c r="P57" s="1467"/>
      <c r="Q57" s="1466"/>
    </row>
    <row r="58" spans="1:17" ht="15" thickBot="1">
      <c r="A58" s="1658" t="s">
        <v>113</v>
      </c>
      <c r="B58" s="1659"/>
      <c r="C58" s="1660"/>
      <c r="D58" s="1661"/>
      <c r="E58" s="1662"/>
      <c r="F58" s="1663"/>
      <c r="G58" s="1663"/>
      <c r="H58" s="1663"/>
      <c r="I58" s="1663"/>
      <c r="J58" s="1663"/>
      <c r="K58" s="1533"/>
      <c r="L58" s="1533"/>
      <c r="M58" s="1533"/>
      <c r="N58" s="1534"/>
      <c r="O58" s="1486"/>
      <c r="P58" s="1656"/>
      <c r="Q58" s="1664"/>
    </row>
    <row r="59" spans="1:17">
      <c r="A59" s="1665" t="s">
        <v>61</v>
      </c>
      <c r="B59" s="1666">
        <f>1585050+175956+170041</f>
        <v>1931047</v>
      </c>
      <c r="C59" s="1667">
        <v>156633</v>
      </c>
      <c r="D59" s="1668">
        <f>198905</f>
        <v>198905</v>
      </c>
      <c r="E59" s="1669">
        <f t="shared" ref="E59:E69" si="14">SUM(F59:J59)</f>
        <v>198905</v>
      </c>
      <c r="F59" s="1670">
        <v>84559</v>
      </c>
      <c r="G59" s="1670">
        <v>91307</v>
      </c>
      <c r="H59" s="1636"/>
      <c r="I59" s="1636"/>
      <c r="J59" s="1637">
        <v>23039</v>
      </c>
      <c r="K59" s="1671">
        <v>20999</v>
      </c>
      <c r="L59" s="1671"/>
      <c r="M59" s="1639"/>
      <c r="N59" s="1672"/>
      <c r="O59" s="1486">
        <f t="shared" ref="O59:O62" si="15">+D59/C59</f>
        <v>1.2698792719286485</v>
      </c>
      <c r="P59" s="1467"/>
      <c r="Q59" s="1467"/>
    </row>
    <row r="60" spans="1:17">
      <c r="A60" s="1566"/>
      <c r="B60" s="1673"/>
      <c r="C60" s="1593"/>
      <c r="D60" s="1673"/>
      <c r="E60" s="1592"/>
      <c r="F60" s="1674"/>
      <c r="G60" s="1494"/>
      <c r="H60" s="1593"/>
      <c r="I60" s="1674"/>
      <c r="J60" s="1644"/>
      <c r="K60" s="1494"/>
      <c r="L60" s="1494"/>
      <c r="M60" s="1494"/>
      <c r="N60" s="1495"/>
      <c r="O60" s="1486"/>
      <c r="P60" s="1467"/>
      <c r="Q60" s="1467"/>
    </row>
    <row r="61" spans="1:17">
      <c r="A61" s="1675" t="s">
        <v>227</v>
      </c>
      <c r="B61" s="1676">
        <f t="shared" ref="B61:N61" si="16">SUM(B62:B69)</f>
        <v>69686</v>
      </c>
      <c r="C61" s="1676">
        <f t="shared" si="16"/>
        <v>2950</v>
      </c>
      <c r="D61" s="1676">
        <f t="shared" si="16"/>
        <v>7171</v>
      </c>
      <c r="E61" s="1676">
        <f t="shared" si="16"/>
        <v>7171</v>
      </c>
      <c r="F61" s="1676">
        <f t="shared" si="16"/>
        <v>0</v>
      </c>
      <c r="G61" s="1676">
        <f t="shared" si="16"/>
        <v>0</v>
      </c>
      <c r="H61" s="1676">
        <f t="shared" si="16"/>
        <v>3469</v>
      </c>
      <c r="I61" s="1676">
        <f t="shared" si="16"/>
        <v>3702</v>
      </c>
      <c r="J61" s="1676">
        <f t="shared" si="16"/>
        <v>0</v>
      </c>
      <c r="K61" s="1676">
        <f t="shared" si="16"/>
        <v>4207</v>
      </c>
      <c r="L61" s="1676">
        <f t="shared" si="16"/>
        <v>3316</v>
      </c>
      <c r="M61" s="1676">
        <f t="shared" si="16"/>
        <v>0</v>
      </c>
      <c r="N61" s="1676">
        <f t="shared" si="16"/>
        <v>0</v>
      </c>
      <c r="O61" s="1486">
        <f t="shared" si="15"/>
        <v>2.4308474576271188</v>
      </c>
      <c r="P61" s="1488"/>
      <c r="Q61" s="1677"/>
    </row>
    <row r="62" spans="1:17">
      <c r="A62" s="1522" t="s">
        <v>201</v>
      </c>
      <c r="B62" s="1606">
        <f>9380+2012+2071</f>
        <v>13463</v>
      </c>
      <c r="C62" s="1618">
        <f>742</f>
        <v>742</v>
      </c>
      <c r="D62" s="1678">
        <f>2379</f>
        <v>2379</v>
      </c>
      <c r="E62" s="1500">
        <f>SUM(H62:J62)</f>
        <v>2379</v>
      </c>
      <c r="F62" s="1575">
        <v>0</v>
      </c>
      <c r="G62" s="1575">
        <v>0</v>
      </c>
      <c r="H62" s="1679">
        <v>1178</v>
      </c>
      <c r="I62" s="1501">
        <v>1201</v>
      </c>
      <c r="J62" s="1575">
        <v>0</v>
      </c>
      <c r="K62" s="1494">
        <v>497</v>
      </c>
      <c r="L62" s="1494">
        <f>897</f>
        <v>897</v>
      </c>
      <c r="M62" s="1517">
        <v>0</v>
      </c>
      <c r="N62" s="1517">
        <v>0</v>
      </c>
      <c r="O62" s="1486">
        <f t="shared" si="15"/>
        <v>3.2061994609164421</v>
      </c>
      <c r="P62" s="1466"/>
      <c r="Q62" s="1466"/>
    </row>
    <row r="63" spans="1:17">
      <c r="A63" s="1680" t="s">
        <v>202</v>
      </c>
      <c r="B63" s="1497"/>
      <c r="C63" s="1518"/>
      <c r="D63" s="1681"/>
      <c r="E63" s="1500">
        <f t="shared" si="14"/>
        <v>0</v>
      </c>
      <c r="F63" s="1682"/>
      <c r="G63" s="1683"/>
      <c r="H63" s="1501"/>
      <c r="I63" s="1501"/>
      <c r="J63" s="1501"/>
      <c r="K63" s="1494"/>
      <c r="L63" s="1494"/>
      <c r="M63" s="1494"/>
      <c r="N63" s="1495"/>
      <c r="O63" s="1486"/>
      <c r="P63" s="1466"/>
      <c r="Q63" s="1466"/>
    </row>
    <row r="64" spans="1:17">
      <c r="A64" s="1522" t="s">
        <v>203</v>
      </c>
      <c r="B64" s="1606">
        <f>1143+584+1068+1170+1018+1940+2160+2337+2201+2341+1720</f>
        <v>17682</v>
      </c>
      <c r="C64" s="1618">
        <f>392</f>
        <v>392</v>
      </c>
      <c r="D64" s="1678">
        <f>1586</f>
        <v>1586</v>
      </c>
      <c r="E64" s="1500">
        <f t="shared" si="14"/>
        <v>1586</v>
      </c>
      <c r="F64" s="1575">
        <v>0</v>
      </c>
      <c r="G64" s="1575">
        <v>0</v>
      </c>
      <c r="H64" s="1501">
        <v>780</v>
      </c>
      <c r="I64" s="1501">
        <v>806</v>
      </c>
      <c r="J64" s="1575">
        <v>0</v>
      </c>
      <c r="K64" s="1494">
        <v>1090</v>
      </c>
      <c r="L64" s="1494">
        <f>517+286</f>
        <v>803</v>
      </c>
      <c r="M64" s="1517">
        <v>0</v>
      </c>
      <c r="N64" s="1495"/>
      <c r="O64" s="1486">
        <f t="shared" ref="O64:O67" si="17">+D64/C64</f>
        <v>4.045918367346939</v>
      </c>
      <c r="P64" s="1466"/>
      <c r="Q64" s="1466"/>
    </row>
    <row r="65" spans="1:17">
      <c r="A65" s="1522" t="s">
        <v>66</v>
      </c>
      <c r="B65" s="1497">
        <f>9020+1300+1328+1755+1870+1593+2099</f>
        <v>18965</v>
      </c>
      <c r="C65" s="1518">
        <f>892</f>
        <v>892</v>
      </c>
      <c r="D65" s="1681">
        <f>2516</f>
        <v>2516</v>
      </c>
      <c r="E65" s="1500">
        <f t="shared" si="14"/>
        <v>2516</v>
      </c>
      <c r="F65" s="1575">
        <v>0</v>
      </c>
      <c r="G65" s="1575">
        <v>0</v>
      </c>
      <c r="H65" s="1501">
        <v>1270</v>
      </c>
      <c r="I65" s="1501">
        <v>1246</v>
      </c>
      <c r="J65" s="1575">
        <v>0</v>
      </c>
      <c r="K65" s="1503">
        <v>1930</v>
      </c>
      <c r="L65" s="1503">
        <f>1231+146</f>
        <v>1377</v>
      </c>
      <c r="M65" s="1517">
        <v>0</v>
      </c>
      <c r="N65" s="1495"/>
      <c r="O65" s="1486">
        <f t="shared" si="17"/>
        <v>2.8206278026905829</v>
      </c>
      <c r="P65" s="1466"/>
      <c r="Q65" s="1466"/>
    </row>
    <row r="66" spans="1:17">
      <c r="A66" s="1684" t="s">
        <v>204</v>
      </c>
      <c r="B66" s="1572"/>
      <c r="C66" s="1573"/>
      <c r="D66" s="1574"/>
      <c r="E66" s="1500">
        <f t="shared" si="14"/>
        <v>0</v>
      </c>
      <c r="F66" s="1685"/>
      <c r="G66" s="1683"/>
      <c r="H66" s="1501"/>
      <c r="I66" s="1501"/>
      <c r="J66" s="1501"/>
      <c r="K66" s="1494"/>
      <c r="L66" s="1494"/>
      <c r="M66" s="1494"/>
      <c r="N66" s="1495"/>
      <c r="O66" s="1486"/>
      <c r="P66" s="1466"/>
      <c r="Q66" s="1466"/>
    </row>
    <row r="67" spans="1:17">
      <c r="A67" s="1522" t="s">
        <v>205</v>
      </c>
      <c r="B67" s="1497">
        <v>8152</v>
      </c>
      <c r="C67" s="1518">
        <f>290</f>
        <v>290</v>
      </c>
      <c r="D67" s="1686">
        <f>634</f>
        <v>634</v>
      </c>
      <c r="E67" s="1500">
        <f t="shared" si="14"/>
        <v>634</v>
      </c>
      <c r="F67" s="1575">
        <v>0</v>
      </c>
      <c r="G67" s="1575">
        <v>0</v>
      </c>
      <c r="H67" s="1501">
        <v>213</v>
      </c>
      <c r="I67" s="1501">
        <v>421</v>
      </c>
      <c r="J67" s="1575">
        <v>0</v>
      </c>
      <c r="K67" s="1503">
        <v>634</v>
      </c>
      <c r="L67" s="1503">
        <f>213</f>
        <v>213</v>
      </c>
      <c r="M67" s="1517">
        <v>0</v>
      </c>
      <c r="N67" s="1495"/>
      <c r="O67" s="1486">
        <f t="shared" si="17"/>
        <v>2.1862068965517243</v>
      </c>
      <c r="P67" s="1466"/>
      <c r="Q67" s="1466"/>
    </row>
    <row r="68" spans="1:17">
      <c r="A68" s="1680" t="s">
        <v>206</v>
      </c>
      <c r="B68" s="1606"/>
      <c r="C68" s="1618"/>
      <c r="D68" s="1678"/>
      <c r="E68" s="1500">
        <f t="shared" si="14"/>
        <v>0</v>
      </c>
      <c r="F68" s="1520"/>
      <c r="G68" s="1687"/>
      <c r="H68" s="1599"/>
      <c r="I68" s="1599"/>
      <c r="J68" s="1599"/>
      <c r="K68" s="1494"/>
      <c r="L68" s="1494"/>
      <c r="M68" s="1494"/>
      <c r="N68" s="1495"/>
      <c r="O68" s="1486"/>
      <c r="P68" s="1466"/>
      <c r="Q68" s="1466"/>
    </row>
    <row r="69" spans="1:17">
      <c r="A69" s="1522" t="s">
        <v>70</v>
      </c>
      <c r="B69" s="1617">
        <v>11424</v>
      </c>
      <c r="C69" s="1618">
        <v>634</v>
      </c>
      <c r="D69" s="1688">
        <f>56</f>
        <v>56</v>
      </c>
      <c r="E69" s="1500">
        <f t="shared" si="14"/>
        <v>56</v>
      </c>
      <c r="F69" s="1575">
        <v>0</v>
      </c>
      <c r="G69" s="1575">
        <v>0</v>
      </c>
      <c r="H69" s="1501">
        <v>28</v>
      </c>
      <c r="I69" s="1501">
        <v>28</v>
      </c>
      <c r="J69" s="1575">
        <v>0</v>
      </c>
      <c r="K69" s="1503">
        <v>56</v>
      </c>
      <c r="L69" s="1503">
        <f>26</f>
        <v>26</v>
      </c>
      <c r="M69" s="1517">
        <v>0</v>
      </c>
      <c r="N69" s="1495"/>
      <c r="O69" s="1486">
        <f t="shared" ref="O69:O71" si="18">+D69/C69</f>
        <v>8.8328075709779186E-2</v>
      </c>
      <c r="P69" s="1466"/>
      <c r="Q69" s="1468"/>
    </row>
    <row r="70" spans="1:17" ht="15" thickBot="1">
      <c r="A70" s="1689"/>
      <c r="B70" s="1690"/>
      <c r="C70" s="1690"/>
      <c r="D70" s="1661"/>
      <c r="E70" s="1691"/>
      <c r="F70" s="1692"/>
      <c r="G70" s="1692"/>
      <c r="H70" s="1692"/>
      <c r="I70" s="1692"/>
      <c r="J70" s="1692"/>
      <c r="K70" s="1594"/>
      <c r="L70" s="1594"/>
      <c r="M70" s="1594"/>
      <c r="N70" s="1595"/>
      <c r="O70" s="1486"/>
      <c r="P70" s="1466"/>
      <c r="Q70" s="1466"/>
    </row>
    <row r="71" spans="1:17" ht="15" thickBot="1">
      <c r="A71" s="1693" t="s">
        <v>71</v>
      </c>
      <c r="B71" s="1694">
        <f>B6+B29+B33+B38+B52+B61</f>
        <v>27092360</v>
      </c>
      <c r="C71" s="1694">
        <f t="shared" ref="C71:N71" si="19">C6+C29+C33+C38+C52+C61</f>
        <v>2140044</v>
      </c>
      <c r="D71" s="1694">
        <f t="shared" si="19"/>
        <v>2607713</v>
      </c>
      <c r="E71" s="1694">
        <f t="shared" si="19"/>
        <v>2555400.4</v>
      </c>
      <c r="F71" s="1694">
        <f t="shared" si="19"/>
        <v>932962</v>
      </c>
      <c r="G71" s="1694">
        <f t="shared" si="19"/>
        <v>863358</v>
      </c>
      <c r="H71" s="1694">
        <f t="shared" si="19"/>
        <v>144723.4</v>
      </c>
      <c r="I71" s="1694">
        <f t="shared" si="19"/>
        <v>240962</v>
      </c>
      <c r="J71" s="1694">
        <f t="shared" si="19"/>
        <v>80119</v>
      </c>
      <c r="K71" s="1694">
        <f t="shared" si="19"/>
        <v>399009</v>
      </c>
      <c r="L71" s="1694">
        <f t="shared" si="19"/>
        <v>408401</v>
      </c>
      <c r="M71" s="1694">
        <f t="shared" si="19"/>
        <v>4852</v>
      </c>
      <c r="N71" s="1694">
        <f t="shared" si="19"/>
        <v>311810</v>
      </c>
      <c r="O71" s="1486">
        <f t="shared" si="18"/>
        <v>1.2185324226978511</v>
      </c>
      <c r="P71" s="1695"/>
      <c r="Q71" s="1695"/>
    </row>
    <row r="72" spans="1:17">
      <c r="A72" s="1466"/>
      <c r="B72" s="1696"/>
      <c r="C72" s="1696"/>
      <c r="D72" s="1696"/>
      <c r="E72" s="1697"/>
      <c r="F72" s="1467"/>
      <c r="G72" s="1467"/>
      <c r="H72" s="1467"/>
      <c r="I72" s="1467"/>
      <c r="J72" s="1467"/>
      <c r="K72" s="1467"/>
      <c r="L72" s="1467"/>
      <c r="M72" s="1467"/>
      <c r="N72" s="1467"/>
      <c r="O72" s="1466"/>
      <c r="P72" s="1466"/>
      <c r="Q72" s="1466"/>
    </row>
    <row r="73" spans="1:17">
      <c r="A73" s="1466"/>
      <c r="B73" s="1466"/>
      <c r="C73" s="1466"/>
      <c r="D73" s="1466"/>
      <c r="E73" s="1467"/>
      <c r="F73" s="1467"/>
      <c r="G73" s="1467"/>
      <c r="H73" s="1467"/>
      <c r="I73" s="1467"/>
      <c r="J73" s="1467"/>
      <c r="K73" s="1467"/>
      <c r="L73" s="1467"/>
      <c r="M73" s="1467"/>
      <c r="N73" s="1467"/>
      <c r="O73" s="1466"/>
      <c r="P73" s="1466"/>
      <c r="Q73" s="1466"/>
    </row>
    <row r="74" spans="1:17" ht="83.4">
      <c r="A74" s="1466"/>
      <c r="B74" s="1698" t="s">
        <v>207</v>
      </c>
      <c r="C74" s="1698"/>
      <c r="D74" s="1699" t="s">
        <v>74</v>
      </c>
      <c r="E74" s="1700" t="s">
        <v>75</v>
      </c>
      <c r="F74" s="1700" t="s">
        <v>76</v>
      </c>
      <c r="G74" s="1700" t="s">
        <v>77</v>
      </c>
      <c r="H74" s="1700" t="s">
        <v>78</v>
      </c>
      <c r="I74" s="1700" t="s">
        <v>79</v>
      </c>
      <c r="J74" s="1700" t="s">
        <v>80</v>
      </c>
      <c r="K74" s="1700" t="s">
        <v>81</v>
      </c>
      <c r="L74" s="1700" t="s">
        <v>82</v>
      </c>
      <c r="M74" s="1700" t="s">
        <v>83</v>
      </c>
      <c r="N74" s="1700" t="s">
        <v>84</v>
      </c>
      <c r="O74" s="1701" t="s">
        <v>85</v>
      </c>
      <c r="P74" s="1702"/>
      <c r="Q74" s="1466"/>
    </row>
    <row r="75" spans="1:17">
      <c r="A75" s="1466"/>
      <c r="B75" s="1703" t="s">
        <v>87</v>
      </c>
      <c r="C75" s="1703"/>
      <c r="D75" s="1704">
        <v>2555400</v>
      </c>
      <c r="E75" s="1705"/>
      <c r="F75" s="1503"/>
      <c r="G75" s="1705"/>
      <c r="H75" s="1705"/>
      <c r="I75" s="1593"/>
      <c r="J75" s="1705"/>
      <c r="K75" s="1503"/>
      <c r="L75" s="1503"/>
      <c r="M75" s="1706"/>
      <c r="N75" s="1707"/>
      <c r="O75" s="1708"/>
      <c r="P75" s="1468"/>
      <c r="Q75" s="1466"/>
    </row>
    <row r="76" spans="1:17">
      <c r="A76" s="1466"/>
      <c r="B76" s="1709" t="s">
        <v>88</v>
      </c>
      <c r="C76" s="1709"/>
      <c r="D76" s="1709"/>
      <c r="E76" s="1710">
        <f t="shared" ref="E76:N76" si="20">IF(D75&gt;0,E75/D75,0)*100</f>
        <v>0</v>
      </c>
      <c r="F76" s="1710">
        <f t="shared" si="20"/>
        <v>0</v>
      </c>
      <c r="G76" s="1710">
        <f t="shared" si="20"/>
        <v>0</v>
      </c>
      <c r="H76" s="1710">
        <f t="shared" si="20"/>
        <v>0</v>
      </c>
      <c r="I76" s="1710">
        <f t="shared" si="20"/>
        <v>0</v>
      </c>
      <c r="J76" s="1710">
        <f t="shared" si="20"/>
        <v>0</v>
      </c>
      <c r="K76" s="1710">
        <f t="shared" si="20"/>
        <v>0</v>
      </c>
      <c r="L76" s="1710">
        <f t="shared" si="20"/>
        <v>0</v>
      </c>
      <c r="M76" s="1710">
        <f t="shared" si="20"/>
        <v>0</v>
      </c>
      <c r="N76" s="1710">
        <f t="shared" si="20"/>
        <v>0</v>
      </c>
      <c r="O76" s="1711"/>
      <c r="P76" s="1712"/>
      <c r="Q76" s="1466"/>
    </row>
    <row r="77" spans="1:17">
      <c r="A77" s="1466"/>
      <c r="B77" s="1713"/>
      <c r="C77" s="1713"/>
      <c r="D77" s="1713"/>
      <c r="E77" s="1707"/>
      <c r="F77" s="1714"/>
      <c r="G77" s="1467" t="s">
        <v>115</v>
      </c>
      <c r="H77" s="1467"/>
      <c r="I77" s="1467"/>
      <c r="J77" s="1467"/>
      <c r="K77" s="1467"/>
      <c r="L77" s="1467"/>
      <c r="M77" s="1467"/>
      <c r="N77" s="1467"/>
      <c r="O77" s="1468"/>
      <c r="P77" s="1466"/>
    </row>
    <row r="78" spans="1:17">
      <c r="A78" s="1715" t="s">
        <v>208</v>
      </c>
      <c r="B78" s="1468"/>
      <c r="C78" s="1468"/>
      <c r="D78" s="1468"/>
      <c r="E78" s="1467"/>
      <c r="F78" s="1467"/>
      <c r="G78" s="1467"/>
      <c r="H78" s="1467"/>
      <c r="I78" s="1467"/>
      <c r="J78" s="1467"/>
      <c r="K78" s="1467"/>
      <c r="L78" s="1467"/>
      <c r="M78" s="1467"/>
      <c r="N78" s="1467"/>
      <c r="O78" s="1468"/>
      <c r="P78" s="1466"/>
      <c r="Q78" s="1467"/>
    </row>
    <row r="79" spans="1:17">
      <c r="A79" s="1466" t="s">
        <v>90</v>
      </c>
      <c r="B79" s="1468"/>
      <c r="C79" s="1468"/>
      <c r="D79" s="1468"/>
      <c r="E79" s="1467"/>
      <c r="F79" s="1467"/>
      <c r="G79" s="1467"/>
      <c r="H79" s="1467"/>
      <c r="I79" s="1467"/>
      <c r="J79" s="1467"/>
      <c r="K79" s="1467"/>
      <c r="L79" s="1467"/>
      <c r="M79" s="1467"/>
      <c r="N79" s="1467"/>
      <c r="O79" s="1468"/>
      <c r="P79" s="1466"/>
      <c r="Q79" s="1467"/>
    </row>
    <row r="80" spans="1:17">
      <c r="A80" s="1715" t="s">
        <v>209</v>
      </c>
      <c r="B80" s="1468"/>
      <c r="C80" s="1468"/>
      <c r="D80" s="1468"/>
      <c r="E80" s="1467"/>
      <c r="F80" s="1467"/>
      <c r="G80" s="1467"/>
      <c r="H80" s="1467"/>
      <c r="I80" s="1467"/>
      <c r="J80" s="1467"/>
      <c r="K80" s="1467"/>
      <c r="L80" s="1467"/>
      <c r="M80" s="1467"/>
      <c r="N80" s="1467"/>
      <c r="O80" s="1468"/>
      <c r="P80" s="1466"/>
      <c r="Q80" s="1467"/>
    </row>
    <row r="81" spans="1:17">
      <c r="A81" s="1716" t="s">
        <v>92</v>
      </c>
      <c r="B81" s="1468"/>
      <c r="C81" s="1468"/>
      <c r="D81" s="1468"/>
      <c r="E81" s="1467"/>
      <c r="F81" s="1467"/>
      <c r="G81" s="1467"/>
      <c r="H81" s="1467"/>
      <c r="J81" s="1467"/>
      <c r="K81" s="1467"/>
      <c r="L81" s="1467"/>
      <c r="M81" s="1467"/>
      <c r="N81" s="1467"/>
      <c r="O81" s="1468"/>
      <c r="P81" s="1466"/>
      <c r="Q81" s="1717"/>
    </row>
    <row r="82" spans="1:17">
      <c r="A82" s="1466" t="s">
        <v>93</v>
      </c>
      <c r="B82" s="1466"/>
      <c r="C82" s="1466"/>
      <c r="D82" s="1466"/>
      <c r="E82" s="1467"/>
      <c r="F82" s="1467"/>
      <c r="G82" s="1467"/>
      <c r="H82" s="1467"/>
      <c r="K82" s="1467"/>
      <c r="M82" s="1467"/>
      <c r="N82" s="1467"/>
      <c r="O82" s="1468"/>
      <c r="P82" s="1466"/>
    </row>
    <row r="83" spans="1:17">
      <c r="A83" s="1466" t="s">
        <v>94</v>
      </c>
      <c r="B83" s="1466"/>
      <c r="C83" s="1466"/>
      <c r="D83" s="1466"/>
      <c r="E83" s="1467"/>
      <c r="F83" s="1467"/>
      <c r="G83" s="1467"/>
      <c r="H83" s="1467"/>
      <c r="K83" s="1467"/>
      <c r="M83" s="1467"/>
      <c r="N83" s="1467"/>
      <c r="O83" s="1718"/>
      <c r="P83" s="1466"/>
    </row>
    <row r="84" spans="1:17">
      <c r="A84" s="1466" t="s">
        <v>95</v>
      </c>
      <c r="B84" s="1466"/>
      <c r="C84" s="1466"/>
      <c r="D84" s="1466"/>
      <c r="E84" s="1467"/>
      <c r="F84" s="1467"/>
      <c r="G84" s="1467"/>
      <c r="H84" s="1467"/>
      <c r="K84" s="1467"/>
      <c r="L84" s="1467"/>
      <c r="M84" s="1467"/>
      <c r="N84" s="1467"/>
      <c r="O84" s="1468"/>
      <c r="P84" s="1466"/>
    </row>
    <row r="87" spans="1:17">
      <c r="K87" s="1719"/>
    </row>
    <row r="88" spans="1:17">
      <c r="A88" s="1720"/>
      <c r="B88" s="1720"/>
      <c r="C88" s="1720"/>
      <c r="D88" s="1721"/>
      <c r="E88" s="1721"/>
      <c r="F88" s="1721"/>
      <c r="G88" s="1721"/>
      <c r="O88" s="1722"/>
      <c r="P88" s="1722"/>
    </row>
    <row r="89" spans="1:17">
      <c r="D89" s="1722"/>
      <c r="L89" s="1467"/>
      <c r="O89" s="1722"/>
      <c r="P89" s="1722"/>
      <c r="Q89" s="1722"/>
    </row>
    <row r="90" spans="1:17">
      <c r="D90" s="1722"/>
      <c r="L90" s="1467"/>
      <c r="O90" s="1722"/>
      <c r="P90" s="1722"/>
      <c r="Q90" s="1722"/>
    </row>
    <row r="91" spans="1:17">
      <c r="D91" s="1722"/>
      <c r="L91" s="1467"/>
      <c r="O91" s="1722"/>
      <c r="P91" s="1722"/>
      <c r="Q91" s="1722"/>
    </row>
    <row r="92" spans="1:17">
      <c r="D92" s="1722"/>
      <c r="L92" s="1467"/>
      <c r="O92" s="1722"/>
      <c r="P92" s="1722"/>
      <c r="Q92" s="1722"/>
    </row>
    <row r="93" spans="1:17">
      <c r="D93" s="1722"/>
      <c r="O93" s="1722"/>
      <c r="P93" s="1722"/>
      <c r="Q93" s="1722"/>
    </row>
    <row r="94" spans="1:17">
      <c r="D94" s="1722"/>
      <c r="O94" s="1722"/>
      <c r="P94" s="1722"/>
      <c r="Q94" s="1722"/>
    </row>
    <row r="95" spans="1:17">
      <c r="D95" s="1722"/>
      <c r="O95" s="1722"/>
      <c r="P95" s="1722"/>
      <c r="Q95" s="1722"/>
    </row>
    <row r="96" spans="1:17">
      <c r="A96" s="1720"/>
      <c r="B96" s="1720"/>
      <c r="C96" s="1720"/>
      <c r="D96" s="1721"/>
      <c r="E96" s="1721"/>
      <c r="F96" s="1721"/>
      <c r="G96" s="1721"/>
      <c r="O96" s="1722"/>
      <c r="P96" s="1722"/>
      <c r="Q96" s="1722"/>
    </row>
    <row r="97" spans="4:17">
      <c r="D97" s="1722"/>
      <c r="O97" s="1722"/>
      <c r="P97" s="1722"/>
      <c r="Q97" s="1722"/>
    </row>
    <row r="98" spans="4:17">
      <c r="D98" s="1722"/>
      <c r="O98" s="1722"/>
      <c r="P98" s="1722"/>
      <c r="Q98" s="1722"/>
    </row>
    <row r="99" spans="4:17">
      <c r="D99" s="1722"/>
      <c r="O99" s="1722"/>
      <c r="P99" s="1722"/>
      <c r="Q99" s="1722"/>
    </row>
    <row r="100" spans="4:17">
      <c r="D100" s="1722"/>
      <c r="O100" s="1722"/>
      <c r="P100" s="1722"/>
      <c r="Q100" s="1722"/>
    </row>
    <row r="101" spans="4:17">
      <c r="D101" s="1722"/>
      <c r="O101" s="1722"/>
      <c r="P101" s="1722"/>
      <c r="Q101" s="1722"/>
    </row>
    <row r="102" spans="4:17">
      <c r="D102" s="1722"/>
      <c r="O102" s="1722"/>
      <c r="P102" s="1722"/>
      <c r="Q102" s="1722"/>
    </row>
    <row r="103" spans="4:17">
      <c r="D103" s="1722"/>
      <c r="O103" s="1722"/>
      <c r="P103" s="1722"/>
      <c r="Q103" s="1722"/>
    </row>
    <row r="104" spans="4:17">
      <c r="E104" s="1721"/>
      <c r="O104" s="1722"/>
      <c r="P104" s="1722"/>
      <c r="Q104" s="1722"/>
    </row>
  </sheetData>
  <mergeCells count="7">
    <mergeCell ref="A1:O1"/>
    <mergeCell ref="A3:A4"/>
    <mergeCell ref="B3:B4"/>
    <mergeCell ref="C3:C4"/>
    <mergeCell ref="D3:D4"/>
    <mergeCell ref="E3:N3"/>
    <mergeCell ref="O3:O4"/>
  </mergeCells>
  <conditionalFormatting sqref="O6:O71">
    <cfRule type="cellIs" dxfId="11" priority="1" operator="between">
      <formula>0.01</formula>
      <formula>0.99</formula>
    </cfRule>
    <cfRule type="expression" dxfId="10" priority="2">
      <formula>AND($O6&gt;100%,$O6&lt;100%)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12BCA-FD4B-4913-865F-D888B676C252}">
  <dimension ref="A1:Q102"/>
  <sheetViews>
    <sheetView workbookViewId="0">
      <selection sqref="A1:XFD1048576"/>
    </sheetView>
  </sheetViews>
  <sheetFormatPr defaultColWidth="9" defaultRowHeight="14.4"/>
  <cols>
    <col min="1" max="1" width="33.88671875" customWidth="1"/>
    <col min="2" max="3" width="12.6640625" customWidth="1"/>
    <col min="4" max="14" width="12.109375" customWidth="1"/>
    <col min="15" max="15" width="9.77734375" customWidth="1"/>
  </cols>
  <sheetData>
    <row r="1" spans="1:17" ht="15.6">
      <c r="A1" s="1767" t="s">
        <v>228</v>
      </c>
      <c r="B1" s="1767"/>
      <c r="C1" s="1767"/>
      <c r="D1" s="1767"/>
      <c r="E1" s="1767"/>
      <c r="F1" s="1767"/>
      <c r="G1" s="1767"/>
      <c r="H1" s="1767"/>
      <c r="I1" s="1767"/>
      <c r="J1" s="1767"/>
      <c r="K1" s="1767"/>
      <c r="L1" s="1767"/>
      <c r="M1" s="1767"/>
      <c r="N1" s="1767"/>
      <c r="O1" s="1767"/>
      <c r="P1" s="1464"/>
      <c r="Q1" s="1465"/>
    </row>
    <row r="2" spans="1:17" ht="15" thickBot="1">
      <c r="A2" s="1466"/>
      <c r="B2" s="1466"/>
      <c r="C2" s="1466"/>
      <c r="D2" s="1466"/>
      <c r="E2" s="1467"/>
      <c r="F2" s="1467"/>
      <c r="G2" s="1467"/>
      <c r="H2" s="1467"/>
      <c r="I2" s="1467"/>
      <c r="J2" s="1467"/>
      <c r="K2" s="1467"/>
      <c r="L2" s="1467"/>
      <c r="M2" s="1467"/>
      <c r="N2" s="1467"/>
      <c r="O2" s="1468"/>
      <c r="P2" s="1466"/>
    </row>
    <row r="3" spans="1:17" ht="27" customHeight="1">
      <c r="A3" s="1768" t="s">
        <v>1</v>
      </c>
      <c r="B3" s="1770" t="s">
        <v>217</v>
      </c>
      <c r="C3" s="1770" t="s">
        <v>229</v>
      </c>
      <c r="D3" s="1772" t="s">
        <v>230</v>
      </c>
      <c r="E3" s="1774" t="s">
        <v>231</v>
      </c>
      <c r="F3" s="1775"/>
      <c r="G3" s="1775"/>
      <c r="H3" s="1775"/>
      <c r="I3" s="1775"/>
      <c r="J3" s="1775"/>
      <c r="K3" s="1775"/>
      <c r="L3" s="1775"/>
      <c r="M3" s="1775"/>
      <c r="N3" s="1776"/>
      <c r="O3" s="1777" t="s">
        <v>232</v>
      </c>
      <c r="P3" s="1469"/>
    </row>
    <row r="4" spans="1:17" ht="28.2" thickBot="1">
      <c r="A4" s="1769"/>
      <c r="B4" s="1771"/>
      <c r="C4" s="1771"/>
      <c r="D4" s="1773"/>
      <c r="E4" s="1470" t="s">
        <v>7</v>
      </c>
      <c r="F4" s="1471" t="s">
        <v>8</v>
      </c>
      <c r="G4" s="1471" t="s">
        <v>9</v>
      </c>
      <c r="H4" s="1471" t="s">
        <v>10</v>
      </c>
      <c r="I4" s="1471" t="s">
        <v>11</v>
      </c>
      <c r="J4" s="1472" t="s">
        <v>12</v>
      </c>
      <c r="K4" s="1473" t="s">
        <v>13</v>
      </c>
      <c r="L4" s="1473" t="s">
        <v>14</v>
      </c>
      <c r="M4" s="1474" t="s">
        <v>15</v>
      </c>
      <c r="N4" s="1475" t="s">
        <v>16</v>
      </c>
      <c r="O4" s="1778"/>
      <c r="P4" s="1469"/>
    </row>
    <row r="5" spans="1:17" ht="15.6">
      <c r="A5" s="1476"/>
      <c r="B5" s="1477"/>
      <c r="C5" s="1477"/>
      <c r="D5" s="1478"/>
      <c r="E5" s="1479"/>
      <c r="F5" s="1480"/>
      <c r="G5" s="1480"/>
      <c r="H5" s="1480"/>
      <c r="I5" s="1480"/>
      <c r="J5" s="1481"/>
      <c r="K5" s="1480"/>
      <c r="L5" s="1480"/>
      <c r="M5" s="1481"/>
      <c r="N5" s="1482"/>
      <c r="O5" s="1483"/>
      <c r="P5" s="1469"/>
    </row>
    <row r="6" spans="1:17">
      <c r="A6" s="1484" t="s">
        <v>222</v>
      </c>
      <c r="B6" s="1485">
        <f>SUM(B7:B26)</f>
        <v>8323043</v>
      </c>
      <c r="C6" s="1485">
        <f>SUM(C7:C26)</f>
        <v>1094385</v>
      </c>
      <c r="D6" s="1485">
        <f>SUM(D7:D26)</f>
        <v>1330987</v>
      </c>
      <c r="E6" s="1723">
        <f>SUM(E7:E26)</f>
        <v>549463.4</v>
      </c>
      <c r="F6" s="1485">
        <f t="shared" ref="F6:N6" si="0">SUM(F7:F26)</f>
        <v>154280</v>
      </c>
      <c r="G6" s="1485">
        <f t="shared" si="0"/>
        <v>149217</v>
      </c>
      <c r="H6" s="1485">
        <f t="shared" si="0"/>
        <v>23378.6</v>
      </c>
      <c r="I6" s="1485">
        <f t="shared" si="0"/>
        <v>20815.8</v>
      </c>
      <c r="J6" s="1485">
        <f t="shared" si="0"/>
        <v>51</v>
      </c>
      <c r="K6" s="1485">
        <f t="shared" si="0"/>
        <v>53595</v>
      </c>
      <c r="L6" s="1485">
        <f t="shared" si="0"/>
        <v>56639</v>
      </c>
      <c r="M6" s="1485">
        <f t="shared" si="0"/>
        <v>0</v>
      </c>
      <c r="N6" s="1724">
        <f t="shared" si="0"/>
        <v>48509</v>
      </c>
      <c r="O6" s="1486">
        <f t="shared" ref="O6:O11" si="1">+D6/C6</f>
        <v>1.2161963111702006</v>
      </c>
      <c r="P6" s="1487"/>
      <c r="Q6" s="1488"/>
    </row>
    <row r="7" spans="1:17">
      <c r="A7" s="1489" t="s">
        <v>178</v>
      </c>
      <c r="B7" s="1490">
        <v>0</v>
      </c>
      <c r="C7" s="1491"/>
      <c r="D7" s="1492">
        <v>0</v>
      </c>
      <c r="E7" s="1493">
        <v>0</v>
      </c>
      <c r="F7" s="1493">
        <v>0</v>
      </c>
      <c r="G7" s="1493">
        <v>0</v>
      </c>
      <c r="H7" s="1493">
        <v>0</v>
      </c>
      <c r="I7" s="1493">
        <v>0</v>
      </c>
      <c r="J7" s="1493">
        <v>0</v>
      </c>
      <c r="K7" s="1494"/>
      <c r="L7" s="1494"/>
      <c r="M7" s="1494"/>
      <c r="N7" s="1495"/>
      <c r="O7" s="1486"/>
      <c r="P7" s="1487"/>
      <c r="Q7" s="1466"/>
    </row>
    <row r="8" spans="1:17">
      <c r="A8" s="1496" t="s">
        <v>179</v>
      </c>
      <c r="B8" s="1497"/>
      <c r="C8" s="1498"/>
      <c r="D8" s="1499"/>
      <c r="E8" s="1500">
        <f t="shared" ref="E8:E14" si="2">SUM(F8:J8)</f>
        <v>0</v>
      </c>
      <c r="F8" s="1501"/>
      <c r="G8" s="1501"/>
      <c r="H8" s="1501"/>
      <c r="I8" s="1501"/>
      <c r="J8" s="1502"/>
      <c r="K8" s="1503"/>
      <c r="L8" s="1503"/>
      <c r="M8" s="1503"/>
      <c r="N8" s="1504"/>
      <c r="O8" s="1486"/>
      <c r="P8" s="1505"/>
      <c r="Q8" s="1466"/>
    </row>
    <row r="9" spans="1:17">
      <c r="A9" s="1489" t="s">
        <v>180</v>
      </c>
      <c r="B9" s="1497">
        <f>195272+119565+111251+124577+111240+113765+121727+107555+127919+124121+129654</f>
        <v>1386646</v>
      </c>
      <c r="C9" s="1518">
        <v>195272</v>
      </c>
      <c r="D9" s="1499">
        <f>129474+89046</f>
        <v>218520</v>
      </c>
      <c r="E9" s="1500">
        <f t="shared" si="2"/>
        <v>89046</v>
      </c>
      <c r="F9" s="1501">
        <v>33654</v>
      </c>
      <c r="G9" s="1501">
        <v>34109</v>
      </c>
      <c r="H9" s="1501">
        <v>11870</v>
      </c>
      <c r="I9" s="1501">
        <v>9413</v>
      </c>
      <c r="J9" s="1506">
        <v>0</v>
      </c>
      <c r="K9" s="1494"/>
      <c r="L9" s="1494"/>
      <c r="M9" s="1494"/>
      <c r="N9" s="1495"/>
      <c r="O9" s="1486">
        <f t="shared" si="1"/>
        <v>1.1190544471301569</v>
      </c>
      <c r="P9" s="1507"/>
      <c r="Q9" s="1508"/>
    </row>
    <row r="10" spans="1:17">
      <c r="A10" s="1509" t="s">
        <v>181</v>
      </c>
      <c r="B10" s="1510">
        <f>194433+49476</f>
        <v>243909</v>
      </c>
      <c r="C10" s="1511"/>
      <c r="D10" s="1512">
        <f>55403+31061</f>
        <v>86464</v>
      </c>
      <c r="E10" s="1513">
        <f t="shared" si="2"/>
        <v>31061</v>
      </c>
      <c r="F10" s="1514">
        <v>13710</v>
      </c>
      <c r="G10" s="1514">
        <v>17351</v>
      </c>
      <c r="H10" s="1515">
        <v>0</v>
      </c>
      <c r="I10" s="1515">
        <v>0</v>
      </c>
      <c r="J10" s="1514">
        <v>0</v>
      </c>
      <c r="K10" s="1516">
        <v>5883</v>
      </c>
      <c r="L10" s="1516">
        <v>5010</v>
      </c>
      <c r="M10" s="1516">
        <v>0</v>
      </c>
      <c r="N10" s="1725">
        <v>735</v>
      </c>
      <c r="O10" s="1486"/>
      <c r="P10" s="1507"/>
      <c r="Q10" s="1508"/>
    </row>
    <row r="11" spans="1:17">
      <c r="A11" s="1489" t="s">
        <v>21</v>
      </c>
      <c r="B11" s="1498">
        <f>131015+78250+105874+111968+99207+123596+111773+110146+91651+118422+115294+111602</f>
        <v>1308798</v>
      </c>
      <c r="C11" s="1518">
        <v>209265</v>
      </c>
      <c r="D11" s="1519">
        <f>123477+92455</f>
        <v>215932</v>
      </c>
      <c r="E11" s="1513">
        <f t="shared" si="2"/>
        <v>92455</v>
      </c>
      <c r="F11" s="1520">
        <v>47709</v>
      </c>
      <c r="G11" s="1520">
        <v>44695</v>
      </c>
      <c r="H11" s="1515">
        <v>0</v>
      </c>
      <c r="I11" s="1515">
        <v>0</v>
      </c>
      <c r="J11" s="1515">
        <v>51</v>
      </c>
      <c r="K11" s="1503">
        <v>12657</v>
      </c>
      <c r="L11" s="1503">
        <v>30766</v>
      </c>
      <c r="M11" s="1517">
        <v>0</v>
      </c>
      <c r="N11" s="1495"/>
      <c r="O11" s="1486">
        <f t="shared" si="1"/>
        <v>1.031859125988579</v>
      </c>
      <c r="P11" s="1505"/>
      <c r="Q11" s="1508"/>
    </row>
    <row r="12" spans="1:17">
      <c r="A12" s="1489" t="s">
        <v>22</v>
      </c>
      <c r="B12" s="1497"/>
      <c r="C12" s="1518"/>
      <c r="D12" s="1521"/>
      <c r="E12" s="1500">
        <f t="shared" si="2"/>
        <v>0</v>
      </c>
      <c r="F12" s="1501"/>
      <c r="G12" s="1501"/>
      <c r="H12" s="1501"/>
      <c r="I12" s="1501"/>
      <c r="J12" s="1502"/>
      <c r="K12" s="1503"/>
      <c r="L12" s="1503"/>
      <c r="M12" s="1503"/>
      <c r="N12" s="1504"/>
      <c r="O12" s="1486"/>
      <c r="P12" s="1507"/>
      <c r="Q12" s="1508"/>
    </row>
    <row r="13" spans="1:17">
      <c r="A13" s="1489" t="s">
        <v>182</v>
      </c>
      <c r="B13" s="1497">
        <f>74332+41587+36538+49878+32546+31277+34151+28168+37725+30539+35982</f>
        <v>432723</v>
      </c>
      <c r="C13" s="1518">
        <v>74332</v>
      </c>
      <c r="D13" s="1521">
        <f>36880+26026</f>
        <v>62906</v>
      </c>
      <c r="E13" s="1500">
        <f t="shared" si="2"/>
        <v>26026</v>
      </c>
      <c r="F13" s="1726">
        <v>13402</v>
      </c>
      <c r="G13" s="1726">
        <v>10813</v>
      </c>
      <c r="H13" s="1726">
        <v>1481</v>
      </c>
      <c r="I13" s="1726">
        <v>330</v>
      </c>
      <c r="J13" s="1726">
        <v>0</v>
      </c>
      <c r="K13" s="1727">
        <v>7460</v>
      </c>
      <c r="L13" s="1727">
        <v>6248</v>
      </c>
      <c r="M13" s="1727">
        <v>0</v>
      </c>
      <c r="N13" s="1728">
        <v>0</v>
      </c>
      <c r="O13" s="1486">
        <f>+D13/C13</f>
        <v>0.84628423828230104</v>
      </c>
      <c r="P13" s="1505"/>
      <c r="Q13" s="1508"/>
    </row>
    <row r="14" spans="1:17">
      <c r="A14" s="1522" t="s">
        <v>25</v>
      </c>
      <c r="B14" s="1497">
        <f>1255391+108887+133144</f>
        <v>1497422</v>
      </c>
      <c r="C14" s="1518">
        <v>230133</v>
      </c>
      <c r="D14" s="1499">
        <f>121167+93579</f>
        <v>214746</v>
      </c>
      <c r="E14" s="1500">
        <f t="shared" si="2"/>
        <v>93579.400000000009</v>
      </c>
      <c r="F14" s="1523">
        <v>45805</v>
      </c>
      <c r="G14" s="1523">
        <v>42249</v>
      </c>
      <c r="H14" s="1523">
        <v>2315.6</v>
      </c>
      <c r="I14" s="1523">
        <v>3209.8</v>
      </c>
      <c r="J14" s="1515">
        <v>0</v>
      </c>
      <c r="K14" s="1524">
        <v>23534</v>
      </c>
      <c r="L14" s="1524">
        <f>2740+11166+263+312</f>
        <v>14481</v>
      </c>
      <c r="M14" s="1524"/>
      <c r="N14" s="1525">
        <v>47774</v>
      </c>
      <c r="O14" s="1486">
        <f t="shared" ref="O14:O24" si="3">+D14/C14</f>
        <v>0.93313866329470352</v>
      </c>
      <c r="P14" s="1505"/>
      <c r="Q14" s="1508"/>
    </row>
    <row r="15" spans="1:17">
      <c r="A15" s="1489" t="s">
        <v>26</v>
      </c>
      <c r="B15" s="1497"/>
      <c r="C15" s="1518">
        <v>5643</v>
      </c>
      <c r="D15" s="1499"/>
      <c r="E15" s="1500"/>
      <c r="F15" s="1501"/>
      <c r="G15" s="1501"/>
      <c r="H15" s="1501"/>
      <c r="I15" s="1501"/>
      <c r="J15" s="1502"/>
      <c r="K15" s="1494"/>
      <c r="L15" s="1503"/>
      <c r="M15" s="1503"/>
      <c r="N15" s="1504"/>
      <c r="O15" s="1486"/>
      <c r="P15" s="1526"/>
      <c r="Q15" s="1508"/>
    </row>
    <row r="16" spans="1:17">
      <c r="A16" s="1489" t="s">
        <v>27</v>
      </c>
      <c r="B16" s="1497"/>
      <c r="C16" s="1518"/>
      <c r="D16" s="1499"/>
      <c r="E16" s="1500"/>
      <c r="F16" s="1501"/>
      <c r="G16" s="1501"/>
      <c r="H16" s="1501"/>
      <c r="I16" s="1501"/>
      <c r="J16" s="1502"/>
      <c r="K16" s="1494"/>
      <c r="L16" s="1494"/>
      <c r="M16" s="1503"/>
      <c r="N16" s="1504"/>
      <c r="O16" s="1486"/>
      <c r="P16" s="1526"/>
      <c r="Q16" s="1508"/>
    </row>
    <row r="17" spans="1:17" ht="15" thickBot="1">
      <c r="A17" s="1527" t="s">
        <v>28</v>
      </c>
      <c r="B17" s="1528">
        <f>19907+16036+17100+18000+13965+16816+21546+15500+19650+16189+17500</f>
        <v>192209</v>
      </c>
      <c r="C17" s="1729">
        <v>19907</v>
      </c>
      <c r="D17" s="1730">
        <f>23800+13403</f>
        <v>37203</v>
      </c>
      <c r="E17" s="1531">
        <v>13403</v>
      </c>
      <c r="F17" s="1532"/>
      <c r="G17" s="1532"/>
      <c r="H17" s="1532"/>
      <c r="I17" s="1532"/>
      <c r="J17" s="1532"/>
      <c r="K17" s="1533"/>
      <c r="L17" s="1533"/>
      <c r="M17" s="1533"/>
      <c r="N17" s="1534"/>
      <c r="O17" s="1535">
        <f t="shared" si="3"/>
        <v>1.8688401064952027</v>
      </c>
      <c r="P17" s="1536"/>
      <c r="Q17" s="1537"/>
    </row>
    <row r="18" spans="1:17">
      <c r="A18" s="1538" t="s">
        <v>29</v>
      </c>
      <c r="B18" s="1731">
        <v>685261</v>
      </c>
      <c r="C18" s="1732">
        <f>45442+42731</f>
        <v>88173</v>
      </c>
      <c r="D18" s="1733">
        <f>33488+56615</f>
        <v>90103</v>
      </c>
      <c r="E18" s="1734">
        <v>33488</v>
      </c>
      <c r="F18" s="1543"/>
      <c r="G18" s="1543"/>
      <c r="H18" s="1543"/>
      <c r="I18" s="1543"/>
      <c r="J18" s="1543"/>
      <c r="K18" s="1543"/>
      <c r="L18" s="1543"/>
      <c r="M18" s="1543"/>
      <c r="N18" s="1544"/>
      <c r="O18" s="1545">
        <f t="shared" si="3"/>
        <v>1.021888786816826</v>
      </c>
      <c r="P18" s="1546"/>
      <c r="Q18" s="1546"/>
    </row>
    <row r="19" spans="1:17">
      <c r="A19" s="1456" t="s">
        <v>30</v>
      </c>
      <c r="B19" s="1552">
        <v>250606</v>
      </c>
      <c r="C19" s="1735">
        <f>23561+14439</f>
        <v>38000</v>
      </c>
      <c r="D19" s="1736">
        <f>18293+22696</f>
        <v>40989</v>
      </c>
      <c r="E19" s="1737">
        <v>18293</v>
      </c>
      <c r="F19" s="1494"/>
      <c r="G19" s="1494"/>
      <c r="H19" s="1494"/>
      <c r="I19" s="1494"/>
      <c r="J19" s="1494"/>
      <c r="K19" s="1494"/>
      <c r="L19" s="1494"/>
      <c r="M19" s="1494"/>
      <c r="N19" s="1495"/>
      <c r="O19" s="1486">
        <f t="shared" si="3"/>
        <v>1.0786578947368421</v>
      </c>
      <c r="P19" s="1550"/>
      <c r="Q19" s="1468"/>
    </row>
    <row r="20" spans="1:17">
      <c r="A20" s="1456" t="s">
        <v>31</v>
      </c>
      <c r="B20" s="1552">
        <v>66447</v>
      </c>
      <c r="C20" s="1735">
        <f>5832+4910</f>
        <v>10742</v>
      </c>
      <c r="D20" s="1736">
        <f>4583+5222</f>
        <v>9805</v>
      </c>
      <c r="E20" s="1737">
        <v>4583</v>
      </c>
      <c r="F20" s="1494"/>
      <c r="G20" s="1494"/>
      <c r="H20" s="1494"/>
      <c r="I20" s="1494"/>
      <c r="J20" s="1494"/>
      <c r="K20" s="1494"/>
      <c r="L20" s="1494"/>
      <c r="M20" s="1494"/>
      <c r="N20" s="1495"/>
      <c r="O20" s="1486">
        <f t="shared" si="3"/>
        <v>0.91277229566188789</v>
      </c>
      <c r="P20" s="1551"/>
      <c r="Q20" s="1466"/>
    </row>
    <row r="21" spans="1:17">
      <c r="A21" s="1456" t="s">
        <v>32</v>
      </c>
      <c r="B21" s="1552">
        <v>450014</v>
      </c>
      <c r="C21" s="1735">
        <f>41080+36660</f>
        <v>77740</v>
      </c>
      <c r="D21" s="1736">
        <f>22615+31008</f>
        <v>53623</v>
      </c>
      <c r="E21" s="1737">
        <v>22615</v>
      </c>
      <c r="F21" s="1494"/>
      <c r="G21" s="1494"/>
      <c r="H21" s="1494"/>
      <c r="I21" s="1494"/>
      <c r="J21" s="1494"/>
      <c r="K21" s="1494"/>
      <c r="L21" s="1494"/>
      <c r="M21" s="1494"/>
      <c r="N21" s="1495"/>
      <c r="O21" s="1486">
        <f t="shared" si="3"/>
        <v>0.68977360432209933</v>
      </c>
      <c r="P21" s="1551"/>
      <c r="Q21" s="1466"/>
    </row>
    <row r="22" spans="1:17">
      <c r="A22" s="1456" t="s">
        <v>33</v>
      </c>
      <c r="B22" s="1552">
        <v>144643</v>
      </c>
      <c r="C22" s="1735">
        <f>12445+10252</f>
        <v>22697</v>
      </c>
      <c r="D22" s="1736">
        <f>9227+13630</f>
        <v>22857</v>
      </c>
      <c r="E22" s="1737">
        <v>9227</v>
      </c>
      <c r="F22" s="1494"/>
      <c r="G22" s="1494"/>
      <c r="H22" s="1494"/>
      <c r="I22" s="1494"/>
      <c r="J22" s="1494"/>
      <c r="K22" s="1494"/>
      <c r="L22" s="1494"/>
      <c r="M22" s="1494"/>
      <c r="N22" s="1495"/>
      <c r="O22" s="1486">
        <f t="shared" si="3"/>
        <v>1.0070493897871966</v>
      </c>
      <c r="P22" s="1551"/>
      <c r="Q22" s="1466"/>
    </row>
    <row r="23" spans="1:17">
      <c r="A23" s="1456" t="s">
        <v>34</v>
      </c>
      <c r="B23" s="1552">
        <v>418181</v>
      </c>
      <c r="C23" s="1735">
        <f>32478+19819</f>
        <v>52297</v>
      </c>
      <c r="D23" s="1736">
        <f>28224+52313</f>
        <v>80537</v>
      </c>
      <c r="E23" s="1737">
        <v>28224</v>
      </c>
      <c r="F23" s="1494"/>
      <c r="G23" s="1494"/>
      <c r="H23" s="1494"/>
      <c r="I23" s="1494"/>
      <c r="J23" s="1494"/>
      <c r="K23" s="1494"/>
      <c r="L23" s="1494"/>
      <c r="M23" s="1494"/>
      <c r="N23" s="1495"/>
      <c r="O23" s="1486">
        <f t="shared" si="3"/>
        <v>1.5399927338088226</v>
      </c>
      <c r="P23" s="1551"/>
      <c r="Q23" s="1466"/>
    </row>
    <row r="24" spans="1:17">
      <c r="A24" s="1458" t="s">
        <v>35</v>
      </c>
      <c r="B24" s="1552">
        <v>154824</v>
      </c>
      <c r="C24" s="1735">
        <f>18288+13663</f>
        <v>31951</v>
      </c>
      <c r="D24" s="1736">
        <f>7472+11209</f>
        <v>18681</v>
      </c>
      <c r="E24" s="1737">
        <v>7472</v>
      </c>
      <c r="F24" s="1494"/>
      <c r="G24" s="1494"/>
      <c r="H24" s="1494"/>
      <c r="I24" s="1494"/>
      <c r="J24" s="1494"/>
      <c r="K24" s="1494"/>
      <c r="L24" s="1494"/>
      <c r="M24" s="1494"/>
      <c r="N24" s="1495"/>
      <c r="O24" s="1486">
        <f t="shared" si="3"/>
        <v>0.58467653594566682</v>
      </c>
      <c r="P24" s="1551"/>
      <c r="Q24" s="1466"/>
    </row>
    <row r="25" spans="1:17">
      <c r="A25" s="1458" t="s">
        <v>184</v>
      </c>
      <c r="B25" s="1552">
        <v>820504</v>
      </c>
      <c r="C25" s="1738"/>
      <c r="D25" s="1739">
        <f>64416+76783</f>
        <v>141199</v>
      </c>
      <c r="E25" s="1740">
        <v>64416</v>
      </c>
      <c r="F25" s="1494"/>
      <c r="G25" s="1494"/>
      <c r="H25" s="1494"/>
      <c r="I25" s="1494"/>
      <c r="J25" s="1494"/>
      <c r="K25" s="1494"/>
      <c r="L25" s="1494"/>
      <c r="M25" s="1494"/>
      <c r="N25" s="1495"/>
      <c r="O25" s="1486"/>
      <c r="P25" s="1551"/>
      <c r="Q25" s="1466"/>
    </row>
    <row r="26" spans="1:17">
      <c r="A26" s="1556" t="s">
        <v>142</v>
      </c>
      <c r="B26" s="1557">
        <f>225080+20763+25013</f>
        <v>270856</v>
      </c>
      <c r="C26" s="1741">
        <v>38233</v>
      </c>
      <c r="D26" s="1742">
        <f>21847+15575</f>
        <v>37422</v>
      </c>
      <c r="E26" s="1743">
        <f>SUM(F26:J26)</f>
        <v>15575</v>
      </c>
      <c r="F26" s="1501">
        <v>0</v>
      </c>
      <c r="G26" s="1501">
        <v>0</v>
      </c>
      <c r="H26" s="1501">
        <v>7712</v>
      </c>
      <c r="I26" s="1501">
        <v>7863</v>
      </c>
      <c r="J26" s="1515">
        <v>0</v>
      </c>
      <c r="K26" s="1503">
        <v>4061</v>
      </c>
      <c r="L26" s="1503">
        <v>134</v>
      </c>
      <c r="M26" s="1517"/>
      <c r="N26" s="1725"/>
      <c r="O26" s="1486" t="e">
        <f>+D26/C27</f>
        <v>#DIV/0!</v>
      </c>
      <c r="P26" s="1551"/>
      <c r="Q26" s="1466"/>
    </row>
    <row r="27" spans="1:17">
      <c r="A27" s="1566"/>
      <c r="B27" s="1567"/>
      <c r="C27" s="1744"/>
      <c r="D27" s="1568"/>
      <c r="E27" s="1569"/>
      <c r="F27" s="1494"/>
      <c r="G27" s="1494"/>
      <c r="H27" s="1494"/>
      <c r="I27" s="1494"/>
      <c r="J27" s="1494"/>
      <c r="K27" s="1494"/>
      <c r="L27" s="1494"/>
      <c r="M27" s="1494"/>
      <c r="N27" s="1495"/>
      <c r="O27" s="1486"/>
      <c r="P27" s="1551"/>
      <c r="Q27" s="1466"/>
    </row>
    <row r="28" spans="1:17">
      <c r="A28" s="1447" t="s">
        <v>223</v>
      </c>
      <c r="B28" s="1570">
        <f t="shared" ref="B28:N28" si="4">SUM(B29:B30)</f>
        <v>115478</v>
      </c>
      <c r="C28" s="1570">
        <f t="shared" si="4"/>
        <v>8241</v>
      </c>
      <c r="D28" s="1570">
        <f t="shared" si="4"/>
        <v>23107</v>
      </c>
      <c r="E28" s="1745">
        <f t="shared" si="4"/>
        <v>11408</v>
      </c>
      <c r="F28" s="1570">
        <f t="shared" si="4"/>
        <v>0</v>
      </c>
      <c r="G28" s="1570">
        <f t="shared" si="4"/>
        <v>0</v>
      </c>
      <c r="H28" s="1570">
        <f t="shared" si="4"/>
        <v>5803</v>
      </c>
      <c r="I28" s="1570">
        <f t="shared" si="4"/>
        <v>5605</v>
      </c>
      <c r="J28" s="1570">
        <f t="shared" si="4"/>
        <v>0</v>
      </c>
      <c r="K28" s="1570">
        <f t="shared" si="4"/>
        <v>5542</v>
      </c>
      <c r="L28" s="1570">
        <f t="shared" si="4"/>
        <v>3415</v>
      </c>
      <c r="M28" s="1570">
        <f t="shared" si="4"/>
        <v>0</v>
      </c>
      <c r="N28" s="1746">
        <f t="shared" si="4"/>
        <v>6670</v>
      </c>
      <c r="O28" s="1486">
        <f t="shared" ref="O28:O30" si="5">+D28/C28</f>
        <v>2.8039072928042712</v>
      </c>
      <c r="P28" s="1571"/>
      <c r="Q28" s="1488"/>
    </row>
    <row r="29" spans="1:17">
      <c r="A29" s="1489" t="s">
        <v>186</v>
      </c>
      <c r="B29" s="1572">
        <f>51295+3304</f>
        <v>54599</v>
      </c>
      <c r="C29" s="1708">
        <v>8241</v>
      </c>
      <c r="D29" s="1574">
        <f>4330+4738</f>
        <v>9068</v>
      </c>
      <c r="E29" s="1500">
        <f>SUM(F29:J29)</f>
        <v>4738</v>
      </c>
      <c r="F29" s="1575">
        <v>0</v>
      </c>
      <c r="G29" s="1575">
        <v>0</v>
      </c>
      <c r="H29" s="1576">
        <v>2298</v>
      </c>
      <c r="I29" s="1576">
        <v>2440</v>
      </c>
      <c r="J29" s="1575">
        <v>0</v>
      </c>
      <c r="K29" s="1503">
        <v>2114</v>
      </c>
      <c r="L29" s="1503">
        <v>1133</v>
      </c>
      <c r="M29" s="1517">
        <v>0</v>
      </c>
      <c r="N29" s="1725">
        <v>0</v>
      </c>
      <c r="O29" s="1486">
        <f t="shared" si="5"/>
        <v>1.1003518990413785</v>
      </c>
      <c r="P29" s="1577"/>
      <c r="Q29" s="1466"/>
    </row>
    <row r="30" spans="1:17">
      <c r="A30" s="1489" t="s">
        <v>149</v>
      </c>
      <c r="B30" s="1572">
        <f>47524+6447+6908</f>
        <v>60879</v>
      </c>
      <c r="C30" s="1578">
        <v>0</v>
      </c>
      <c r="D30" s="1574">
        <f>7369+6670</f>
        <v>14039</v>
      </c>
      <c r="E30" s="1513">
        <f>SUM(F30:J30)</f>
        <v>6670</v>
      </c>
      <c r="F30" s="1575">
        <v>0</v>
      </c>
      <c r="G30" s="1575">
        <v>0</v>
      </c>
      <c r="H30" s="1576">
        <v>3505</v>
      </c>
      <c r="I30" s="1576">
        <v>3165</v>
      </c>
      <c r="J30" s="1575">
        <v>0</v>
      </c>
      <c r="K30" s="1503">
        <v>3428</v>
      </c>
      <c r="L30" s="1503">
        <f>2282</f>
        <v>2282</v>
      </c>
      <c r="M30" s="1494">
        <v>0</v>
      </c>
      <c r="N30" s="1504">
        <v>6670</v>
      </c>
      <c r="O30" s="1486" t="e">
        <f t="shared" si="5"/>
        <v>#DIV/0!</v>
      </c>
      <c r="P30" s="1577"/>
      <c r="Q30" s="1466"/>
    </row>
    <row r="31" spans="1:17">
      <c r="A31" s="1489"/>
      <c r="B31" s="1572"/>
      <c r="C31" s="1578"/>
      <c r="D31" s="1574"/>
      <c r="E31" s="1513"/>
      <c r="F31" s="1575"/>
      <c r="G31" s="1575"/>
      <c r="H31" s="1576"/>
      <c r="I31" s="1576"/>
      <c r="J31" s="1575"/>
      <c r="K31" s="1503"/>
      <c r="L31" s="1503"/>
      <c r="M31" s="1494"/>
      <c r="N31" s="1504"/>
      <c r="O31" s="1486"/>
      <c r="P31" s="1577"/>
      <c r="Q31" s="1466"/>
    </row>
    <row r="32" spans="1:17">
      <c r="A32" s="1447" t="s">
        <v>224</v>
      </c>
      <c r="B32" s="1579">
        <f t="shared" ref="B32:N32" si="6">SUM(B33:B35)</f>
        <v>1031853</v>
      </c>
      <c r="C32" s="1579">
        <f t="shared" si="6"/>
        <v>158724</v>
      </c>
      <c r="D32" s="1579">
        <f t="shared" si="6"/>
        <v>195207</v>
      </c>
      <c r="E32" s="1579">
        <f t="shared" si="6"/>
        <v>86939</v>
      </c>
      <c r="F32" s="1579">
        <f t="shared" si="6"/>
        <v>33459</v>
      </c>
      <c r="G32" s="1579">
        <f t="shared" si="6"/>
        <v>36177</v>
      </c>
      <c r="H32" s="1579">
        <f t="shared" si="6"/>
        <v>11116</v>
      </c>
      <c r="I32" s="1579">
        <f t="shared" si="6"/>
        <v>6187</v>
      </c>
      <c r="J32" s="1579">
        <f t="shared" si="6"/>
        <v>0</v>
      </c>
      <c r="K32" s="1579">
        <f t="shared" si="6"/>
        <v>13927</v>
      </c>
      <c r="L32" s="1579">
        <f t="shared" si="6"/>
        <v>24603</v>
      </c>
      <c r="M32" s="1579">
        <f t="shared" si="6"/>
        <v>0</v>
      </c>
      <c r="N32" s="1579">
        <f t="shared" si="6"/>
        <v>0</v>
      </c>
      <c r="O32" s="1486">
        <f>+D32/C32</f>
        <v>1.229851818250548</v>
      </c>
      <c r="P32" s="1577"/>
      <c r="Q32" s="1466"/>
    </row>
    <row r="33" spans="1:17">
      <c r="A33" s="1580" t="s">
        <v>188</v>
      </c>
      <c r="B33" s="1572">
        <f>122864+65834+68474+77377+68757+73572+78703+65592+72568+68867+84388</f>
        <v>846996</v>
      </c>
      <c r="C33" s="1573">
        <v>122864</v>
      </c>
      <c r="D33" s="1581">
        <f>85261+65541</f>
        <v>150802</v>
      </c>
      <c r="E33" s="1500">
        <f t="shared" ref="E33:E34" si="7">SUM(F33:J33)</f>
        <v>65541</v>
      </c>
      <c r="F33" s="1582">
        <v>27103</v>
      </c>
      <c r="G33" s="1582">
        <v>25748</v>
      </c>
      <c r="H33" s="1582">
        <v>6766</v>
      </c>
      <c r="I33" s="1582">
        <v>5924</v>
      </c>
      <c r="J33" s="1575">
        <v>0</v>
      </c>
      <c r="K33" s="1494">
        <v>11765</v>
      </c>
      <c r="L33" s="1494">
        <v>15309</v>
      </c>
      <c r="M33" s="1494">
        <v>0</v>
      </c>
      <c r="N33" s="1495">
        <v>0</v>
      </c>
      <c r="O33" s="1486">
        <f>+D33/C33</f>
        <v>1.2273896340669359</v>
      </c>
      <c r="P33" s="1466"/>
      <c r="Q33" s="1466"/>
    </row>
    <row r="34" spans="1:17">
      <c r="A34" s="1580" t="s">
        <v>189</v>
      </c>
      <c r="B34" s="1583">
        <f>35860+15843+15535+12262+10916+12135+12744+11821+20642+15465+21634</f>
        <v>184857</v>
      </c>
      <c r="C34" s="1584">
        <v>35860</v>
      </c>
      <c r="D34" s="1585">
        <f>23007+21398</f>
        <v>44405</v>
      </c>
      <c r="E34" s="1500">
        <f t="shared" si="7"/>
        <v>21398</v>
      </c>
      <c r="F34" s="1586">
        <v>6356</v>
      </c>
      <c r="G34" s="1582">
        <v>10429</v>
      </c>
      <c r="H34" s="1582">
        <v>4350</v>
      </c>
      <c r="I34" s="1582">
        <v>263</v>
      </c>
      <c r="J34" s="1575">
        <v>0</v>
      </c>
      <c r="K34" s="1494">
        <v>2162</v>
      </c>
      <c r="L34" s="1494">
        <v>9294</v>
      </c>
      <c r="M34" s="1517">
        <v>0</v>
      </c>
      <c r="N34" s="1725">
        <v>0</v>
      </c>
      <c r="O34" s="1486">
        <f>+D34/C34</f>
        <v>1.2382877858337982</v>
      </c>
      <c r="P34" s="1466"/>
      <c r="Q34" s="1466"/>
    </row>
    <row r="35" spans="1:17">
      <c r="A35" s="1580" t="s">
        <v>215</v>
      </c>
      <c r="B35" s="1490">
        <v>0</v>
      </c>
      <c r="C35" s="1518"/>
      <c r="D35" s="1492">
        <v>0</v>
      </c>
      <c r="E35" s="1493">
        <v>0</v>
      </c>
      <c r="F35" s="1587"/>
      <c r="G35" s="1587"/>
      <c r="H35" s="1587"/>
      <c r="I35" s="1587"/>
      <c r="J35" s="1588"/>
      <c r="K35" s="1503"/>
      <c r="L35" s="1503"/>
      <c r="M35" s="1503"/>
      <c r="N35" s="1504"/>
      <c r="O35" s="1486" t="e">
        <f>+D35/C35</f>
        <v>#DIV/0!</v>
      </c>
      <c r="P35" s="1466"/>
      <c r="Q35" s="1466"/>
    </row>
    <row r="36" spans="1:17">
      <c r="A36" s="1589"/>
      <c r="B36" s="1590"/>
      <c r="C36" s="1518"/>
      <c r="D36" s="1591"/>
      <c r="E36" s="1592"/>
      <c r="F36" s="1593"/>
      <c r="G36" s="1593"/>
      <c r="H36" s="1593"/>
      <c r="I36" s="1593"/>
      <c r="J36" s="1593"/>
      <c r="K36" s="1594"/>
      <c r="L36" s="1594"/>
      <c r="M36" s="1594"/>
      <c r="N36" s="1595"/>
      <c r="O36" s="1486"/>
      <c r="P36" s="1466"/>
      <c r="Q36" s="1466"/>
    </row>
    <row r="37" spans="1:17" ht="28.2">
      <c r="A37" s="1596" t="s">
        <v>225</v>
      </c>
      <c r="B37" s="1485">
        <f>SUM(B38:B49)</f>
        <v>9947095</v>
      </c>
      <c r="C37" s="1485">
        <f t="shared" ref="C37:N37" si="8">SUM(C38:C49)</f>
        <v>1397149</v>
      </c>
      <c r="D37" s="1485">
        <f t="shared" si="8"/>
        <v>1591330</v>
      </c>
      <c r="E37" s="1723">
        <f t="shared" si="8"/>
        <v>656021</v>
      </c>
      <c r="F37" s="1485">
        <f t="shared" si="8"/>
        <v>264678</v>
      </c>
      <c r="G37" s="1485">
        <f t="shared" si="8"/>
        <v>214214</v>
      </c>
      <c r="H37" s="1485">
        <f t="shared" si="8"/>
        <v>63771</v>
      </c>
      <c r="I37" s="1485">
        <f t="shared" si="8"/>
        <v>112022</v>
      </c>
      <c r="J37" s="1485">
        <f t="shared" si="8"/>
        <v>1336</v>
      </c>
      <c r="K37" s="1485">
        <f t="shared" si="8"/>
        <v>155317</v>
      </c>
      <c r="L37" s="1485">
        <f t="shared" si="8"/>
        <v>101844</v>
      </c>
      <c r="M37" s="1485">
        <f t="shared" si="8"/>
        <v>358</v>
      </c>
      <c r="N37" s="1724">
        <f t="shared" si="8"/>
        <v>47745</v>
      </c>
      <c r="O37" s="1486">
        <f t="shared" ref="O37:O39" si="9">+D37/C37</f>
        <v>1.1389837447544964</v>
      </c>
      <c r="P37" s="1488"/>
      <c r="Q37" s="1488"/>
    </row>
    <row r="38" spans="1:17">
      <c r="A38" s="1489" t="s">
        <v>191</v>
      </c>
      <c r="B38" s="1497">
        <f>141659+76024+81669+80656+83401+82771+90144+86739+86664+97258+14937</f>
        <v>921922</v>
      </c>
      <c r="C38" s="1518">
        <v>141659</v>
      </c>
      <c r="D38" s="1499">
        <f>95005+67426</f>
        <v>162431</v>
      </c>
      <c r="E38" s="1500">
        <f t="shared" ref="E38:E49" si="10">SUM(F38:J38)</f>
        <v>67426</v>
      </c>
      <c r="F38" s="1575">
        <v>0</v>
      </c>
      <c r="G38" s="1575">
        <v>0</v>
      </c>
      <c r="H38" s="1501">
        <v>23011</v>
      </c>
      <c r="I38" s="1501">
        <v>44415</v>
      </c>
      <c r="J38" s="1575">
        <v>0</v>
      </c>
      <c r="K38" s="1597">
        <v>1330</v>
      </c>
      <c r="L38" s="1597">
        <f>17540+1308</f>
        <v>18848</v>
      </c>
      <c r="M38" s="1517">
        <v>0</v>
      </c>
      <c r="N38" s="1495"/>
      <c r="O38" s="1486">
        <f t="shared" si="9"/>
        <v>1.1466338178301414</v>
      </c>
      <c r="P38" s="1466"/>
      <c r="Q38" s="1466"/>
    </row>
    <row r="39" spans="1:17">
      <c r="A39" s="1489" t="s">
        <v>44</v>
      </c>
      <c r="B39" s="1498">
        <f>104618+64282+60352+64355+61155+69820+67741+61649+65796+65459+67411</f>
        <v>752638</v>
      </c>
      <c r="C39" s="1518">
        <v>104618</v>
      </c>
      <c r="D39" s="1598">
        <f>66996+43362</f>
        <v>110358</v>
      </c>
      <c r="E39" s="1500">
        <f t="shared" si="10"/>
        <v>43362</v>
      </c>
      <c r="F39" s="1575">
        <v>0</v>
      </c>
      <c r="G39" s="1575">
        <v>0</v>
      </c>
      <c r="H39" s="1599">
        <v>6973</v>
      </c>
      <c r="I39" s="1599">
        <v>36389</v>
      </c>
      <c r="J39" s="1575">
        <v>0</v>
      </c>
      <c r="K39" s="1503">
        <v>1500</v>
      </c>
      <c r="L39" s="1600">
        <v>6454</v>
      </c>
      <c r="M39" s="1517">
        <v>0</v>
      </c>
      <c r="N39" s="1601">
        <v>43362</v>
      </c>
      <c r="O39" s="1486">
        <f t="shared" si="9"/>
        <v>1.0548662754019384</v>
      </c>
      <c r="P39" s="1466"/>
      <c r="Q39" s="1466"/>
    </row>
    <row r="40" spans="1:17">
      <c r="A40" s="1489" t="s">
        <v>128</v>
      </c>
      <c r="B40" s="1498">
        <f>169980+39843+31052+30774</f>
        <v>271649</v>
      </c>
      <c r="C40" s="1602"/>
      <c r="D40" s="1598">
        <f>50797+24532</f>
        <v>75329</v>
      </c>
      <c r="E40" s="1500">
        <f t="shared" si="10"/>
        <v>24532</v>
      </c>
      <c r="F40" s="1599">
        <v>8561</v>
      </c>
      <c r="G40" s="1599">
        <v>15971</v>
      </c>
      <c r="H40" s="1575">
        <v>0</v>
      </c>
      <c r="I40" s="1575">
        <v>0</v>
      </c>
      <c r="J40" s="1575">
        <v>0</v>
      </c>
      <c r="K40" s="1603">
        <v>6826</v>
      </c>
      <c r="L40" s="1494"/>
      <c r="M40" s="1517"/>
      <c r="N40" s="1495"/>
      <c r="O40" s="1486"/>
      <c r="P40" s="1604"/>
      <c r="Q40" s="1466"/>
    </row>
    <row r="41" spans="1:17">
      <c r="A41" s="1580" t="s">
        <v>192</v>
      </c>
      <c r="B41" s="1583">
        <f>35539+25020+25012+26281+22284+23157+20948+19597+31370+25185+26111</f>
        <v>280504</v>
      </c>
      <c r="C41" s="1602">
        <v>35539</v>
      </c>
      <c r="D41" s="1585">
        <f>28107+13396</f>
        <v>41503</v>
      </c>
      <c r="E41" s="1500">
        <f t="shared" si="10"/>
        <v>13396</v>
      </c>
      <c r="F41" s="1575">
        <v>0</v>
      </c>
      <c r="G41" s="1575">
        <v>0</v>
      </c>
      <c r="H41" s="1501">
        <v>6782</v>
      </c>
      <c r="I41" s="1501">
        <v>6614</v>
      </c>
      <c r="J41" s="1575">
        <v>0</v>
      </c>
      <c r="K41" s="1605">
        <v>3186</v>
      </c>
      <c r="L41" s="1503">
        <v>3816</v>
      </c>
      <c r="M41" s="1503">
        <v>206</v>
      </c>
      <c r="N41" s="1495"/>
      <c r="O41" s="1486">
        <f t="shared" ref="O41:O45" si="11">+D41/C41</f>
        <v>1.1678156391569825</v>
      </c>
      <c r="P41" s="1466"/>
      <c r="Q41" s="1466"/>
    </row>
    <row r="42" spans="1:17">
      <c r="A42" s="1580" t="s">
        <v>193</v>
      </c>
      <c r="B42" s="1606">
        <f>42541+28883+28001+23533+23137+31624+30682+26896+34161+37632+33122</f>
        <v>340212</v>
      </c>
      <c r="C42" s="1607">
        <v>42541</v>
      </c>
      <c r="D42" s="1608">
        <f>37371+20452</f>
        <v>57823</v>
      </c>
      <c r="E42" s="1500">
        <f t="shared" si="10"/>
        <v>20452</v>
      </c>
      <c r="F42" s="1575">
        <v>0</v>
      </c>
      <c r="G42" s="1575">
        <v>0</v>
      </c>
      <c r="H42" s="1609">
        <v>9937</v>
      </c>
      <c r="I42" s="1609">
        <v>10515</v>
      </c>
      <c r="J42" s="1575">
        <v>0</v>
      </c>
      <c r="K42" s="1503">
        <v>7158</v>
      </c>
      <c r="L42" s="1503">
        <f>867+976</f>
        <v>1843</v>
      </c>
      <c r="M42" s="1503">
        <v>152</v>
      </c>
      <c r="N42" s="1725">
        <v>0</v>
      </c>
      <c r="O42" s="1486">
        <f t="shared" si="11"/>
        <v>1.3592299193719</v>
      </c>
      <c r="P42" s="1466"/>
      <c r="Q42" s="1466"/>
    </row>
    <row r="43" spans="1:17">
      <c r="A43" s="1580" t="s">
        <v>194</v>
      </c>
      <c r="B43" s="1610">
        <f>265227+22270+28401</f>
        <v>315898</v>
      </c>
      <c r="C43" s="1747">
        <v>35287</v>
      </c>
      <c r="D43" s="1748">
        <f>25361+15365</f>
        <v>40726</v>
      </c>
      <c r="E43" s="1500">
        <f t="shared" si="10"/>
        <v>15365</v>
      </c>
      <c r="F43" s="1501">
        <v>5012</v>
      </c>
      <c r="G43" s="1501">
        <v>10350</v>
      </c>
      <c r="H43" s="1575">
        <v>0</v>
      </c>
      <c r="I43" s="1575">
        <v>0</v>
      </c>
      <c r="J43" s="1501">
        <v>3</v>
      </c>
      <c r="K43" s="1503">
        <v>4275</v>
      </c>
      <c r="L43" s="1503">
        <f>708+2791</f>
        <v>3499</v>
      </c>
      <c r="M43" s="1517">
        <v>0</v>
      </c>
      <c r="N43" s="1504">
        <v>-34</v>
      </c>
      <c r="O43" s="1486">
        <f t="shared" si="11"/>
        <v>1.1541360841102957</v>
      </c>
      <c r="P43" s="1466"/>
      <c r="Q43" s="1466"/>
    </row>
    <row r="44" spans="1:17">
      <c r="A44" s="1580" t="s">
        <v>195</v>
      </c>
      <c r="B44" s="1606">
        <f>890002+542749+505450+501865+511958+508971+512557+491530+514214+487223+539325</f>
        <v>6005844</v>
      </c>
      <c r="C44" s="1607">
        <v>890002</v>
      </c>
      <c r="D44" s="1608">
        <f>383857+521467</f>
        <v>905324</v>
      </c>
      <c r="E44" s="1500">
        <f t="shared" si="10"/>
        <v>383857</v>
      </c>
      <c r="F44" s="1501">
        <v>223299</v>
      </c>
      <c r="G44" s="1501">
        <v>160558</v>
      </c>
      <c r="H44" s="1575">
        <v>0</v>
      </c>
      <c r="I44" s="1575">
        <v>0</v>
      </c>
      <c r="J44" s="1575">
        <v>0</v>
      </c>
      <c r="K44" s="1494">
        <v>109589</v>
      </c>
      <c r="L44" s="1494">
        <f>33369+15249</f>
        <v>48618</v>
      </c>
      <c r="M44" s="1517">
        <v>0</v>
      </c>
      <c r="N44" s="1725">
        <v>0</v>
      </c>
      <c r="O44" s="1486">
        <f t="shared" si="11"/>
        <v>1.0172156916501311</v>
      </c>
      <c r="P44" s="1466"/>
      <c r="Q44" s="1466"/>
    </row>
    <row r="45" spans="1:17">
      <c r="A45" s="1580" t="s">
        <v>49</v>
      </c>
      <c r="B45" s="1612">
        <f>400483+31413+46888</f>
        <v>478784</v>
      </c>
      <c r="C45" s="1607">
        <v>72994</v>
      </c>
      <c r="D45" s="1613">
        <f>40143+28372</f>
        <v>68515</v>
      </c>
      <c r="E45" s="1500">
        <f t="shared" si="10"/>
        <v>28372</v>
      </c>
      <c r="F45" s="1614">
        <v>1041</v>
      </c>
      <c r="G45" s="1614">
        <v>2379</v>
      </c>
      <c r="H45" s="1614">
        <v>13835</v>
      </c>
      <c r="I45" s="1614">
        <v>11117</v>
      </c>
      <c r="J45" s="1575">
        <v>0</v>
      </c>
      <c r="K45" s="1600">
        <v>6406</v>
      </c>
      <c r="L45" s="1600">
        <v>2880</v>
      </c>
      <c r="M45" s="1517">
        <v>0</v>
      </c>
      <c r="N45" s="1495"/>
      <c r="O45" s="1486">
        <f t="shared" si="11"/>
        <v>0.93863879222949831</v>
      </c>
      <c r="P45" s="1466"/>
      <c r="Q45" s="1466"/>
    </row>
    <row r="46" spans="1:17">
      <c r="A46" s="1580" t="s">
        <v>50</v>
      </c>
      <c r="B46" s="1578"/>
      <c r="C46" s="1573"/>
      <c r="D46" s="1615"/>
      <c r="E46" s="1500">
        <f t="shared" si="10"/>
        <v>0</v>
      </c>
      <c r="F46" s="1616"/>
      <c r="G46" s="1616"/>
      <c r="H46" s="1616"/>
      <c r="I46" s="1616"/>
      <c r="J46" s="1616"/>
      <c r="K46" s="1600"/>
      <c r="L46" s="1600"/>
      <c r="M46" s="1600"/>
      <c r="N46" s="1601"/>
      <c r="O46" s="1486"/>
      <c r="P46" s="1604"/>
      <c r="Q46" s="1466"/>
    </row>
    <row r="47" spans="1:17">
      <c r="A47" s="1580" t="s">
        <v>51</v>
      </c>
      <c r="B47" s="1617">
        <f>2723+257+332</f>
        <v>3312</v>
      </c>
      <c r="C47" s="1618">
        <v>571</v>
      </c>
      <c r="D47" s="1619">
        <f>276+354</f>
        <v>630</v>
      </c>
      <c r="E47" s="1500">
        <f t="shared" si="10"/>
        <v>276</v>
      </c>
      <c r="F47" s="1616">
        <v>121</v>
      </c>
      <c r="G47" s="1616">
        <v>155</v>
      </c>
      <c r="H47" s="1575">
        <v>0</v>
      </c>
      <c r="I47" s="1575">
        <v>0</v>
      </c>
      <c r="J47" s="1575">
        <v>0</v>
      </c>
      <c r="K47" s="1600">
        <v>276</v>
      </c>
      <c r="L47" s="1600">
        <v>121</v>
      </c>
      <c r="M47" s="1517">
        <v>0</v>
      </c>
      <c r="N47" s="1495"/>
      <c r="O47" s="1486">
        <f t="shared" ref="O47:O49" si="12">+D47/C47</f>
        <v>1.1033274956217163</v>
      </c>
      <c r="P47" s="1466"/>
      <c r="Q47" s="1466"/>
    </row>
    <row r="48" spans="1:17" ht="15" thickBot="1">
      <c r="A48" s="1620" t="s">
        <v>196</v>
      </c>
      <c r="B48" s="1621">
        <f>11927+1325+3997</f>
        <v>17249</v>
      </c>
      <c r="C48" s="1622">
        <v>2295</v>
      </c>
      <c r="D48" s="1623">
        <f>1216+1972</f>
        <v>3188</v>
      </c>
      <c r="E48" s="1531">
        <f t="shared" si="10"/>
        <v>1972</v>
      </c>
      <c r="F48" s="1624">
        <v>99</v>
      </c>
      <c r="G48" s="1624">
        <v>1873</v>
      </c>
      <c r="H48" s="1625">
        <v>0</v>
      </c>
      <c r="I48" s="1625">
        <v>0</v>
      </c>
      <c r="J48" s="1625">
        <v>0</v>
      </c>
      <c r="K48" s="1626">
        <v>184</v>
      </c>
      <c r="L48" s="1627">
        <v>911</v>
      </c>
      <c r="M48" s="1628">
        <v>0</v>
      </c>
      <c r="N48" s="1629">
        <v>1972</v>
      </c>
      <c r="O48" s="1486">
        <f t="shared" si="12"/>
        <v>1.3891067538126363</v>
      </c>
      <c r="P48" s="1466"/>
      <c r="Q48" s="1466"/>
    </row>
    <row r="49" spans="1:17">
      <c r="A49" s="1630" t="s">
        <v>197</v>
      </c>
      <c r="B49" s="1631">
        <f>46498+25145+53554+45477+47222+51070+47167+41808+32662+49246+57773+61461</f>
        <v>559083</v>
      </c>
      <c r="C49" s="1749">
        <v>71643</v>
      </c>
      <c r="D49" s="1633">
        <f>68492+57011</f>
        <v>125503</v>
      </c>
      <c r="E49" s="1634">
        <f t="shared" si="10"/>
        <v>57011</v>
      </c>
      <c r="F49" s="1635">
        <v>26545</v>
      </c>
      <c r="G49" s="1635">
        <v>22928</v>
      </c>
      <c r="H49" s="1636">
        <v>3233</v>
      </c>
      <c r="I49" s="1636">
        <v>2972</v>
      </c>
      <c r="J49" s="1637">
        <v>1333</v>
      </c>
      <c r="K49" s="1638">
        <v>14587</v>
      </c>
      <c r="L49" s="1638">
        <f>10857+1598+344+1358+697</f>
        <v>14854</v>
      </c>
      <c r="M49" s="1639">
        <v>0</v>
      </c>
      <c r="N49" s="1640">
        <v>2445</v>
      </c>
      <c r="O49" s="1486">
        <f t="shared" si="12"/>
        <v>1.7517831469927279</v>
      </c>
      <c r="P49" s="1467"/>
      <c r="Q49" s="1466"/>
    </row>
    <row r="50" spans="1:17">
      <c r="A50" s="1589"/>
      <c r="B50" s="1641"/>
      <c r="C50" s="1618"/>
      <c r="D50" s="1641"/>
      <c r="E50" s="1642"/>
      <c r="F50" s="1643"/>
      <c r="G50" s="1643"/>
      <c r="H50" s="1643"/>
      <c r="I50" s="1643"/>
      <c r="J50" s="1643"/>
      <c r="K50" s="1644"/>
      <c r="L50" s="1644"/>
      <c r="M50" s="1644"/>
      <c r="N50" s="1645"/>
      <c r="O50" s="1486"/>
      <c r="P50" s="1646"/>
      <c r="Q50" s="1466"/>
    </row>
    <row r="51" spans="1:17">
      <c r="A51" s="1484" t="s">
        <v>226</v>
      </c>
      <c r="B51" s="1485">
        <f>SUM(B52:B58)</f>
        <v>7605205</v>
      </c>
      <c r="C51" s="1485">
        <f t="shared" ref="C51:N51" si="13">SUM(C52:C58)</f>
        <v>1108783</v>
      </c>
      <c r="D51" s="1485">
        <f t="shared" si="13"/>
        <v>1311781</v>
      </c>
      <c r="E51" s="1723">
        <f t="shared" si="13"/>
        <v>600352</v>
      </c>
      <c r="F51" s="1485">
        <f t="shared" si="13"/>
        <v>236407</v>
      </c>
      <c r="G51" s="1485">
        <f t="shared" si="13"/>
        <v>278085</v>
      </c>
      <c r="H51" s="1485">
        <f t="shared" si="13"/>
        <v>1599</v>
      </c>
      <c r="I51" s="1485">
        <f t="shared" si="13"/>
        <v>0</v>
      </c>
      <c r="J51" s="1485">
        <f t="shared" si="13"/>
        <v>84261</v>
      </c>
      <c r="K51" s="1485">
        <f t="shared" si="13"/>
        <v>68503</v>
      </c>
      <c r="L51" s="1485">
        <f t="shared" si="13"/>
        <v>116436</v>
      </c>
      <c r="M51" s="1485">
        <f t="shared" si="13"/>
        <v>2994</v>
      </c>
      <c r="N51" s="1724">
        <f t="shared" si="13"/>
        <v>76828</v>
      </c>
      <c r="O51" s="1486">
        <f>+D51/C51</f>
        <v>1.1830818113192572</v>
      </c>
      <c r="P51" s="1488"/>
      <c r="Q51" s="1488"/>
    </row>
    <row r="52" spans="1:17">
      <c r="A52" s="1580" t="s">
        <v>55</v>
      </c>
      <c r="B52" s="1497"/>
      <c r="C52" s="1491"/>
      <c r="D52" s="1499"/>
      <c r="E52" s="1500">
        <v>0</v>
      </c>
      <c r="F52" s="1501"/>
      <c r="G52" s="1501"/>
      <c r="H52" s="1501"/>
      <c r="I52" s="1501"/>
      <c r="J52" s="1501"/>
      <c r="K52" s="1494"/>
      <c r="L52" s="1494"/>
      <c r="M52" s="1494"/>
      <c r="N52" s="1495"/>
      <c r="O52" s="1486"/>
      <c r="P52" s="1466"/>
      <c r="Q52" s="1466"/>
    </row>
    <row r="53" spans="1:17">
      <c r="A53" s="1647" t="s">
        <v>56</v>
      </c>
      <c r="B53" s="1572">
        <f>209453+123222+177525+182527+179497+190574+195216+216952+167184+207469+198525+199975</f>
        <v>2248119</v>
      </c>
      <c r="C53" s="1573">
        <f>209453+123222</f>
        <v>332675</v>
      </c>
      <c r="D53" s="1581">
        <f>194209+180798</f>
        <v>375007</v>
      </c>
      <c r="E53" s="1649">
        <f>SUM(F53:J53)</f>
        <v>180798</v>
      </c>
      <c r="F53" s="1501">
        <v>77327</v>
      </c>
      <c r="G53" s="1650">
        <v>90298</v>
      </c>
      <c r="H53" s="1650">
        <v>1586</v>
      </c>
      <c r="I53" s="1501">
        <v>0</v>
      </c>
      <c r="J53" s="1501">
        <v>11587</v>
      </c>
      <c r="K53" s="1503">
        <v>20512</v>
      </c>
      <c r="L53" s="1503">
        <f>56079+694+112+4381</f>
        <v>61266</v>
      </c>
      <c r="M53" s="1651"/>
      <c r="N53" s="1652"/>
      <c r="O53" s="1486">
        <f>+D53/C53</f>
        <v>1.1272473134440519</v>
      </c>
      <c r="P53" s="1653"/>
      <c r="Q53" s="1466"/>
    </row>
    <row r="54" spans="1:17">
      <c r="A54" s="1580" t="s">
        <v>199</v>
      </c>
      <c r="B54" s="1583">
        <f>104773+79448+108729+100750+114908+101767+109538+102101+96227+101348+80712+95735</f>
        <v>1196036</v>
      </c>
      <c r="C54" s="1654">
        <v>184221</v>
      </c>
      <c r="D54" s="1585">
        <f>105063+90489</f>
        <v>195552</v>
      </c>
      <c r="E54" s="1500">
        <f>SUM(F54:J54)</f>
        <v>90489</v>
      </c>
      <c r="F54" s="1655">
        <v>36454</v>
      </c>
      <c r="G54" s="1599">
        <v>39082</v>
      </c>
      <c r="H54" s="1575">
        <v>0</v>
      </c>
      <c r="I54" s="1575">
        <v>0</v>
      </c>
      <c r="J54" s="1599">
        <v>14953</v>
      </c>
      <c r="K54" s="1494">
        <v>8295</v>
      </c>
      <c r="L54" s="1494">
        <f>99+14</f>
        <v>113</v>
      </c>
      <c r="M54" s="1517">
        <v>0</v>
      </c>
      <c r="N54" s="1495"/>
      <c r="O54" s="1486">
        <f>+D54/C54</f>
        <v>1.061507645708144</v>
      </c>
      <c r="P54" s="1656"/>
      <c r="Q54" s="1466"/>
    </row>
    <row r="55" spans="1:17">
      <c r="A55" s="1522" t="s">
        <v>58</v>
      </c>
      <c r="B55" s="1606">
        <f>90832+90726+97425+112194+114431+98379+101821+103316+100021+117218+109359+112333</f>
        <v>1248055</v>
      </c>
      <c r="C55" s="1657">
        <v>181558</v>
      </c>
      <c r="D55" s="1608">
        <v>211807</v>
      </c>
      <c r="E55" s="1500">
        <f>SUM(F55:J55)</f>
        <v>97172</v>
      </c>
      <c r="F55" s="1501">
        <v>35731</v>
      </c>
      <c r="G55" s="1501">
        <v>43622</v>
      </c>
      <c r="H55" s="1575">
        <v>0</v>
      </c>
      <c r="I55" s="1575">
        <v>0</v>
      </c>
      <c r="J55" s="1501">
        <v>17819</v>
      </c>
      <c r="K55" s="1503">
        <v>10156</v>
      </c>
      <c r="L55" s="1503">
        <f>22322+118+2627</f>
        <v>25067</v>
      </c>
      <c r="M55" s="1494">
        <v>1779</v>
      </c>
      <c r="N55" s="1495"/>
      <c r="O55" s="1486">
        <f>+D55/C55</f>
        <v>1.1666079159276925</v>
      </c>
      <c r="P55" s="1466"/>
      <c r="Q55" s="1466"/>
    </row>
    <row r="56" spans="1:17">
      <c r="A56" s="1522" t="s">
        <v>59</v>
      </c>
      <c r="B56" s="1606">
        <f>85962+38994+58375+82416+99455+86639+82659+105881+73454+94153+96038+77922</f>
        <v>981948</v>
      </c>
      <c r="C56" s="1657">
        <v>124956</v>
      </c>
      <c r="D56" s="1608">
        <f>98617+85129</f>
        <v>183746</v>
      </c>
      <c r="E56" s="1500">
        <f>SUM(F56:J56)</f>
        <v>85129</v>
      </c>
      <c r="F56" s="1501">
        <v>32464</v>
      </c>
      <c r="G56" s="1501">
        <v>35060</v>
      </c>
      <c r="H56" s="1501">
        <v>13</v>
      </c>
      <c r="I56" s="1599">
        <v>0</v>
      </c>
      <c r="J56" s="1501">
        <v>17592</v>
      </c>
      <c r="K56" s="1503">
        <v>9078</v>
      </c>
      <c r="L56" s="1503">
        <f>26034+155+3801</f>
        <v>29990</v>
      </c>
      <c r="M56" s="1494">
        <v>1215</v>
      </c>
      <c r="N56" s="1495">
        <v>76828</v>
      </c>
      <c r="O56" s="1486">
        <f>+D56/C56</f>
        <v>1.470485610935049</v>
      </c>
      <c r="P56" s="1467"/>
      <c r="Q56" s="1466"/>
    </row>
    <row r="57" spans="1:17" ht="15" thickBot="1">
      <c r="A57" s="1658" t="s">
        <v>113</v>
      </c>
      <c r="B57" s="1659"/>
      <c r="C57" s="1660"/>
      <c r="D57" s="1661" t="s">
        <v>233</v>
      </c>
      <c r="E57" s="1500">
        <f>SUM(F57:J57)</f>
        <v>0</v>
      </c>
      <c r="F57" s="1663"/>
      <c r="G57" s="1663"/>
      <c r="H57" s="1663"/>
      <c r="I57" s="1663"/>
      <c r="J57" s="1663"/>
      <c r="K57" s="1533"/>
      <c r="L57" s="1533"/>
      <c r="M57" s="1533"/>
      <c r="N57" s="1534"/>
      <c r="O57" s="1486"/>
      <c r="P57" s="1656"/>
      <c r="Q57" s="1664"/>
    </row>
    <row r="58" spans="1:17">
      <c r="A58" s="1665" t="s">
        <v>61</v>
      </c>
      <c r="B58" s="1666">
        <f>1585050+175956+170041</f>
        <v>1931047</v>
      </c>
      <c r="C58" s="1667">
        <v>285373</v>
      </c>
      <c r="D58" s="1668">
        <f>198905+146764</f>
        <v>345669</v>
      </c>
      <c r="E58" s="1669">
        <f t="shared" ref="E58:E68" si="14">SUM(F58:J58)</f>
        <v>146764</v>
      </c>
      <c r="F58" s="1670">
        <v>54431</v>
      </c>
      <c r="G58" s="1670">
        <v>70023</v>
      </c>
      <c r="H58" s="1636">
        <v>0</v>
      </c>
      <c r="I58" s="1636">
        <v>0</v>
      </c>
      <c r="J58" s="1637">
        <v>22310</v>
      </c>
      <c r="K58" s="1671">
        <v>20462</v>
      </c>
      <c r="L58" s="1671"/>
      <c r="M58" s="1639">
        <v>0</v>
      </c>
      <c r="N58" s="1672"/>
      <c r="O58" s="1486">
        <f t="shared" ref="O58:O61" si="15">+D58/C58</f>
        <v>1.2112883839746578</v>
      </c>
      <c r="P58" s="1467"/>
      <c r="Q58" s="1467"/>
    </row>
    <row r="59" spans="1:17">
      <c r="A59" s="1566"/>
      <c r="B59" s="1673"/>
      <c r="C59" s="1593"/>
      <c r="D59" s="1673"/>
      <c r="E59" s="1592"/>
      <c r="F59" s="1674"/>
      <c r="G59" s="1494"/>
      <c r="H59" s="1593"/>
      <c r="I59" s="1674"/>
      <c r="J59" s="1644"/>
      <c r="K59" s="1494"/>
      <c r="L59" s="1494"/>
      <c r="M59" s="1494"/>
      <c r="N59" s="1495"/>
      <c r="O59" s="1486"/>
      <c r="P59" s="1467"/>
      <c r="Q59" s="1467"/>
    </row>
    <row r="60" spans="1:17">
      <c r="A60" s="1675" t="s">
        <v>227</v>
      </c>
      <c r="B60" s="1676">
        <f t="shared" ref="B60:N60" si="16">SUM(B61:B68)</f>
        <v>69686</v>
      </c>
      <c r="C60" s="1676">
        <f t="shared" si="16"/>
        <v>6194</v>
      </c>
      <c r="D60" s="1676">
        <f t="shared" si="16"/>
        <v>12587</v>
      </c>
      <c r="E60" s="1750">
        <f t="shared" si="16"/>
        <v>5416</v>
      </c>
      <c r="F60" s="1676">
        <f t="shared" si="16"/>
        <v>0</v>
      </c>
      <c r="G60" s="1676">
        <f t="shared" si="16"/>
        <v>0</v>
      </c>
      <c r="H60" s="1676">
        <f t="shared" si="16"/>
        <v>2681</v>
      </c>
      <c r="I60" s="1676">
        <f t="shared" si="16"/>
        <v>2735</v>
      </c>
      <c r="J60" s="1676">
        <f t="shared" si="16"/>
        <v>0</v>
      </c>
      <c r="K60" s="1676">
        <f t="shared" si="16"/>
        <v>3390</v>
      </c>
      <c r="L60" s="1676">
        <f t="shared" si="16"/>
        <v>2411</v>
      </c>
      <c r="M60" s="1676">
        <f t="shared" si="16"/>
        <v>0</v>
      </c>
      <c r="N60" s="1751">
        <f t="shared" si="16"/>
        <v>0</v>
      </c>
      <c r="O60" s="1486">
        <f t="shared" si="15"/>
        <v>2.0321278656764612</v>
      </c>
      <c r="P60" s="1488"/>
      <c r="Q60" s="1677"/>
    </row>
    <row r="61" spans="1:17">
      <c r="A61" s="1522" t="s">
        <v>201</v>
      </c>
      <c r="B61" s="1606">
        <f>9380+2012+2071</f>
        <v>13463</v>
      </c>
      <c r="C61" s="1618">
        <v>1496</v>
      </c>
      <c r="D61" s="1678">
        <f>2379+1593</f>
        <v>3972</v>
      </c>
      <c r="E61" s="1500">
        <f>SUM(H61:J61)</f>
        <v>1593</v>
      </c>
      <c r="F61" s="1575">
        <v>0</v>
      </c>
      <c r="G61" s="1575">
        <v>0</v>
      </c>
      <c r="H61" s="1679">
        <v>868</v>
      </c>
      <c r="I61" s="1501">
        <v>725</v>
      </c>
      <c r="J61" s="1575">
        <v>0</v>
      </c>
      <c r="K61" s="1494">
        <v>347</v>
      </c>
      <c r="L61" s="1494">
        <v>656</v>
      </c>
      <c r="M61" s="1517">
        <v>0</v>
      </c>
      <c r="N61" s="1725">
        <v>0</v>
      </c>
      <c r="O61" s="1486">
        <f t="shared" si="15"/>
        <v>2.6550802139037435</v>
      </c>
      <c r="P61" s="1466"/>
      <c r="Q61" s="1466"/>
    </row>
    <row r="62" spans="1:17">
      <c r="A62" s="1680" t="s">
        <v>202</v>
      </c>
      <c r="B62" s="1497"/>
      <c r="C62" s="1518"/>
      <c r="D62" s="1681"/>
      <c r="E62" s="1500">
        <f t="shared" si="14"/>
        <v>0</v>
      </c>
      <c r="F62" s="1682"/>
      <c r="G62" s="1683"/>
      <c r="H62" s="1501"/>
      <c r="I62" s="1501"/>
      <c r="J62" s="1501"/>
      <c r="K62" s="1494"/>
      <c r="L62" s="1494"/>
      <c r="M62" s="1494"/>
      <c r="N62" s="1495"/>
      <c r="O62" s="1486"/>
      <c r="P62" s="1466"/>
      <c r="Q62" s="1466"/>
    </row>
    <row r="63" spans="1:17">
      <c r="A63" s="1522" t="s">
        <v>203</v>
      </c>
      <c r="B63" s="1606">
        <f>1143+584+1068+1170+1018+1940+2160+2337+2201+2341+1720</f>
        <v>17682</v>
      </c>
      <c r="C63" s="1618">
        <v>1143</v>
      </c>
      <c r="D63" s="1678">
        <f>1586+1377</f>
        <v>2963</v>
      </c>
      <c r="E63" s="1500">
        <f t="shared" si="14"/>
        <v>1377</v>
      </c>
      <c r="F63" s="1575">
        <v>0</v>
      </c>
      <c r="G63" s="1575">
        <v>0</v>
      </c>
      <c r="H63" s="1501">
        <v>719</v>
      </c>
      <c r="I63" s="1501">
        <v>658</v>
      </c>
      <c r="J63" s="1575">
        <v>0</v>
      </c>
      <c r="K63" s="1494">
        <v>915</v>
      </c>
      <c r="L63" s="1494">
        <f>328+349</f>
        <v>677</v>
      </c>
      <c r="M63" s="1517">
        <v>0</v>
      </c>
      <c r="N63" s="1495"/>
      <c r="O63" s="1486">
        <f t="shared" ref="O63:O66" si="17">+D63/C63</f>
        <v>2.5923009623797024</v>
      </c>
      <c r="P63" s="1466"/>
      <c r="Q63" s="1466"/>
    </row>
    <row r="64" spans="1:17">
      <c r="A64" s="1522" t="s">
        <v>66</v>
      </c>
      <c r="B64" s="1497">
        <f>9020+1300+1328+1755+1870+1593+2099</f>
        <v>18965</v>
      </c>
      <c r="C64" s="1518">
        <v>1838</v>
      </c>
      <c r="D64" s="1681">
        <f>2516+1712</f>
        <v>4228</v>
      </c>
      <c r="E64" s="1500">
        <f t="shared" si="14"/>
        <v>1712</v>
      </c>
      <c r="F64" s="1575">
        <v>0</v>
      </c>
      <c r="G64" s="1575">
        <v>0</v>
      </c>
      <c r="H64" s="1501">
        <v>767</v>
      </c>
      <c r="I64" s="1501">
        <v>945</v>
      </c>
      <c r="J64" s="1575">
        <v>0</v>
      </c>
      <c r="K64" s="1503">
        <v>1414</v>
      </c>
      <c r="L64" s="1503">
        <f>764+11</f>
        <v>775</v>
      </c>
      <c r="M64" s="1517">
        <v>0</v>
      </c>
      <c r="N64" s="1495"/>
      <c r="O64" s="1486">
        <f t="shared" si="17"/>
        <v>2.3003264417845486</v>
      </c>
      <c r="P64" s="1466"/>
      <c r="Q64" s="1466"/>
    </row>
    <row r="65" spans="1:17">
      <c r="A65" s="1684" t="s">
        <v>204</v>
      </c>
      <c r="B65" s="1572"/>
      <c r="C65" s="1573"/>
      <c r="D65" s="1574"/>
      <c r="E65" s="1500">
        <f t="shared" si="14"/>
        <v>0</v>
      </c>
      <c r="F65" s="1685"/>
      <c r="G65" s="1683"/>
      <c r="H65" s="1501"/>
      <c r="I65" s="1501"/>
      <c r="J65" s="1501"/>
      <c r="K65" s="1494"/>
      <c r="L65" s="1494"/>
      <c r="M65" s="1494"/>
      <c r="N65" s="1495"/>
      <c r="O65" s="1486"/>
      <c r="P65" s="1466"/>
      <c r="Q65" s="1466"/>
    </row>
    <row r="66" spans="1:17">
      <c r="A66" s="1522" t="s">
        <v>205</v>
      </c>
      <c r="B66" s="1497">
        <v>8152</v>
      </c>
      <c r="C66" s="1518">
        <v>492</v>
      </c>
      <c r="D66" s="1752">
        <f>634+656</f>
        <v>1290</v>
      </c>
      <c r="E66" s="1500">
        <f t="shared" si="14"/>
        <v>656</v>
      </c>
      <c r="F66" s="1753">
        <v>0</v>
      </c>
      <c r="G66" s="1753">
        <v>0</v>
      </c>
      <c r="H66" s="1753">
        <v>276</v>
      </c>
      <c r="I66" s="1753">
        <v>380</v>
      </c>
      <c r="J66" s="1753"/>
      <c r="K66" s="1594">
        <v>656</v>
      </c>
      <c r="L66" s="1594">
        <v>276</v>
      </c>
      <c r="M66" s="1594">
        <v>0</v>
      </c>
      <c r="N66" s="1595"/>
      <c r="O66" s="1486">
        <f t="shared" si="17"/>
        <v>2.6219512195121952</v>
      </c>
      <c r="P66" s="1466"/>
      <c r="Q66" s="1466"/>
    </row>
    <row r="67" spans="1:17">
      <c r="A67" s="1680" t="s">
        <v>206</v>
      </c>
      <c r="B67" s="1606"/>
      <c r="C67" s="1618"/>
      <c r="D67" s="1754"/>
      <c r="E67" s="1500">
        <f t="shared" si="14"/>
        <v>0</v>
      </c>
      <c r="F67" s="1520"/>
      <c r="G67" s="1687"/>
      <c r="H67" s="1599"/>
      <c r="I67" s="1599"/>
      <c r="J67" s="1599"/>
      <c r="K67" s="1494"/>
      <c r="L67" s="1494"/>
      <c r="M67" s="1494"/>
      <c r="N67" s="1495"/>
      <c r="O67" s="1486"/>
      <c r="P67" s="1466"/>
      <c r="Q67" s="1466"/>
    </row>
    <row r="68" spans="1:17" ht="15" thickBot="1">
      <c r="A68" s="1522" t="s">
        <v>70</v>
      </c>
      <c r="B68" s="1617">
        <v>11424</v>
      </c>
      <c r="C68" s="1618">
        <v>1225</v>
      </c>
      <c r="D68" s="1755">
        <f>78+56</f>
        <v>134</v>
      </c>
      <c r="E68" s="1500">
        <f t="shared" si="14"/>
        <v>78</v>
      </c>
      <c r="F68" s="1575">
        <v>0</v>
      </c>
      <c r="G68" s="1575">
        <v>0</v>
      </c>
      <c r="H68" s="1501">
        <v>51</v>
      </c>
      <c r="I68" s="1501">
        <v>27</v>
      </c>
      <c r="J68" s="1575">
        <v>0</v>
      </c>
      <c r="K68" s="1503">
        <v>58</v>
      </c>
      <c r="L68" s="1503">
        <v>27</v>
      </c>
      <c r="M68" s="1517">
        <v>0</v>
      </c>
      <c r="N68" s="1495"/>
      <c r="O68" s="1486">
        <f>+D68/C68</f>
        <v>0.10938775510204081</v>
      </c>
      <c r="P68" s="1466"/>
      <c r="Q68" s="1468"/>
    </row>
    <row r="69" spans="1:17" ht="15" thickBot="1">
      <c r="A69" s="1693" t="s">
        <v>71</v>
      </c>
      <c r="B69" s="1694">
        <f t="shared" ref="B69:N69" si="18">B6+B28+B32+B37+B51+B60</f>
        <v>27092360</v>
      </c>
      <c r="C69" s="1694">
        <f t="shared" si="18"/>
        <v>3773476</v>
      </c>
      <c r="D69" s="1756">
        <f t="shared" si="18"/>
        <v>4464999</v>
      </c>
      <c r="E69" s="1757">
        <f t="shared" si="18"/>
        <v>1909599.4</v>
      </c>
      <c r="F69" s="1694">
        <f t="shared" si="18"/>
        <v>688824</v>
      </c>
      <c r="G69" s="1694">
        <f t="shared" si="18"/>
        <v>677693</v>
      </c>
      <c r="H69" s="1694">
        <f t="shared" si="18"/>
        <v>108348.6</v>
      </c>
      <c r="I69" s="1694">
        <f t="shared" si="18"/>
        <v>147364.79999999999</v>
      </c>
      <c r="J69" s="1694">
        <f t="shared" si="18"/>
        <v>85648</v>
      </c>
      <c r="K69" s="1694">
        <f t="shared" si="18"/>
        <v>300274</v>
      </c>
      <c r="L69" s="1694">
        <f t="shared" si="18"/>
        <v>305348</v>
      </c>
      <c r="M69" s="1694">
        <f t="shared" si="18"/>
        <v>3352</v>
      </c>
      <c r="N69" s="1758">
        <f t="shared" si="18"/>
        <v>179752</v>
      </c>
      <c r="O69" s="1486">
        <f t="shared" ref="O69" si="19">+D69/C69</f>
        <v>1.183258883851388</v>
      </c>
      <c r="P69" s="1695"/>
      <c r="Q69" s="1695"/>
    </row>
    <row r="70" spans="1:17">
      <c r="A70" s="1466"/>
      <c r="B70" s="1696"/>
      <c r="C70" s="1696"/>
      <c r="D70" s="1696"/>
      <c r="E70" s="1697"/>
      <c r="F70" s="1467"/>
      <c r="G70" s="1467"/>
      <c r="H70" s="1467"/>
      <c r="I70" s="1467"/>
      <c r="J70" s="1467"/>
      <c r="K70" s="1467"/>
      <c r="L70" s="1467"/>
      <c r="M70" s="1467"/>
      <c r="N70" s="1467"/>
      <c r="O70" s="1466"/>
      <c r="P70" s="1466"/>
      <c r="Q70" s="1466"/>
    </row>
    <row r="71" spans="1:17">
      <c r="A71" s="1466"/>
      <c r="B71" s="1466"/>
      <c r="C71" s="1466"/>
      <c r="D71" s="1466"/>
      <c r="E71" s="1467"/>
      <c r="F71" s="1467"/>
      <c r="G71" s="1467"/>
      <c r="H71" s="1467"/>
      <c r="I71" s="1467"/>
      <c r="J71" s="1467"/>
      <c r="K71" s="1467"/>
      <c r="L71" s="1467"/>
      <c r="M71" s="1467"/>
      <c r="N71" s="1467"/>
      <c r="O71" s="1466"/>
      <c r="P71" s="1466"/>
      <c r="Q71" s="1466"/>
    </row>
    <row r="72" spans="1:17" ht="83.4">
      <c r="A72" s="1466"/>
      <c r="B72" s="1698" t="s">
        <v>207</v>
      </c>
      <c r="C72" s="1698"/>
      <c r="D72" s="1699" t="s">
        <v>74</v>
      </c>
      <c r="E72" s="1700" t="s">
        <v>75</v>
      </c>
      <c r="F72" s="1700" t="s">
        <v>76</v>
      </c>
      <c r="G72" s="1700" t="s">
        <v>77</v>
      </c>
      <c r="H72" s="1700" t="s">
        <v>78</v>
      </c>
      <c r="I72" s="1700" t="s">
        <v>79</v>
      </c>
      <c r="J72" s="1700" t="s">
        <v>80</v>
      </c>
      <c r="K72" s="1700" t="s">
        <v>81</v>
      </c>
      <c r="L72" s="1700" t="s">
        <v>82</v>
      </c>
      <c r="M72" s="1700" t="s">
        <v>83</v>
      </c>
      <c r="N72" s="1700" t="s">
        <v>84</v>
      </c>
      <c r="O72" s="1701" t="s">
        <v>85</v>
      </c>
      <c r="P72" s="1702"/>
      <c r="Q72" s="1466"/>
    </row>
    <row r="73" spans="1:17">
      <c r="A73" s="1466"/>
      <c r="B73" s="1703" t="s">
        <v>87</v>
      </c>
      <c r="C73" s="1703"/>
      <c r="D73" s="1704">
        <v>2555400</v>
      </c>
      <c r="E73" s="1705">
        <v>1909599</v>
      </c>
      <c r="F73" s="1503"/>
      <c r="G73" s="1705"/>
      <c r="H73" s="1705"/>
      <c r="I73" s="1593"/>
      <c r="J73" s="1705"/>
      <c r="K73" s="1503"/>
      <c r="L73" s="1503"/>
      <c r="M73" s="1706"/>
      <c r="N73" s="1707"/>
      <c r="O73" s="1708"/>
      <c r="P73" s="1468"/>
      <c r="Q73" s="1466"/>
    </row>
    <row r="74" spans="1:17">
      <c r="A74" s="1466"/>
      <c r="B74" s="1709" t="s">
        <v>88</v>
      </c>
      <c r="C74" s="1709"/>
      <c r="D74" s="1709"/>
      <c r="E74" s="1710">
        <f t="shared" ref="E74:N74" si="20">IF(D73&gt;0,E73/D73,0)*100</f>
        <v>74.727987790561173</v>
      </c>
      <c r="F74" s="1710">
        <f t="shared" si="20"/>
        <v>0</v>
      </c>
      <c r="G74" s="1710">
        <f t="shared" si="20"/>
        <v>0</v>
      </c>
      <c r="H74" s="1710">
        <f t="shared" si="20"/>
        <v>0</v>
      </c>
      <c r="I74" s="1710">
        <f t="shared" si="20"/>
        <v>0</v>
      </c>
      <c r="J74" s="1710">
        <f t="shared" si="20"/>
        <v>0</v>
      </c>
      <c r="K74" s="1710">
        <f t="shared" si="20"/>
        <v>0</v>
      </c>
      <c r="L74" s="1710">
        <f t="shared" si="20"/>
        <v>0</v>
      </c>
      <c r="M74" s="1710">
        <f t="shared" si="20"/>
        <v>0</v>
      </c>
      <c r="N74" s="1710">
        <f t="shared" si="20"/>
        <v>0</v>
      </c>
      <c r="O74" s="1711"/>
      <c r="P74" s="1712"/>
      <c r="Q74" s="1466"/>
    </row>
    <row r="75" spans="1:17">
      <c r="A75" s="1466"/>
      <c r="B75" s="1713"/>
      <c r="C75" s="1713"/>
      <c r="D75" s="1713"/>
      <c r="E75" s="1707"/>
      <c r="F75" s="1714"/>
      <c r="G75" s="1467" t="s">
        <v>115</v>
      </c>
      <c r="H75" s="1467"/>
      <c r="I75" s="1467"/>
      <c r="J75" s="1467"/>
      <c r="K75" s="1467"/>
      <c r="L75" s="1467"/>
      <c r="M75" s="1467"/>
      <c r="N75" s="1467"/>
      <c r="O75" s="1468"/>
      <c r="P75" s="1466"/>
    </row>
    <row r="76" spans="1:17">
      <c r="A76" s="1715" t="s">
        <v>208</v>
      </c>
      <c r="B76" s="1468"/>
      <c r="C76" s="1468"/>
      <c r="D76" s="1468"/>
      <c r="E76" s="1467"/>
      <c r="F76" s="1467"/>
      <c r="G76" s="1467"/>
      <c r="H76" s="1467"/>
      <c r="I76" s="1467"/>
      <c r="J76" s="1467"/>
      <c r="K76" s="1467"/>
      <c r="L76" s="1467"/>
      <c r="M76" s="1467"/>
      <c r="N76" s="1467"/>
      <c r="O76" s="1468"/>
      <c r="P76" s="1466"/>
      <c r="Q76" s="1467"/>
    </row>
    <row r="77" spans="1:17">
      <c r="A77" s="1466" t="s">
        <v>90</v>
      </c>
      <c r="B77" s="1468"/>
      <c r="C77" s="1468"/>
      <c r="D77" s="1468"/>
      <c r="E77" s="1467"/>
      <c r="F77" s="1467"/>
      <c r="G77" s="1467"/>
      <c r="H77" s="1467"/>
      <c r="I77" s="1467"/>
      <c r="J77" s="1467"/>
      <c r="K77" s="1467"/>
      <c r="L77" s="1467"/>
      <c r="M77" s="1467"/>
      <c r="N77" s="1467"/>
      <c r="O77" s="1468"/>
      <c r="P77" s="1466"/>
      <c r="Q77" s="1467"/>
    </row>
    <row r="78" spans="1:17">
      <c r="A78" s="1715" t="s">
        <v>209</v>
      </c>
      <c r="B78" s="1468"/>
      <c r="C78" s="1468"/>
      <c r="D78" s="1468"/>
      <c r="E78" s="1467"/>
      <c r="F78" s="1467"/>
      <c r="G78" s="1467"/>
      <c r="H78" s="1467"/>
      <c r="I78" s="1467"/>
      <c r="J78" s="1467"/>
      <c r="K78" s="1467"/>
      <c r="L78" s="1467"/>
      <c r="M78" s="1467"/>
      <c r="N78" s="1467"/>
      <c r="O78" s="1468"/>
      <c r="P78" s="1466"/>
      <c r="Q78" s="1467"/>
    </row>
    <row r="79" spans="1:17">
      <c r="A79" s="1716" t="s">
        <v>92</v>
      </c>
      <c r="B79" s="1468"/>
      <c r="C79" s="1468"/>
      <c r="D79" s="1468"/>
      <c r="E79" s="1467"/>
      <c r="F79" s="1467"/>
      <c r="G79" s="1467"/>
      <c r="H79" s="1467"/>
      <c r="J79" s="1467"/>
      <c r="K79" s="1467"/>
      <c r="L79" s="1467"/>
      <c r="M79" s="1467"/>
      <c r="N79" s="1467"/>
      <c r="O79" s="1468"/>
      <c r="P79" s="1466"/>
      <c r="Q79" s="1717"/>
    </row>
    <row r="80" spans="1:17">
      <c r="A80" s="1466" t="s">
        <v>93</v>
      </c>
      <c r="B80" s="1466"/>
      <c r="C80" s="1466"/>
      <c r="D80" s="1466"/>
      <c r="E80" s="1467"/>
      <c r="F80" s="1467"/>
      <c r="G80" s="1467"/>
      <c r="H80" s="1467"/>
      <c r="K80" s="1467"/>
      <c r="M80" s="1467"/>
      <c r="N80" s="1467"/>
      <c r="O80" s="1468"/>
      <c r="P80" s="1466"/>
    </row>
    <row r="81" spans="1:17">
      <c r="A81" s="1466" t="s">
        <v>94</v>
      </c>
      <c r="B81" s="1466"/>
      <c r="C81" s="1466"/>
      <c r="D81" s="1466"/>
      <c r="E81" s="1467"/>
      <c r="F81" s="1467"/>
      <c r="G81" s="1467"/>
      <c r="H81" s="1467"/>
      <c r="K81" s="1467"/>
      <c r="M81" s="1467"/>
      <c r="N81" s="1467"/>
      <c r="O81" s="1718"/>
      <c r="P81" s="1466"/>
    </row>
    <row r="82" spans="1:17">
      <c r="A82" s="1466" t="s">
        <v>95</v>
      </c>
      <c r="B82" s="1466"/>
      <c r="C82" s="1466"/>
      <c r="D82" s="1466"/>
      <c r="E82" s="1467"/>
      <c r="F82" s="1467"/>
      <c r="G82" s="1467"/>
      <c r="H82" s="1467"/>
      <c r="K82" s="1467"/>
      <c r="L82" s="1467"/>
      <c r="M82" s="1467"/>
      <c r="N82" s="1467"/>
      <c r="O82" s="1468"/>
      <c r="P82" s="1466"/>
    </row>
    <row r="85" spans="1:17">
      <c r="K85" s="1719"/>
    </row>
    <row r="86" spans="1:17">
      <c r="A86" s="1720"/>
      <c r="B86" s="1720"/>
      <c r="C86" s="1720"/>
      <c r="D86" s="1721"/>
      <c r="E86" s="1721"/>
      <c r="F86" s="1721"/>
      <c r="G86" s="1721"/>
      <c r="O86" s="1722"/>
      <c r="P86" s="1722"/>
    </row>
    <row r="87" spans="1:17">
      <c r="D87" s="1722"/>
      <c r="L87" s="1467"/>
      <c r="O87" s="1722"/>
      <c r="P87" s="1722"/>
      <c r="Q87" s="1722"/>
    </row>
    <row r="88" spans="1:17">
      <c r="D88" s="1722"/>
      <c r="L88" s="1467"/>
      <c r="O88" s="1722"/>
      <c r="P88" s="1722"/>
      <c r="Q88" s="1722"/>
    </row>
    <row r="89" spans="1:17">
      <c r="D89" s="1722"/>
      <c r="L89" s="1467"/>
      <c r="O89" s="1722"/>
      <c r="P89" s="1722"/>
      <c r="Q89" s="1722"/>
    </row>
    <row r="90" spans="1:17">
      <c r="D90" s="1722"/>
      <c r="L90" s="1467"/>
      <c r="O90" s="1722"/>
      <c r="P90" s="1722"/>
      <c r="Q90" s="1722"/>
    </row>
    <row r="91" spans="1:17">
      <c r="D91" s="1722"/>
      <c r="O91" s="1722"/>
      <c r="P91" s="1722"/>
      <c r="Q91" s="1722"/>
    </row>
    <row r="92" spans="1:17">
      <c r="D92" s="1722"/>
      <c r="O92" s="1722"/>
      <c r="P92" s="1722"/>
      <c r="Q92" s="1722"/>
    </row>
    <row r="93" spans="1:17">
      <c r="D93" s="1722"/>
      <c r="O93" s="1722"/>
      <c r="P93" s="1722"/>
      <c r="Q93" s="1722"/>
    </row>
    <row r="94" spans="1:17">
      <c r="A94" s="1720"/>
      <c r="B94" s="1720"/>
      <c r="C94" s="1720"/>
      <c r="D94" s="1721"/>
      <c r="E94" s="1721"/>
      <c r="F94" s="1721"/>
      <c r="G94" s="1721"/>
      <c r="O94" s="1722"/>
      <c r="P94" s="1722"/>
      <c r="Q94" s="1722"/>
    </row>
    <row r="95" spans="1:17">
      <c r="D95" s="1722"/>
      <c r="O95" s="1722"/>
      <c r="P95" s="1722"/>
      <c r="Q95" s="1722"/>
    </row>
    <row r="96" spans="1:17">
      <c r="D96" s="1722"/>
      <c r="O96" s="1722"/>
      <c r="P96" s="1722"/>
      <c r="Q96" s="1722"/>
    </row>
    <row r="97" spans="4:17">
      <c r="D97" s="1722"/>
      <c r="O97" s="1722"/>
      <c r="P97" s="1722"/>
      <c r="Q97" s="1722"/>
    </row>
    <row r="98" spans="4:17">
      <c r="D98" s="1722"/>
      <c r="O98" s="1722"/>
      <c r="P98" s="1722"/>
      <c r="Q98" s="1722"/>
    </row>
    <row r="99" spans="4:17">
      <c r="D99" s="1722"/>
      <c r="O99" s="1722"/>
      <c r="P99" s="1722"/>
      <c r="Q99" s="1722"/>
    </row>
    <row r="100" spans="4:17">
      <c r="D100" s="1722"/>
      <c r="O100" s="1722"/>
      <c r="P100" s="1722"/>
      <c r="Q100" s="1722"/>
    </row>
    <row r="101" spans="4:17">
      <c r="D101" s="1722"/>
      <c r="O101" s="1722"/>
      <c r="P101" s="1722"/>
      <c r="Q101" s="1722"/>
    </row>
    <row r="102" spans="4:17">
      <c r="E102" s="1721"/>
      <c r="O102" s="1722"/>
      <c r="P102" s="1722"/>
      <c r="Q102" s="1722"/>
    </row>
  </sheetData>
  <mergeCells count="7">
    <mergeCell ref="A1:O1"/>
    <mergeCell ref="A3:A4"/>
    <mergeCell ref="B3:B4"/>
    <mergeCell ref="C3:C4"/>
    <mergeCell ref="D3:D4"/>
    <mergeCell ref="E3:N3"/>
    <mergeCell ref="O3:O4"/>
  </mergeCells>
  <conditionalFormatting sqref="O6:O69">
    <cfRule type="cellIs" dxfId="9" priority="1" operator="between">
      <formula>0.01</formula>
      <formula>0.99</formula>
    </cfRule>
    <cfRule type="expression" dxfId="8" priority="2">
      <formula>AND($O6&gt;100%,$O6&lt;100%)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09408-AEAF-4DCB-B1FF-422E8402868A}">
  <dimension ref="A1:Q102"/>
  <sheetViews>
    <sheetView workbookViewId="0">
      <selection sqref="A1:XFD1048576"/>
    </sheetView>
  </sheetViews>
  <sheetFormatPr defaultColWidth="9" defaultRowHeight="14.4"/>
  <cols>
    <col min="1" max="1" width="33.88671875" customWidth="1"/>
    <col min="2" max="3" width="12.6640625" customWidth="1"/>
    <col min="4" max="4" width="11.44140625" customWidth="1"/>
    <col min="5" max="14" width="12.109375" customWidth="1"/>
    <col min="15" max="15" width="9.77734375" customWidth="1"/>
  </cols>
  <sheetData>
    <row r="1" spans="1:17" ht="15.6">
      <c r="A1" s="1767" t="s">
        <v>234</v>
      </c>
      <c r="B1" s="1767"/>
      <c r="C1" s="1767"/>
      <c r="D1" s="1767"/>
      <c r="E1" s="1767"/>
      <c r="F1" s="1767"/>
      <c r="G1" s="1767"/>
      <c r="H1" s="1767"/>
      <c r="I1" s="1767"/>
      <c r="J1" s="1767"/>
      <c r="K1" s="1767"/>
      <c r="L1" s="1767"/>
      <c r="M1" s="1767"/>
      <c r="N1" s="1767"/>
      <c r="O1" s="1767"/>
      <c r="P1" s="1464"/>
      <c r="Q1" s="1465"/>
    </row>
    <row r="2" spans="1:17" ht="15" thickBot="1">
      <c r="A2" s="1466"/>
      <c r="B2" s="1466"/>
      <c r="C2" s="1466"/>
      <c r="D2" s="1466"/>
      <c r="E2" s="1467"/>
      <c r="F2" s="1467"/>
      <c r="G2" s="1467"/>
      <c r="H2" s="1467"/>
      <c r="I2" s="1467"/>
      <c r="J2" s="1467"/>
      <c r="K2" s="1467"/>
      <c r="L2" s="1467"/>
      <c r="M2" s="1467"/>
      <c r="N2" s="1467"/>
      <c r="O2" s="1468"/>
      <c r="P2" s="1466"/>
    </row>
    <row r="3" spans="1:17" ht="27" customHeight="1">
      <c r="A3" s="1768" t="s">
        <v>1</v>
      </c>
      <c r="B3" s="1770" t="s">
        <v>217</v>
      </c>
      <c r="C3" s="1770" t="s">
        <v>235</v>
      </c>
      <c r="D3" s="1772" t="s">
        <v>236</v>
      </c>
      <c r="E3" s="1774" t="s">
        <v>237</v>
      </c>
      <c r="F3" s="1775"/>
      <c r="G3" s="1775"/>
      <c r="H3" s="1775"/>
      <c r="I3" s="1775"/>
      <c r="J3" s="1775"/>
      <c r="K3" s="1775"/>
      <c r="L3" s="1775"/>
      <c r="M3" s="1775"/>
      <c r="N3" s="1776"/>
      <c r="O3" s="1777" t="s">
        <v>238</v>
      </c>
      <c r="P3" s="1469"/>
    </row>
    <row r="4" spans="1:17" ht="28.2" thickBot="1">
      <c r="A4" s="1769"/>
      <c r="B4" s="1771"/>
      <c r="C4" s="1771"/>
      <c r="D4" s="1773"/>
      <c r="E4" s="1470" t="s">
        <v>7</v>
      </c>
      <c r="F4" s="1471" t="s">
        <v>8</v>
      </c>
      <c r="G4" s="1471" t="s">
        <v>9</v>
      </c>
      <c r="H4" s="1471" t="s">
        <v>10</v>
      </c>
      <c r="I4" s="1471" t="s">
        <v>11</v>
      </c>
      <c r="J4" s="1472" t="s">
        <v>12</v>
      </c>
      <c r="K4" s="1473" t="s">
        <v>13</v>
      </c>
      <c r="L4" s="1473" t="s">
        <v>14</v>
      </c>
      <c r="M4" s="1474" t="s">
        <v>15</v>
      </c>
      <c r="N4" s="1475" t="s">
        <v>16</v>
      </c>
      <c r="O4" s="1778"/>
      <c r="P4" s="1469"/>
    </row>
    <row r="5" spans="1:17" ht="15.6">
      <c r="A5" s="1476"/>
      <c r="B5" s="1477"/>
      <c r="C5" s="1477"/>
      <c r="D5" s="1478"/>
      <c r="E5" s="1479"/>
      <c r="F5" s="1480"/>
      <c r="G5" s="1480"/>
      <c r="H5" s="1480"/>
      <c r="I5" s="1480"/>
      <c r="J5" s="1481"/>
      <c r="K5" s="1480"/>
      <c r="L5" s="1480"/>
      <c r="M5" s="1481"/>
      <c r="N5" s="1482"/>
      <c r="O5" s="1483"/>
      <c r="P5" s="1469"/>
    </row>
    <row r="6" spans="1:17">
      <c r="A6" s="1484" t="s">
        <v>222</v>
      </c>
      <c r="B6" s="1485">
        <f t="shared" ref="B6:N6" si="0">SUM(B7:B26)</f>
        <v>8323043</v>
      </c>
      <c r="C6" s="1485">
        <f t="shared" si="0"/>
        <v>1809291</v>
      </c>
      <c r="D6" s="1485">
        <f t="shared" si="0"/>
        <v>2038787</v>
      </c>
      <c r="E6" s="1723">
        <f t="shared" si="0"/>
        <v>707800.48</v>
      </c>
      <c r="F6" s="1485">
        <f t="shared" si="0"/>
        <v>186180</v>
      </c>
      <c r="G6" s="1485">
        <f t="shared" si="0"/>
        <v>176424</v>
      </c>
      <c r="H6" s="1485">
        <f t="shared" si="0"/>
        <v>30435.88</v>
      </c>
      <c r="I6" s="1485">
        <f t="shared" si="0"/>
        <v>32314.6</v>
      </c>
      <c r="J6" s="1485">
        <f t="shared" si="0"/>
        <v>643</v>
      </c>
      <c r="K6" s="1485">
        <f t="shared" si="0"/>
        <v>68508</v>
      </c>
      <c r="L6" s="1485">
        <f t="shared" si="0"/>
        <v>65614</v>
      </c>
      <c r="M6" s="1485">
        <f t="shared" si="0"/>
        <v>4201</v>
      </c>
      <c r="N6" s="1724">
        <f t="shared" si="0"/>
        <v>16650</v>
      </c>
      <c r="O6" s="1486">
        <f t="shared" ref="O6:O11" si="1">+D6/C6</f>
        <v>1.1268430562026783</v>
      </c>
      <c r="P6" s="1487"/>
      <c r="Q6" s="1488"/>
    </row>
    <row r="7" spans="1:17">
      <c r="A7" s="1489" t="s">
        <v>178</v>
      </c>
      <c r="B7" s="1490">
        <v>0</v>
      </c>
      <c r="C7" s="1491"/>
      <c r="D7" s="1492">
        <v>0</v>
      </c>
      <c r="E7" s="1493">
        <v>0</v>
      </c>
      <c r="F7" s="1587">
        <v>0</v>
      </c>
      <c r="G7" s="1587">
        <v>0</v>
      </c>
      <c r="H7" s="1587">
        <v>0</v>
      </c>
      <c r="I7" s="1587">
        <v>0</v>
      </c>
      <c r="J7" s="1587">
        <v>0</v>
      </c>
      <c r="K7" s="1494"/>
      <c r="L7" s="1494"/>
      <c r="M7" s="1494"/>
      <c r="N7" s="1495"/>
      <c r="O7" s="1486"/>
      <c r="P7" s="1487"/>
      <c r="Q7" s="1466"/>
    </row>
    <row r="8" spans="1:17">
      <c r="A8" s="1496" t="s">
        <v>179</v>
      </c>
      <c r="B8" s="1497"/>
      <c r="C8" s="1498"/>
      <c r="D8" s="1499"/>
      <c r="E8" s="1500">
        <f t="shared" ref="E8:E14" si="2">SUM(F8:J8)</f>
        <v>0</v>
      </c>
      <c r="F8" s="1501"/>
      <c r="G8" s="1501"/>
      <c r="H8" s="1501"/>
      <c r="I8" s="1501"/>
      <c r="J8" s="1502"/>
      <c r="K8" s="1503"/>
      <c r="L8" s="1503"/>
      <c r="M8" s="1503"/>
      <c r="N8" s="1504"/>
      <c r="O8" s="1486"/>
      <c r="P8" s="1505"/>
      <c r="Q8" s="1466"/>
    </row>
    <row r="9" spans="1:17">
      <c r="A9" s="1489" t="s">
        <v>180</v>
      </c>
      <c r="B9" s="1497">
        <f>195272+119565+111251+124577+111240+113765+121727+107555+127919+124121+129654</f>
        <v>1386646</v>
      </c>
      <c r="C9" s="1518">
        <v>314837</v>
      </c>
      <c r="D9" s="1499">
        <f>129474+89046+106923</f>
        <v>325443</v>
      </c>
      <c r="E9" s="1500">
        <f t="shared" si="2"/>
        <v>106923</v>
      </c>
      <c r="F9" s="1501">
        <v>38806</v>
      </c>
      <c r="G9" s="1501">
        <v>36617</v>
      </c>
      <c r="H9" s="1501">
        <v>16299</v>
      </c>
      <c r="I9" s="1501">
        <v>15201</v>
      </c>
      <c r="J9" s="1506">
        <v>0</v>
      </c>
      <c r="K9" s="1494"/>
      <c r="L9" s="1494"/>
      <c r="M9" s="1494"/>
      <c r="N9" s="1495"/>
      <c r="O9" s="1486">
        <f t="shared" si="1"/>
        <v>1.0336872730968723</v>
      </c>
      <c r="P9" s="1507"/>
      <c r="Q9" s="1508"/>
    </row>
    <row r="10" spans="1:17">
      <c r="A10" s="1509" t="s">
        <v>181</v>
      </c>
      <c r="B10" s="1510">
        <f>194433+49476</f>
        <v>243909</v>
      </c>
      <c r="C10" s="1511"/>
      <c r="D10" s="1512">
        <f>55403+31061+41447</f>
        <v>127911</v>
      </c>
      <c r="E10" s="1513">
        <f t="shared" si="2"/>
        <v>41447</v>
      </c>
      <c r="F10" s="1514">
        <v>21148</v>
      </c>
      <c r="G10" s="1514">
        <v>20129</v>
      </c>
      <c r="H10" s="1515">
        <v>0</v>
      </c>
      <c r="I10" s="1515">
        <v>0</v>
      </c>
      <c r="J10" s="1514">
        <v>170</v>
      </c>
      <c r="K10" s="1516">
        <v>8947</v>
      </c>
      <c r="L10" s="1516">
        <f>2547+256</f>
        <v>2803</v>
      </c>
      <c r="M10" s="1516">
        <v>667</v>
      </c>
      <c r="N10" s="1725">
        <v>1051</v>
      </c>
      <c r="O10" s="1486"/>
      <c r="P10" s="1507"/>
      <c r="Q10" s="1508"/>
    </row>
    <row r="11" spans="1:17">
      <c r="A11" s="1489" t="s">
        <v>21</v>
      </c>
      <c r="B11" s="1498">
        <f>131015+78250+105874+111968+99207+123596+111773+110146+91651+118422+115294+111602</f>
        <v>1308798</v>
      </c>
      <c r="C11" s="1518">
        <v>315139</v>
      </c>
      <c r="D11" s="1519">
        <f>123477+92455+106019</f>
        <v>321951</v>
      </c>
      <c r="E11" s="1513">
        <f t="shared" si="2"/>
        <v>106019</v>
      </c>
      <c r="F11" s="1520">
        <v>54041</v>
      </c>
      <c r="G11" s="1520">
        <v>51977</v>
      </c>
      <c r="H11" s="1515">
        <v>0</v>
      </c>
      <c r="I11" s="1515">
        <v>0</v>
      </c>
      <c r="J11" s="1515">
        <v>1</v>
      </c>
      <c r="K11" s="1503">
        <v>13915</v>
      </c>
      <c r="L11" s="1503">
        <f>28053+5206</f>
        <v>33259</v>
      </c>
      <c r="M11" s="1517">
        <v>0</v>
      </c>
      <c r="N11" s="1495"/>
      <c r="O11" s="1486">
        <f t="shared" si="1"/>
        <v>1.0216158583989923</v>
      </c>
      <c r="P11" s="1505"/>
      <c r="Q11" s="1508"/>
    </row>
    <row r="12" spans="1:17">
      <c r="A12" s="1489" t="s">
        <v>22</v>
      </c>
      <c r="B12" s="1497"/>
      <c r="C12" s="1518"/>
      <c r="D12" s="1521"/>
      <c r="E12" s="1500">
        <f t="shared" si="2"/>
        <v>0</v>
      </c>
      <c r="F12" s="1501"/>
      <c r="G12" s="1501"/>
      <c r="H12" s="1501"/>
      <c r="I12" s="1501"/>
      <c r="J12" s="1502"/>
      <c r="K12" s="1503"/>
      <c r="L12" s="1503"/>
      <c r="M12" s="1503"/>
      <c r="N12" s="1504"/>
      <c r="O12" s="1486"/>
      <c r="P12" s="1507"/>
      <c r="Q12" s="1508"/>
    </row>
    <row r="13" spans="1:17">
      <c r="A13" s="1489" t="s">
        <v>182</v>
      </c>
      <c r="B13" s="1497">
        <f>74332+41587+36538+49878+32546+31277+34151+28168+37725+30539+35982</f>
        <v>432723</v>
      </c>
      <c r="C13" s="1518">
        <v>115919</v>
      </c>
      <c r="D13" s="1521">
        <f>36880+26026+37227</f>
        <v>100133</v>
      </c>
      <c r="E13" s="1500">
        <f t="shared" si="2"/>
        <v>37227</v>
      </c>
      <c r="F13" s="1726">
        <v>18743</v>
      </c>
      <c r="G13" s="1726">
        <v>17616</v>
      </c>
      <c r="H13" s="1726">
        <v>402</v>
      </c>
      <c r="I13" s="1726">
        <v>466</v>
      </c>
      <c r="J13" s="1726">
        <v>0</v>
      </c>
      <c r="K13" s="1727">
        <v>11097</v>
      </c>
      <c r="L13" s="1727">
        <f>366+9498+278+138</f>
        <v>10280</v>
      </c>
      <c r="M13" s="1727"/>
      <c r="N13" s="1728"/>
      <c r="O13" s="1486">
        <f t="shared" ref="O13:O24" si="3">+D13/C13</f>
        <v>0.86381870098948399</v>
      </c>
      <c r="P13" s="1505"/>
      <c r="Q13" s="1508"/>
    </row>
    <row r="14" spans="1:17">
      <c r="A14" s="1522" t="s">
        <v>25</v>
      </c>
      <c r="B14" s="1497">
        <f>1255391+108887+133144</f>
        <v>1497422</v>
      </c>
      <c r="C14" s="1518">
        <v>356946</v>
      </c>
      <c r="D14" s="1499">
        <f>121167+93579+112818</f>
        <v>327564</v>
      </c>
      <c r="E14" s="1500">
        <f t="shared" si="2"/>
        <v>112818.48000000001</v>
      </c>
      <c r="F14" s="1523">
        <v>53442</v>
      </c>
      <c r="G14" s="1523">
        <v>50085</v>
      </c>
      <c r="H14" s="1523">
        <v>4228.88</v>
      </c>
      <c r="I14" s="1523">
        <v>4590.6000000000004</v>
      </c>
      <c r="J14" s="1515">
        <v>472</v>
      </c>
      <c r="K14" s="1524">
        <v>28680</v>
      </c>
      <c r="L14" s="1524">
        <f>2432+14545+259+890</f>
        <v>18126</v>
      </c>
      <c r="M14" s="1524">
        <v>3534</v>
      </c>
      <c r="N14" s="1525">
        <v>15599</v>
      </c>
      <c r="O14" s="1486">
        <f t="shared" si="3"/>
        <v>0.91768502798742668</v>
      </c>
      <c r="P14" s="1505"/>
      <c r="Q14" s="1508"/>
    </row>
    <row r="15" spans="1:17">
      <c r="A15" s="1489" t="s">
        <v>26</v>
      </c>
      <c r="B15" s="1497"/>
      <c r="C15" s="1518">
        <v>10857</v>
      </c>
      <c r="D15" s="1499"/>
      <c r="E15" s="1500"/>
      <c r="F15" s="1501"/>
      <c r="G15" s="1501"/>
      <c r="H15" s="1501"/>
      <c r="I15" s="1501"/>
      <c r="J15" s="1502"/>
      <c r="K15" s="1494"/>
      <c r="L15" s="1503"/>
      <c r="M15" s="1503"/>
      <c r="N15" s="1504"/>
      <c r="O15" s="1486"/>
      <c r="P15" s="1526"/>
      <c r="Q15" s="1508"/>
    </row>
    <row r="16" spans="1:17">
      <c r="A16" s="1489" t="s">
        <v>27</v>
      </c>
      <c r="B16" s="1497">
        <v>0</v>
      </c>
      <c r="C16" s="1518">
        <v>0</v>
      </c>
      <c r="D16" s="1499"/>
      <c r="E16" s="1500"/>
      <c r="F16" s="1501"/>
      <c r="G16" s="1501"/>
      <c r="H16" s="1501"/>
      <c r="I16" s="1501"/>
      <c r="J16" s="1502"/>
      <c r="K16" s="1494"/>
      <c r="L16" s="1494"/>
      <c r="M16" s="1503"/>
      <c r="N16" s="1504"/>
      <c r="O16" s="1486"/>
      <c r="P16" s="1526"/>
      <c r="Q16" s="1508"/>
    </row>
    <row r="17" spans="1:17" ht="15" thickBot="1">
      <c r="A17" s="1527" t="s">
        <v>28</v>
      </c>
      <c r="B17" s="1528">
        <f>19907+16036+17100+18000+13965+16816+21546+15500+19650+16189+17500</f>
        <v>192209</v>
      </c>
      <c r="C17" s="1729">
        <v>35943</v>
      </c>
      <c r="D17" s="1730">
        <f>23800+13403+20181</f>
        <v>57384</v>
      </c>
      <c r="E17" s="1531">
        <v>20181</v>
      </c>
      <c r="F17" s="1532"/>
      <c r="G17" s="1532"/>
      <c r="H17" s="1532"/>
      <c r="I17" s="1532"/>
      <c r="J17" s="1532"/>
      <c r="K17" s="1533"/>
      <c r="L17" s="1533"/>
      <c r="M17" s="1533"/>
      <c r="N17" s="1534"/>
      <c r="O17" s="1535">
        <f t="shared" si="3"/>
        <v>1.5965278357399215</v>
      </c>
      <c r="P17" s="1536"/>
      <c r="Q17" s="1537"/>
    </row>
    <row r="18" spans="1:17">
      <c r="A18" s="1538" t="s">
        <v>29</v>
      </c>
      <c r="B18" s="1731">
        <v>685261</v>
      </c>
      <c r="C18" s="1732">
        <v>137863</v>
      </c>
      <c r="D18" s="1733">
        <f>33488+56615+52928</f>
        <v>143031</v>
      </c>
      <c r="E18" s="1734">
        <v>52928</v>
      </c>
      <c r="F18" s="1543"/>
      <c r="G18" s="1543"/>
      <c r="H18" s="1543"/>
      <c r="I18" s="1543"/>
      <c r="J18" s="1543"/>
      <c r="K18" s="1543"/>
      <c r="L18" s="1543"/>
      <c r="M18" s="1543"/>
      <c r="N18" s="1544"/>
      <c r="O18" s="1545">
        <f t="shared" si="3"/>
        <v>1.0374864902112968</v>
      </c>
      <c r="P18" s="1546"/>
      <c r="Q18" s="1546"/>
    </row>
    <row r="19" spans="1:17">
      <c r="A19" s="1456" t="s">
        <v>30</v>
      </c>
      <c r="B19" s="1552">
        <v>250606</v>
      </c>
      <c r="C19" s="1735">
        <v>65069</v>
      </c>
      <c r="D19" s="1736">
        <f>18293+22696+22549</f>
        <v>63538</v>
      </c>
      <c r="E19" s="1737">
        <v>22549</v>
      </c>
      <c r="F19" s="1494"/>
      <c r="G19" s="1494"/>
      <c r="H19" s="1494"/>
      <c r="I19" s="1494"/>
      <c r="J19" s="1494"/>
      <c r="K19" s="1494"/>
      <c r="L19" s="1494"/>
      <c r="M19" s="1494"/>
      <c r="N19" s="1495"/>
      <c r="O19" s="1486">
        <f t="shared" si="3"/>
        <v>0.97647113064592972</v>
      </c>
      <c r="P19" s="1550"/>
      <c r="Q19" s="1468"/>
    </row>
    <row r="20" spans="1:17">
      <c r="A20" s="1456" t="s">
        <v>31</v>
      </c>
      <c r="B20" s="1552">
        <v>66447</v>
      </c>
      <c r="C20" s="1735">
        <v>18305</v>
      </c>
      <c r="D20" s="1736">
        <f>4583+5222+5122</f>
        <v>14927</v>
      </c>
      <c r="E20" s="1737">
        <v>5122</v>
      </c>
      <c r="F20" s="1494"/>
      <c r="G20" s="1494"/>
      <c r="H20" s="1494"/>
      <c r="I20" s="1494"/>
      <c r="J20" s="1494"/>
      <c r="K20" s="1494"/>
      <c r="L20" s="1494"/>
      <c r="M20" s="1494"/>
      <c r="N20" s="1495"/>
      <c r="O20" s="1486">
        <f t="shared" si="3"/>
        <v>0.81546025676044798</v>
      </c>
      <c r="P20" s="1551"/>
      <c r="Q20" s="1466"/>
    </row>
    <row r="21" spans="1:17">
      <c r="A21" s="1456" t="s">
        <v>32</v>
      </c>
      <c r="B21" s="1552">
        <v>450014</v>
      </c>
      <c r="C21" s="1735">
        <v>116391</v>
      </c>
      <c r="D21" s="1736">
        <f>22615+31008+29908</f>
        <v>83531</v>
      </c>
      <c r="E21" s="1737">
        <v>29908</v>
      </c>
      <c r="F21" s="1494"/>
      <c r="G21" s="1494"/>
      <c r="H21" s="1494"/>
      <c r="I21" s="1494"/>
      <c r="J21" s="1494"/>
      <c r="K21" s="1494"/>
      <c r="L21" s="1494"/>
      <c r="M21" s="1494"/>
      <c r="N21" s="1495"/>
      <c r="O21" s="1486">
        <f t="shared" si="3"/>
        <v>0.71767576530831423</v>
      </c>
      <c r="P21" s="1551"/>
      <c r="Q21" s="1466"/>
    </row>
    <row r="22" spans="1:17">
      <c r="A22" s="1456" t="s">
        <v>33</v>
      </c>
      <c r="B22" s="1552">
        <v>144643</v>
      </c>
      <c r="C22" s="1735">
        <v>48397</v>
      </c>
      <c r="D22" s="1736">
        <f>9227+13630+12419</f>
        <v>35276</v>
      </c>
      <c r="E22" s="1737">
        <v>12419</v>
      </c>
      <c r="F22" s="1494"/>
      <c r="G22" s="1494"/>
      <c r="H22" s="1494"/>
      <c r="I22" s="1494"/>
      <c r="J22" s="1494"/>
      <c r="K22" s="1494"/>
      <c r="L22" s="1494"/>
      <c r="M22" s="1494"/>
      <c r="N22" s="1495"/>
      <c r="O22" s="1486">
        <f t="shared" si="3"/>
        <v>0.72888815422443543</v>
      </c>
      <c r="P22" s="1551"/>
      <c r="Q22" s="1466"/>
    </row>
    <row r="23" spans="1:17">
      <c r="A23" s="1456" t="s">
        <v>34</v>
      </c>
      <c r="B23" s="1552">
        <v>418181</v>
      </c>
      <c r="C23" s="1735">
        <v>78139</v>
      </c>
      <c r="D23" s="1736">
        <f>28224+52313+51566</f>
        <v>132103</v>
      </c>
      <c r="E23" s="1737">
        <v>51566</v>
      </c>
      <c r="F23" s="1494"/>
      <c r="G23" s="1494"/>
      <c r="H23" s="1494"/>
      <c r="I23" s="1494"/>
      <c r="J23" s="1494"/>
      <c r="K23" s="1494"/>
      <c r="L23" s="1494"/>
      <c r="M23" s="1494"/>
      <c r="N23" s="1495"/>
      <c r="O23" s="1486">
        <f t="shared" si="3"/>
        <v>1.6906154417128452</v>
      </c>
      <c r="P23" s="1551"/>
      <c r="Q23" s="1466"/>
    </row>
    <row r="24" spans="1:17">
      <c r="A24" s="1458" t="s">
        <v>35</v>
      </c>
      <c r="B24" s="1552">
        <v>154824</v>
      </c>
      <c r="C24" s="1735">
        <v>48397</v>
      </c>
      <c r="D24" s="1736">
        <f>7472+11209+10455</f>
        <v>29136</v>
      </c>
      <c r="E24" s="1737">
        <v>10455</v>
      </c>
      <c r="F24" s="1494"/>
      <c r="G24" s="1494"/>
      <c r="H24" s="1494"/>
      <c r="I24" s="1494"/>
      <c r="J24" s="1494"/>
      <c r="K24" s="1494"/>
      <c r="L24" s="1494"/>
      <c r="M24" s="1494"/>
      <c r="N24" s="1495"/>
      <c r="O24" s="1486">
        <f t="shared" si="3"/>
        <v>0.60202078641238088</v>
      </c>
      <c r="P24" s="1551"/>
      <c r="Q24" s="1466"/>
    </row>
    <row r="25" spans="1:17">
      <c r="A25" s="1458" t="s">
        <v>184</v>
      </c>
      <c r="B25" s="1552">
        <v>820504</v>
      </c>
      <c r="C25" s="1735">
        <v>84000</v>
      </c>
      <c r="D25" s="1739">
        <f>64416+76783+76675</f>
        <v>217874</v>
      </c>
      <c r="E25" s="1740">
        <v>76675</v>
      </c>
      <c r="F25" s="1494"/>
      <c r="G25" s="1494"/>
      <c r="H25" s="1494"/>
      <c r="I25" s="1494"/>
      <c r="J25" s="1494"/>
      <c r="K25" s="1494"/>
      <c r="L25" s="1494"/>
      <c r="M25" s="1494"/>
      <c r="N25" s="1495"/>
      <c r="O25" s="1486"/>
      <c r="P25" s="1551"/>
      <c r="Q25" s="1466"/>
    </row>
    <row r="26" spans="1:17">
      <c r="A26" s="1556" t="s">
        <v>142</v>
      </c>
      <c r="B26" s="1557">
        <f>225080+20763+25013</f>
        <v>270856</v>
      </c>
      <c r="C26" s="1741">
        <v>63089</v>
      </c>
      <c r="D26" s="1742">
        <f>21847+15575+21563</f>
        <v>58985</v>
      </c>
      <c r="E26" s="1743">
        <f t="shared" ref="E26:E30" si="4">SUM(F26:J26)</f>
        <v>21563</v>
      </c>
      <c r="F26" s="1759">
        <v>0</v>
      </c>
      <c r="G26" s="1759">
        <v>0</v>
      </c>
      <c r="H26" s="1760">
        <v>9506</v>
      </c>
      <c r="I26" s="1760">
        <v>12057</v>
      </c>
      <c r="J26" s="1761">
        <v>0</v>
      </c>
      <c r="K26" s="1762">
        <v>5869</v>
      </c>
      <c r="L26" s="1762">
        <f>97+1049</f>
        <v>1146</v>
      </c>
      <c r="M26" s="1763">
        <v>0</v>
      </c>
      <c r="N26" s="1764">
        <v>0</v>
      </c>
      <c r="O26" s="1486" t="e">
        <f>+D26/C27</f>
        <v>#DIV/0!</v>
      </c>
      <c r="P26" s="1551"/>
      <c r="Q26" s="1466"/>
    </row>
    <row r="27" spans="1:17">
      <c r="A27" s="1566"/>
      <c r="B27" s="1567"/>
      <c r="C27" s="1744"/>
      <c r="D27" s="1568"/>
      <c r="E27" s="1569"/>
      <c r="F27" s="1494"/>
      <c r="G27" s="1494"/>
      <c r="H27" s="1494"/>
      <c r="I27" s="1494"/>
      <c r="J27" s="1494"/>
      <c r="K27" s="1494"/>
      <c r="L27" s="1494"/>
      <c r="M27" s="1494"/>
      <c r="N27" s="1495"/>
      <c r="O27" s="1486"/>
      <c r="P27" s="1551"/>
      <c r="Q27" s="1466"/>
    </row>
    <row r="28" spans="1:17">
      <c r="A28" s="1447" t="s">
        <v>223</v>
      </c>
      <c r="B28" s="1570">
        <f t="shared" ref="B28:N28" si="5">SUM(B29:B30)</f>
        <v>115478</v>
      </c>
      <c r="C28" s="1570">
        <f t="shared" si="5"/>
        <v>13309</v>
      </c>
      <c r="D28" s="1570">
        <f t="shared" si="5"/>
        <v>34360</v>
      </c>
      <c r="E28" s="1745">
        <f t="shared" si="5"/>
        <v>11253</v>
      </c>
      <c r="F28" s="1570">
        <f t="shared" si="5"/>
        <v>0</v>
      </c>
      <c r="G28" s="1570">
        <f t="shared" si="5"/>
        <v>0</v>
      </c>
      <c r="H28" s="1570">
        <f t="shared" si="5"/>
        <v>5577</v>
      </c>
      <c r="I28" s="1570">
        <f t="shared" si="5"/>
        <v>5676</v>
      </c>
      <c r="J28" s="1570">
        <f t="shared" si="5"/>
        <v>0</v>
      </c>
      <c r="K28" s="1570">
        <f t="shared" si="5"/>
        <v>5539</v>
      </c>
      <c r="L28" s="1570">
        <f t="shared" si="5"/>
        <v>2899</v>
      </c>
      <c r="M28" s="1570">
        <f t="shared" si="5"/>
        <v>0</v>
      </c>
      <c r="N28" s="1746">
        <f t="shared" si="5"/>
        <v>5687</v>
      </c>
      <c r="O28" s="1486">
        <f t="shared" ref="O28:O30" si="6">+D28/C28</f>
        <v>2.5817116237132769</v>
      </c>
      <c r="P28" s="1571"/>
      <c r="Q28" s="1488"/>
    </row>
    <row r="29" spans="1:17">
      <c r="A29" s="1489" t="s">
        <v>186</v>
      </c>
      <c r="B29" s="1572">
        <f>51295+3304</f>
        <v>54599</v>
      </c>
      <c r="C29" s="1708">
        <v>13309</v>
      </c>
      <c r="D29" s="1574">
        <f>4330+4738+5566</f>
        <v>14634</v>
      </c>
      <c r="E29" s="1500">
        <f t="shared" si="4"/>
        <v>5566</v>
      </c>
      <c r="F29" s="1575">
        <v>0</v>
      </c>
      <c r="G29" s="1575">
        <v>0</v>
      </c>
      <c r="H29" s="1576">
        <v>2584</v>
      </c>
      <c r="I29" s="1576">
        <v>2982</v>
      </c>
      <c r="J29" s="1575">
        <v>0</v>
      </c>
      <c r="K29" s="1503">
        <v>2758</v>
      </c>
      <c r="L29" s="1503">
        <f>1246+18</f>
        <v>1264</v>
      </c>
      <c r="M29" s="1517">
        <v>0</v>
      </c>
      <c r="N29" s="1725">
        <v>0</v>
      </c>
      <c r="O29" s="1486">
        <f t="shared" si="6"/>
        <v>1.0995566909610037</v>
      </c>
      <c r="P29" s="1577"/>
      <c r="Q29" s="1466"/>
    </row>
    <row r="30" spans="1:17">
      <c r="A30" s="1489" t="s">
        <v>149</v>
      </c>
      <c r="B30" s="1572">
        <f>47524+6447+6908</f>
        <v>60879</v>
      </c>
      <c r="C30" s="1578"/>
      <c r="D30" s="1574">
        <f>7369+6670+5687</f>
        <v>19726</v>
      </c>
      <c r="E30" s="1513">
        <f t="shared" si="4"/>
        <v>5687</v>
      </c>
      <c r="F30" s="1575">
        <v>0</v>
      </c>
      <c r="G30" s="1575">
        <v>0</v>
      </c>
      <c r="H30" s="1576">
        <v>2993</v>
      </c>
      <c r="I30" s="1576">
        <v>2694</v>
      </c>
      <c r="J30" s="1575">
        <v>0</v>
      </c>
      <c r="K30" s="1503">
        <v>2781</v>
      </c>
      <c r="L30" s="1503">
        <f>1635</f>
        <v>1635</v>
      </c>
      <c r="M30" s="1517">
        <v>0</v>
      </c>
      <c r="N30" s="1504">
        <v>5687</v>
      </c>
      <c r="O30" s="1486" t="e">
        <f t="shared" si="6"/>
        <v>#DIV/0!</v>
      </c>
      <c r="P30" s="1577"/>
      <c r="Q30" s="1466"/>
    </row>
    <row r="31" spans="1:17">
      <c r="A31" s="1489"/>
      <c r="B31" s="1572"/>
      <c r="C31" s="1578"/>
      <c r="D31" s="1574"/>
      <c r="E31" s="1513"/>
      <c r="F31" s="1575"/>
      <c r="G31" s="1575"/>
      <c r="H31" s="1576"/>
      <c r="I31" s="1576"/>
      <c r="J31" s="1575"/>
      <c r="K31" s="1503"/>
      <c r="L31" s="1503"/>
      <c r="M31" s="1494"/>
      <c r="N31" s="1504"/>
      <c r="O31" s="1486"/>
      <c r="P31" s="1577"/>
      <c r="Q31" s="1466"/>
    </row>
    <row r="32" spans="1:17">
      <c r="A32" s="1447" t="s">
        <v>224</v>
      </c>
      <c r="B32" s="1579">
        <f t="shared" ref="B32:N32" si="7">SUM(B33:B35)</f>
        <v>1031853</v>
      </c>
      <c r="C32" s="1579">
        <f t="shared" si="7"/>
        <v>240401</v>
      </c>
      <c r="D32" s="1579">
        <f t="shared" si="7"/>
        <v>290234</v>
      </c>
      <c r="E32" s="1579">
        <f t="shared" si="7"/>
        <v>95027</v>
      </c>
      <c r="F32" s="1579">
        <f t="shared" si="7"/>
        <v>33286</v>
      </c>
      <c r="G32" s="1579">
        <f t="shared" si="7"/>
        <v>44225</v>
      </c>
      <c r="H32" s="1579">
        <f t="shared" si="7"/>
        <v>10311</v>
      </c>
      <c r="I32" s="1579">
        <f t="shared" si="7"/>
        <v>7205</v>
      </c>
      <c r="J32" s="1579">
        <f t="shared" si="7"/>
        <v>0</v>
      </c>
      <c r="K32" s="1579">
        <f t="shared" si="7"/>
        <v>18231</v>
      </c>
      <c r="L32" s="1579">
        <f t="shared" si="7"/>
        <v>18400</v>
      </c>
      <c r="M32" s="1579">
        <f t="shared" si="7"/>
        <v>0</v>
      </c>
      <c r="N32" s="1579">
        <f t="shared" si="7"/>
        <v>0</v>
      </c>
      <c r="O32" s="1486">
        <f>+D32/C32</f>
        <v>1.2072911510351454</v>
      </c>
      <c r="P32" s="1577"/>
      <c r="Q32" s="1466"/>
    </row>
    <row r="33" spans="1:17">
      <c r="A33" s="1580" t="s">
        <v>188</v>
      </c>
      <c r="B33" s="1572">
        <f>122864+65834+68474+77377+68757+73572+78703+65592+72568+68867+84388</f>
        <v>846996</v>
      </c>
      <c r="C33" s="1573">
        <v>188698</v>
      </c>
      <c r="D33" s="1581">
        <f>85261+65541+78006</f>
        <v>228808</v>
      </c>
      <c r="E33" s="1500">
        <f>SUM(F33:J33)</f>
        <v>78006</v>
      </c>
      <c r="F33" s="1582">
        <v>28025</v>
      </c>
      <c r="G33" s="1582">
        <v>35293</v>
      </c>
      <c r="H33" s="1582">
        <v>7693</v>
      </c>
      <c r="I33" s="1582">
        <v>6995</v>
      </c>
      <c r="J33" s="1575">
        <v>0</v>
      </c>
      <c r="K33" s="1494">
        <v>15814</v>
      </c>
      <c r="L33" s="1494">
        <f>1466+4335+1424+4922</f>
        <v>12147</v>
      </c>
      <c r="M33" s="1517">
        <v>0</v>
      </c>
      <c r="N33" s="1725">
        <v>0</v>
      </c>
      <c r="O33" s="1486">
        <f>+D33/C33</f>
        <v>1.2125618713499877</v>
      </c>
      <c r="P33" s="1466"/>
      <c r="Q33" s="1466"/>
    </row>
    <row r="34" spans="1:17">
      <c r="A34" s="1580" t="s">
        <v>189</v>
      </c>
      <c r="B34" s="1583">
        <f>35860+15843+15535+12262+10916+12135+12744+11821+20642+15465+21634</f>
        <v>184857</v>
      </c>
      <c r="C34" s="1584">
        <v>51703</v>
      </c>
      <c r="D34" s="1585">
        <f>23007+21398+17021</f>
        <v>61426</v>
      </c>
      <c r="E34" s="1500">
        <f>SUM(F34:J34)</f>
        <v>17021</v>
      </c>
      <c r="F34" s="1586">
        <v>5261</v>
      </c>
      <c r="G34" s="1582">
        <v>8932</v>
      </c>
      <c r="H34" s="1582">
        <v>2618</v>
      </c>
      <c r="I34" s="1582">
        <v>210</v>
      </c>
      <c r="J34" s="1575">
        <v>0</v>
      </c>
      <c r="K34" s="1494">
        <v>2417</v>
      </c>
      <c r="L34" s="1494">
        <f>3539+24+2497+193</f>
        <v>6253</v>
      </c>
      <c r="M34" s="1517">
        <v>0</v>
      </c>
      <c r="N34" s="1725">
        <v>0</v>
      </c>
      <c r="O34" s="1486">
        <f>+D34/C34</f>
        <v>1.1880548517494149</v>
      </c>
      <c r="P34" s="1466"/>
      <c r="Q34" s="1466"/>
    </row>
    <row r="35" spans="1:17">
      <c r="A35" s="1580" t="s">
        <v>215</v>
      </c>
      <c r="B35" s="1490">
        <v>0</v>
      </c>
      <c r="C35" s="1518">
        <v>0</v>
      </c>
      <c r="D35" s="1492">
        <v>0</v>
      </c>
      <c r="E35" s="1493">
        <v>0</v>
      </c>
      <c r="F35" s="1587"/>
      <c r="G35" s="1587"/>
      <c r="H35" s="1587"/>
      <c r="I35" s="1587"/>
      <c r="J35" s="1588"/>
      <c r="K35" s="1503"/>
      <c r="L35" s="1503"/>
      <c r="M35" s="1503"/>
      <c r="N35" s="1504"/>
      <c r="O35" s="1486" t="e">
        <f>+D35/C35</f>
        <v>#DIV/0!</v>
      </c>
      <c r="P35" s="1466"/>
      <c r="Q35" s="1466"/>
    </row>
    <row r="36" spans="1:17">
      <c r="A36" s="1589"/>
      <c r="B36" s="1590"/>
      <c r="C36" s="1518"/>
      <c r="D36" s="1591"/>
      <c r="E36" s="1592"/>
      <c r="F36" s="1593"/>
      <c r="G36" s="1593"/>
      <c r="H36" s="1593"/>
      <c r="I36" s="1593"/>
      <c r="J36" s="1593"/>
      <c r="K36" s="1594"/>
      <c r="L36" s="1594"/>
      <c r="M36" s="1594"/>
      <c r="N36" s="1595"/>
      <c r="O36" s="1486"/>
      <c r="P36" s="1466"/>
      <c r="Q36" s="1466"/>
    </row>
    <row r="37" spans="1:17" ht="28.2">
      <c r="A37" s="1596" t="s">
        <v>225</v>
      </c>
      <c r="B37" s="1485">
        <f t="shared" ref="B37:N37" si="8">SUM(B38:B49)</f>
        <v>9947095</v>
      </c>
      <c r="C37" s="1485">
        <f t="shared" si="8"/>
        <v>2253149</v>
      </c>
      <c r="D37" s="1485">
        <f t="shared" si="8"/>
        <v>2441967</v>
      </c>
      <c r="E37" s="1723">
        <f t="shared" si="8"/>
        <v>850637</v>
      </c>
      <c r="F37" s="1485">
        <f t="shared" si="8"/>
        <v>341247</v>
      </c>
      <c r="G37" s="1485">
        <f t="shared" si="8"/>
        <v>287958</v>
      </c>
      <c r="H37" s="1485">
        <f t="shared" si="8"/>
        <v>82978</v>
      </c>
      <c r="I37" s="1485">
        <f t="shared" si="8"/>
        <v>136485</v>
      </c>
      <c r="J37" s="1485">
        <f t="shared" si="8"/>
        <v>1969</v>
      </c>
      <c r="K37" s="1485">
        <f t="shared" si="8"/>
        <v>213837</v>
      </c>
      <c r="L37" s="1485">
        <f t="shared" si="8"/>
        <v>99646</v>
      </c>
      <c r="M37" s="1485">
        <f t="shared" si="8"/>
        <v>1160</v>
      </c>
      <c r="N37" s="1724">
        <f t="shared" si="8"/>
        <v>60011</v>
      </c>
      <c r="O37" s="1486">
        <f t="shared" ref="O37:O39" si="9">+D37/C37</f>
        <v>1.0838018258002466</v>
      </c>
      <c r="P37" s="1488"/>
      <c r="Q37" s="1488"/>
    </row>
    <row r="38" spans="1:17">
      <c r="A38" s="1489" t="s">
        <v>191</v>
      </c>
      <c r="B38" s="1497">
        <f>141659+76024+81669+80656+83401+82771+90144+86739+86664+97258+14937</f>
        <v>921922</v>
      </c>
      <c r="C38" s="1518">
        <v>217683</v>
      </c>
      <c r="D38" s="1499">
        <f>95005+67426+73618</f>
        <v>236049</v>
      </c>
      <c r="E38" s="1500">
        <f t="shared" ref="E38:E49" si="10">SUM(F38:J38)</f>
        <v>73618</v>
      </c>
      <c r="F38" s="1575">
        <v>0</v>
      </c>
      <c r="G38" s="1575">
        <v>0</v>
      </c>
      <c r="H38" s="1501">
        <v>29190</v>
      </c>
      <c r="I38" s="1501">
        <v>44428</v>
      </c>
      <c r="J38" s="1575">
        <v>0</v>
      </c>
      <c r="K38" s="1597">
        <v>1448</v>
      </c>
      <c r="L38" s="1597">
        <f>22950+56</f>
        <v>23006</v>
      </c>
      <c r="M38" s="1517">
        <v>0</v>
      </c>
      <c r="N38" s="1495"/>
      <c r="O38" s="1486">
        <f t="shared" si="9"/>
        <v>1.0843703918082717</v>
      </c>
      <c r="P38" s="1466"/>
      <c r="Q38" s="1466"/>
    </row>
    <row r="39" spans="1:17">
      <c r="A39" s="1489" t="s">
        <v>44</v>
      </c>
      <c r="B39" s="1498">
        <f>104618+64282+60352+64355+61155+69820+67741+61649+65796+65459+67411</f>
        <v>752638</v>
      </c>
      <c r="C39" s="1518">
        <v>168900</v>
      </c>
      <c r="D39" s="1598">
        <f>66996+43362+56012</f>
        <v>166370</v>
      </c>
      <c r="E39" s="1500">
        <f t="shared" si="10"/>
        <v>56012</v>
      </c>
      <c r="F39" s="1575">
        <v>0</v>
      </c>
      <c r="G39" s="1575">
        <v>0</v>
      </c>
      <c r="H39" s="1599">
        <v>9107</v>
      </c>
      <c r="I39" s="1599">
        <v>46905</v>
      </c>
      <c r="J39" s="1575">
        <v>0</v>
      </c>
      <c r="K39" s="1503">
        <v>2174</v>
      </c>
      <c r="L39" s="1600">
        <f>7897+6</f>
        <v>7903</v>
      </c>
      <c r="M39" s="1517">
        <v>0</v>
      </c>
      <c r="N39" s="1601">
        <v>56012</v>
      </c>
      <c r="O39" s="1486">
        <f t="shared" si="9"/>
        <v>0.98502072232089999</v>
      </c>
      <c r="P39" s="1466"/>
      <c r="Q39" s="1466"/>
    </row>
    <row r="40" spans="1:17">
      <c r="A40" s="1489" t="s">
        <v>128</v>
      </c>
      <c r="B40" s="1498">
        <f>169980+39843+31052+30774</f>
        <v>271649</v>
      </c>
      <c r="C40" s="1602">
        <v>0</v>
      </c>
      <c r="D40" s="1598">
        <f>50797+24532+39516</f>
        <v>114845</v>
      </c>
      <c r="E40" s="1500">
        <f t="shared" si="10"/>
        <v>39516</v>
      </c>
      <c r="F40" s="1599">
        <v>26549</v>
      </c>
      <c r="G40" s="1599">
        <v>12967</v>
      </c>
      <c r="H40" s="1575">
        <v>0</v>
      </c>
      <c r="I40" s="1575">
        <v>0</v>
      </c>
      <c r="J40" s="1575">
        <v>0</v>
      </c>
      <c r="K40" s="1603">
        <v>10376</v>
      </c>
      <c r="L40" s="1494"/>
      <c r="M40" s="1517">
        <v>0</v>
      </c>
      <c r="N40" s="1495"/>
      <c r="O40" s="1486"/>
      <c r="P40" s="1604"/>
      <c r="Q40" s="1466"/>
    </row>
    <row r="41" spans="1:17">
      <c r="A41" s="1580" t="s">
        <v>192</v>
      </c>
      <c r="B41" s="1583">
        <f>35539+25020+25012+26281+22284+23157+20948+19597+31370+25185+26111</f>
        <v>280504</v>
      </c>
      <c r="C41" s="1602">
        <v>60559</v>
      </c>
      <c r="D41" s="1585">
        <f>28107+13396+22563</f>
        <v>64066</v>
      </c>
      <c r="E41" s="1500">
        <f t="shared" si="10"/>
        <v>22563</v>
      </c>
      <c r="F41" s="1575">
        <v>0</v>
      </c>
      <c r="G41" s="1575">
        <v>0</v>
      </c>
      <c r="H41" s="1501">
        <v>11223</v>
      </c>
      <c r="I41" s="1501">
        <v>11340</v>
      </c>
      <c r="J41" s="1575">
        <v>0</v>
      </c>
      <c r="K41" s="1605">
        <v>6337</v>
      </c>
      <c r="L41" s="1503">
        <f>1527+1910</f>
        <v>3437</v>
      </c>
      <c r="M41" s="1503">
        <v>960</v>
      </c>
      <c r="N41" s="1495"/>
      <c r="O41" s="1486">
        <f t="shared" ref="O41:O45" si="11">+D41/C41</f>
        <v>1.0579104674779967</v>
      </c>
      <c r="P41" s="1466"/>
      <c r="Q41" s="1466"/>
    </row>
    <row r="42" spans="1:17">
      <c r="A42" s="1580" t="s">
        <v>193</v>
      </c>
      <c r="B42" s="1606">
        <f>42541+28883+28001+23533+23137+31624+30682+26896+34161+37632+33122</f>
        <v>340212</v>
      </c>
      <c r="C42" s="1607">
        <v>71424</v>
      </c>
      <c r="D42" s="1608">
        <f>37371+20452+35221</f>
        <v>93044</v>
      </c>
      <c r="E42" s="1500">
        <f t="shared" si="10"/>
        <v>35221</v>
      </c>
      <c r="F42" s="1575">
        <v>0</v>
      </c>
      <c r="G42" s="1575">
        <v>0</v>
      </c>
      <c r="H42" s="1609">
        <v>17089</v>
      </c>
      <c r="I42" s="1609">
        <v>18132</v>
      </c>
      <c r="J42" s="1575">
        <v>0</v>
      </c>
      <c r="K42" s="1503">
        <v>11785</v>
      </c>
      <c r="L42" s="1503">
        <f>1779+1402</f>
        <v>3181</v>
      </c>
      <c r="M42" s="1503">
        <v>200</v>
      </c>
      <c r="N42" s="1725">
        <v>0</v>
      </c>
      <c r="O42" s="1486">
        <f t="shared" si="11"/>
        <v>1.3026993727598566</v>
      </c>
      <c r="P42" s="1466"/>
      <c r="Q42" s="1466"/>
    </row>
    <row r="43" spans="1:17">
      <c r="A43" s="1580" t="s">
        <v>194</v>
      </c>
      <c r="B43" s="1610">
        <f>265227+22270+28401</f>
        <v>315898</v>
      </c>
      <c r="C43" s="1747">
        <v>58679</v>
      </c>
      <c r="D43" s="1748">
        <f>25361+15365+21112</f>
        <v>61838</v>
      </c>
      <c r="E43" s="1500">
        <f t="shared" si="10"/>
        <v>21112</v>
      </c>
      <c r="F43" s="1501">
        <v>8129</v>
      </c>
      <c r="G43" s="1501">
        <v>12878</v>
      </c>
      <c r="H43" s="1575">
        <v>0</v>
      </c>
      <c r="I43" s="1575">
        <v>0</v>
      </c>
      <c r="J43" s="1501">
        <v>105</v>
      </c>
      <c r="K43" s="1503">
        <v>6442</v>
      </c>
      <c r="L43" s="1503">
        <f>1000+2672+100</f>
        <v>3772</v>
      </c>
      <c r="M43" s="1517">
        <v>0</v>
      </c>
      <c r="N43" s="1504">
        <v>68</v>
      </c>
      <c r="O43" s="1486">
        <f t="shared" si="11"/>
        <v>1.0538352732664156</v>
      </c>
      <c r="P43" s="1466"/>
      <c r="Q43" s="1466"/>
    </row>
    <row r="44" spans="1:17">
      <c r="A44" s="1580" t="s">
        <v>195</v>
      </c>
      <c r="B44" s="1606">
        <f>890002+542749+505450+501865+511958+508971+512557+491530+514214+487223+539325</f>
        <v>6005844</v>
      </c>
      <c r="C44" s="1607">
        <v>1432751</v>
      </c>
      <c r="D44" s="1608">
        <f>383857+521467+509543</f>
        <v>1414867</v>
      </c>
      <c r="E44" s="1500">
        <f t="shared" si="10"/>
        <v>509543</v>
      </c>
      <c r="F44" s="1501">
        <v>277739</v>
      </c>
      <c r="G44" s="1501">
        <v>231804</v>
      </c>
      <c r="H44" s="1575">
        <v>0</v>
      </c>
      <c r="I44" s="1575">
        <v>0</v>
      </c>
      <c r="J44" s="1575">
        <v>0</v>
      </c>
      <c r="K44" s="1494">
        <v>149557</v>
      </c>
      <c r="L44" s="1494">
        <f>25347+21117</f>
        <v>46464</v>
      </c>
      <c r="M44" s="1517">
        <v>0</v>
      </c>
      <c r="N44" s="1725">
        <v>0</v>
      </c>
      <c r="O44" s="1486">
        <f t="shared" si="11"/>
        <v>0.98751771940832711</v>
      </c>
      <c r="P44" s="1466"/>
      <c r="Q44" s="1466"/>
    </row>
    <row r="45" spans="1:17">
      <c r="A45" s="1580" t="s">
        <v>49</v>
      </c>
      <c r="B45" s="1612">
        <f>400483+31413+46888</f>
        <v>478784</v>
      </c>
      <c r="C45" s="1607">
        <v>113468</v>
      </c>
      <c r="D45" s="1613">
        <f>40143+28372+35851</f>
        <v>104366</v>
      </c>
      <c r="E45" s="1500">
        <f t="shared" si="10"/>
        <v>35851</v>
      </c>
      <c r="F45" s="1614">
        <v>1625</v>
      </c>
      <c r="G45" s="1614">
        <v>2177</v>
      </c>
      <c r="H45" s="1614">
        <v>16369</v>
      </c>
      <c r="I45" s="1614">
        <v>15680</v>
      </c>
      <c r="J45" s="1575">
        <v>0</v>
      </c>
      <c r="K45" s="1600">
        <v>9343</v>
      </c>
      <c r="L45" s="1600">
        <f>240+17+2390+706</f>
        <v>3353</v>
      </c>
      <c r="M45" s="1517">
        <v>0</v>
      </c>
      <c r="N45" s="1495"/>
      <c r="O45" s="1486">
        <f t="shared" si="11"/>
        <v>0.91978355130962031</v>
      </c>
      <c r="P45" s="1466"/>
      <c r="Q45" s="1466"/>
    </row>
    <row r="46" spans="1:17">
      <c r="A46" s="1580" t="s">
        <v>50</v>
      </c>
      <c r="B46" s="1578"/>
      <c r="C46" s="1573"/>
      <c r="D46" s="1615"/>
      <c r="E46" s="1500">
        <f t="shared" si="10"/>
        <v>0</v>
      </c>
      <c r="F46" s="1616"/>
      <c r="G46" s="1616"/>
      <c r="H46" s="1616"/>
      <c r="I46" s="1616"/>
      <c r="J46" s="1616"/>
      <c r="K46" s="1600"/>
      <c r="L46" s="1600"/>
      <c r="M46" s="1600"/>
      <c r="N46" s="1601"/>
      <c r="O46" s="1486"/>
      <c r="P46" s="1604"/>
      <c r="Q46" s="1466"/>
    </row>
    <row r="47" spans="1:17">
      <c r="A47" s="1580" t="s">
        <v>51</v>
      </c>
      <c r="B47" s="1617">
        <f>2723+257+332</f>
        <v>3312</v>
      </c>
      <c r="C47" s="1618">
        <v>848</v>
      </c>
      <c r="D47" s="1619">
        <f>276+354+363</f>
        <v>993</v>
      </c>
      <c r="E47" s="1500">
        <f t="shared" si="10"/>
        <v>363</v>
      </c>
      <c r="F47" s="1616">
        <v>171</v>
      </c>
      <c r="G47" s="1616">
        <v>192</v>
      </c>
      <c r="H47" s="1575">
        <v>0</v>
      </c>
      <c r="I47" s="1575">
        <v>0</v>
      </c>
      <c r="J47" s="1575">
        <v>0</v>
      </c>
      <c r="K47" s="1600">
        <v>363</v>
      </c>
      <c r="L47" s="1600">
        <f>171</f>
        <v>171</v>
      </c>
      <c r="M47" s="1517">
        <v>0</v>
      </c>
      <c r="N47" s="1495"/>
      <c r="O47" s="1486">
        <f t="shared" ref="O47:O49" si="12">+D47/C47</f>
        <v>1.1709905660377358</v>
      </c>
      <c r="P47" s="1466"/>
      <c r="Q47" s="1466"/>
    </row>
    <row r="48" spans="1:17" ht="15" thickBot="1">
      <c r="A48" s="1620" t="s">
        <v>196</v>
      </c>
      <c r="B48" s="1621">
        <f>11927+1325+3997</f>
        <v>17249</v>
      </c>
      <c r="C48" s="1622">
        <v>3640</v>
      </c>
      <c r="D48" s="1623">
        <f>1216+1972+989</f>
        <v>4177</v>
      </c>
      <c r="E48" s="1531">
        <f t="shared" si="10"/>
        <v>989</v>
      </c>
      <c r="F48" s="1624">
        <v>109</v>
      </c>
      <c r="G48" s="1624">
        <v>880</v>
      </c>
      <c r="H48" s="1625">
        <v>0</v>
      </c>
      <c r="I48" s="1625">
        <v>0</v>
      </c>
      <c r="J48" s="1625">
        <v>0</v>
      </c>
      <c r="K48" s="1626">
        <v>237</v>
      </c>
      <c r="L48" s="1627">
        <f>6+2</f>
        <v>8</v>
      </c>
      <c r="M48" s="1628">
        <v>0</v>
      </c>
      <c r="N48" s="1629">
        <v>989</v>
      </c>
      <c r="O48" s="1486">
        <f t="shared" si="12"/>
        <v>1.1475274725274724</v>
      </c>
      <c r="P48" s="1466"/>
      <c r="Q48" s="1466"/>
    </row>
    <row r="49" spans="1:17">
      <c r="A49" s="1630" t="s">
        <v>197</v>
      </c>
      <c r="B49" s="1631">
        <f>46498+25145+53554+45477+47222+51070+47167+41808+32662+49246+57773+61461</f>
        <v>559083</v>
      </c>
      <c r="C49" s="1749">
        <v>125197</v>
      </c>
      <c r="D49" s="1633">
        <f>68492+57011+55849</f>
        <v>181352</v>
      </c>
      <c r="E49" s="1634">
        <f t="shared" si="10"/>
        <v>55849</v>
      </c>
      <c r="F49" s="1635">
        <v>26925</v>
      </c>
      <c r="G49" s="1635">
        <v>27060</v>
      </c>
      <c r="H49" s="1636">
        <v>0</v>
      </c>
      <c r="I49" s="1636">
        <v>0</v>
      </c>
      <c r="J49" s="1637">
        <v>1864</v>
      </c>
      <c r="K49" s="1638">
        <v>15775</v>
      </c>
      <c r="L49" s="1638">
        <f>5491+1534+1326</f>
        <v>8351</v>
      </c>
      <c r="M49" s="1639">
        <v>0</v>
      </c>
      <c r="N49" s="1640">
        <v>2942</v>
      </c>
      <c r="O49" s="1486">
        <f t="shared" si="12"/>
        <v>1.4485331118157783</v>
      </c>
      <c r="P49" s="1467"/>
      <c r="Q49" s="1466"/>
    </row>
    <row r="50" spans="1:17">
      <c r="A50" s="1589"/>
      <c r="B50" s="1641"/>
      <c r="C50" s="1618"/>
      <c r="D50" s="1641"/>
      <c r="E50" s="1642"/>
      <c r="F50" s="1643"/>
      <c r="G50" s="1643"/>
      <c r="H50" s="1643"/>
      <c r="I50" s="1643"/>
      <c r="J50" s="1643"/>
      <c r="K50" s="1644"/>
      <c r="L50" s="1644"/>
      <c r="M50" s="1644"/>
      <c r="N50" s="1645"/>
      <c r="O50" s="1486"/>
      <c r="P50" s="1646"/>
      <c r="Q50" s="1466"/>
    </row>
    <row r="51" spans="1:17">
      <c r="A51" s="1484" t="s">
        <v>226</v>
      </c>
      <c r="B51" s="1485">
        <f t="shared" ref="B51:N51" si="13">SUM(B52:B58)</f>
        <v>7605205</v>
      </c>
      <c r="C51" s="1485">
        <f t="shared" si="13"/>
        <v>1707078</v>
      </c>
      <c r="D51" s="1485">
        <f t="shared" si="13"/>
        <v>1938758</v>
      </c>
      <c r="E51" s="1723">
        <f t="shared" si="13"/>
        <v>626977</v>
      </c>
      <c r="F51" s="1485">
        <f t="shared" si="13"/>
        <v>228336</v>
      </c>
      <c r="G51" s="1485">
        <f t="shared" si="13"/>
        <v>291347</v>
      </c>
      <c r="H51" s="1485">
        <f t="shared" si="13"/>
        <v>2729</v>
      </c>
      <c r="I51" s="1485">
        <f t="shared" si="13"/>
        <v>906</v>
      </c>
      <c r="J51" s="1485">
        <f t="shared" si="13"/>
        <v>103659</v>
      </c>
      <c r="K51" s="1485">
        <f t="shared" si="13"/>
        <v>71439</v>
      </c>
      <c r="L51" s="1485">
        <f t="shared" si="13"/>
        <v>123386</v>
      </c>
      <c r="M51" s="1485">
        <f t="shared" si="13"/>
        <v>3829</v>
      </c>
      <c r="N51" s="1724">
        <f t="shared" si="13"/>
        <v>149946</v>
      </c>
      <c r="O51" s="1486">
        <f t="shared" ref="O51:O56" si="14">+D51/C51</f>
        <v>1.1357172900125243</v>
      </c>
      <c r="P51" s="1488"/>
      <c r="Q51" s="1488"/>
    </row>
    <row r="52" spans="1:17">
      <c r="A52" s="1580" t="s">
        <v>55</v>
      </c>
      <c r="B52" s="1497"/>
      <c r="C52" s="1491"/>
      <c r="D52" s="1499"/>
      <c r="E52" s="1500">
        <v>0</v>
      </c>
      <c r="F52" s="1501"/>
      <c r="G52" s="1501"/>
      <c r="H52" s="1501"/>
      <c r="I52" s="1501"/>
      <c r="J52" s="1501"/>
      <c r="K52" s="1494"/>
      <c r="L52" s="1494"/>
      <c r="M52" s="1494"/>
      <c r="N52" s="1495"/>
      <c r="O52" s="1486"/>
      <c r="P52" s="1466"/>
      <c r="Q52" s="1466"/>
    </row>
    <row r="53" spans="1:17">
      <c r="A53" s="1647" t="s">
        <v>56</v>
      </c>
      <c r="B53" s="1572">
        <f>209453+123222+177525+182527+179497+190574+195216+216952+167184+207469+198525+199975</f>
        <v>2248119</v>
      </c>
      <c r="C53" s="1573">
        <v>510200</v>
      </c>
      <c r="D53" s="1581">
        <f>194209+180798+166048</f>
        <v>541055</v>
      </c>
      <c r="E53" s="1649">
        <f t="shared" ref="E53:E58" si="15">SUM(F53:J53)</f>
        <v>166048</v>
      </c>
      <c r="F53" s="1501">
        <v>68655</v>
      </c>
      <c r="G53" s="1650">
        <v>84490</v>
      </c>
      <c r="H53" s="1650">
        <v>2543</v>
      </c>
      <c r="I53" s="1501">
        <v>776</v>
      </c>
      <c r="J53" s="1501">
        <v>9584</v>
      </c>
      <c r="K53" s="1503">
        <v>18746</v>
      </c>
      <c r="L53" s="1503">
        <f>44490+604+416+1956</f>
        <v>47466</v>
      </c>
      <c r="M53" s="1651"/>
      <c r="N53" s="1652"/>
      <c r="O53" s="1486">
        <f t="shared" si="14"/>
        <v>1.0604762838102706</v>
      </c>
      <c r="P53" s="1653"/>
      <c r="Q53" s="1466"/>
    </row>
    <row r="54" spans="1:17">
      <c r="A54" s="1580" t="s">
        <v>199</v>
      </c>
      <c r="B54" s="1583">
        <f>104773+79448+108729+100750+114908+101767+109538+102101+96227+101348+80712+95735</f>
        <v>1196036</v>
      </c>
      <c r="C54" s="1654">
        <v>292950</v>
      </c>
      <c r="D54" s="1585">
        <f>105063+90489+93101</f>
        <v>288653</v>
      </c>
      <c r="E54" s="1500">
        <f t="shared" si="15"/>
        <v>93101</v>
      </c>
      <c r="F54" s="1655">
        <v>43908</v>
      </c>
      <c r="G54" s="1599">
        <v>43028</v>
      </c>
      <c r="H54" s="1575">
        <v>0</v>
      </c>
      <c r="I54" s="1575">
        <v>0</v>
      </c>
      <c r="J54" s="1599">
        <v>6165</v>
      </c>
      <c r="K54" s="1494">
        <v>7071</v>
      </c>
      <c r="L54" s="1494">
        <f>24510+480+311</f>
        <v>25301</v>
      </c>
      <c r="M54" s="1517">
        <v>0</v>
      </c>
      <c r="N54" s="1495"/>
      <c r="O54" s="1486">
        <f t="shared" si="14"/>
        <v>0.98533196791261313</v>
      </c>
      <c r="P54" s="1656"/>
      <c r="Q54" s="1466"/>
    </row>
    <row r="55" spans="1:17">
      <c r="A55" s="1522" t="s">
        <v>58</v>
      </c>
      <c r="B55" s="1606">
        <f>90832+90726+97425+112194+114431+98379+101821+103316+100021+117218+109359+112333</f>
        <v>1248055</v>
      </c>
      <c r="C55" s="1657">
        <v>278983</v>
      </c>
      <c r="D55" s="1608">
        <f>211807+105341</f>
        <v>317148</v>
      </c>
      <c r="E55" s="1500">
        <f t="shared" si="15"/>
        <v>105341</v>
      </c>
      <c r="F55" s="1501">
        <v>34912</v>
      </c>
      <c r="G55" s="1501">
        <v>47839</v>
      </c>
      <c r="H55" s="1575">
        <v>0</v>
      </c>
      <c r="I55" s="1575">
        <v>0</v>
      </c>
      <c r="J55" s="1501">
        <v>22590</v>
      </c>
      <c r="K55" s="1503">
        <v>9839</v>
      </c>
      <c r="L55" s="1503">
        <f>21813+265+4358</f>
        <v>26436</v>
      </c>
      <c r="M55" s="1494">
        <v>2247</v>
      </c>
      <c r="N55" s="1495">
        <v>76832</v>
      </c>
      <c r="O55" s="1486">
        <f t="shared" si="14"/>
        <v>1.1368004502066433</v>
      </c>
      <c r="P55" s="1466"/>
      <c r="Q55" s="1466"/>
    </row>
    <row r="56" spans="1:17">
      <c r="A56" s="1522" t="s">
        <v>59</v>
      </c>
      <c r="B56" s="1606">
        <f>85962+38994+58375+82416+99455+86639+82659+105881+73454+94153+96038+77922</f>
        <v>981948</v>
      </c>
      <c r="C56" s="1657">
        <v>183331</v>
      </c>
      <c r="D56" s="1608">
        <f>98617+85129+85023</f>
        <v>268769</v>
      </c>
      <c r="E56" s="1500">
        <f t="shared" si="15"/>
        <v>85023</v>
      </c>
      <c r="F56" s="1501">
        <v>20627</v>
      </c>
      <c r="G56" s="1501">
        <v>37880</v>
      </c>
      <c r="H56" s="1501">
        <v>186</v>
      </c>
      <c r="I56" s="1599">
        <v>130</v>
      </c>
      <c r="J56" s="1501">
        <v>26200</v>
      </c>
      <c r="K56" s="1503">
        <v>13795</v>
      </c>
      <c r="L56" s="1503">
        <f>15594+126+2+8461</f>
        <v>24183</v>
      </c>
      <c r="M56" s="1494">
        <v>1582</v>
      </c>
      <c r="N56" s="1495">
        <v>73114</v>
      </c>
      <c r="O56" s="1486">
        <f t="shared" si="14"/>
        <v>1.4660313858540017</v>
      </c>
      <c r="P56" s="1467"/>
      <c r="Q56" s="1466"/>
    </row>
    <row r="57" spans="1:17" ht="15" thickBot="1">
      <c r="A57" s="1658" t="s">
        <v>113</v>
      </c>
      <c r="B57" s="1659"/>
      <c r="C57" s="1660"/>
      <c r="D57" s="1661" t="s">
        <v>233</v>
      </c>
      <c r="E57" s="1765">
        <f t="shared" si="15"/>
        <v>0</v>
      </c>
      <c r="F57" s="1663"/>
      <c r="G57" s="1663"/>
      <c r="H57" s="1663"/>
      <c r="I57" s="1663"/>
      <c r="J57" s="1663"/>
      <c r="K57" s="1533"/>
      <c r="L57" s="1533"/>
      <c r="M57" s="1533"/>
      <c r="N57" s="1534"/>
      <c r="O57" s="1486"/>
      <c r="P57" s="1656"/>
      <c r="Q57" s="1664"/>
    </row>
    <row r="58" spans="1:17">
      <c r="A58" s="1665" t="s">
        <v>61</v>
      </c>
      <c r="B58" s="1666">
        <f>1585050+175956+170041</f>
        <v>1931047</v>
      </c>
      <c r="C58" s="1667">
        <v>441614</v>
      </c>
      <c r="D58" s="1668">
        <f>198905+146764+177464</f>
        <v>523133</v>
      </c>
      <c r="E58" s="1766">
        <f t="shared" si="15"/>
        <v>177464</v>
      </c>
      <c r="F58" s="1670">
        <v>60234</v>
      </c>
      <c r="G58" s="1670">
        <v>78110</v>
      </c>
      <c r="H58" s="1636">
        <v>0</v>
      </c>
      <c r="I58" s="1636">
        <v>0</v>
      </c>
      <c r="J58" s="1637">
        <v>39120</v>
      </c>
      <c r="K58" s="1671">
        <v>21988</v>
      </c>
      <c r="L58" s="1671"/>
      <c r="M58" s="1639">
        <v>0</v>
      </c>
      <c r="N58" s="1672"/>
      <c r="O58" s="1486">
        <f t="shared" ref="O58:O61" si="16">+D58/C58</f>
        <v>1.1845933326389109</v>
      </c>
      <c r="P58" s="1467"/>
      <c r="Q58" s="1467"/>
    </row>
    <row r="59" spans="1:17">
      <c r="A59" s="1566"/>
      <c r="B59" s="1673"/>
      <c r="C59" s="1593"/>
      <c r="D59" s="1673"/>
      <c r="E59" s="1592"/>
      <c r="F59" s="1674"/>
      <c r="G59" s="1494"/>
      <c r="H59" s="1593"/>
      <c r="I59" s="1674"/>
      <c r="J59" s="1644"/>
      <c r="K59" s="1494"/>
      <c r="L59" s="1494"/>
      <c r="M59" s="1494"/>
      <c r="N59" s="1495"/>
      <c r="O59" s="1486"/>
      <c r="P59" s="1467"/>
      <c r="Q59" s="1467"/>
    </row>
    <row r="60" spans="1:17">
      <c r="A60" s="1675" t="s">
        <v>227</v>
      </c>
      <c r="B60" s="1676">
        <f t="shared" ref="B60:N60" si="17">SUM(B61:B68)</f>
        <v>69686</v>
      </c>
      <c r="C60" s="1676">
        <f t="shared" si="17"/>
        <v>10794</v>
      </c>
      <c r="D60" s="1676">
        <f t="shared" si="17"/>
        <v>19913</v>
      </c>
      <c r="E60" s="1750">
        <f t="shared" si="17"/>
        <v>7326</v>
      </c>
      <c r="F60" s="1676">
        <f t="shared" si="17"/>
        <v>0</v>
      </c>
      <c r="G60" s="1676">
        <f t="shared" si="17"/>
        <v>0</v>
      </c>
      <c r="H60" s="1676">
        <f t="shared" si="17"/>
        <v>3924</v>
      </c>
      <c r="I60" s="1676">
        <f t="shared" si="17"/>
        <v>3402</v>
      </c>
      <c r="J60" s="1676">
        <f t="shared" si="17"/>
        <v>0</v>
      </c>
      <c r="K60" s="1676">
        <f t="shared" si="17"/>
        <v>4096</v>
      </c>
      <c r="L60" s="1676">
        <f t="shared" si="17"/>
        <v>4070</v>
      </c>
      <c r="M60" s="1676">
        <f t="shared" si="17"/>
        <v>0</v>
      </c>
      <c r="N60" s="1751">
        <f t="shared" si="17"/>
        <v>0</v>
      </c>
      <c r="O60" s="1486">
        <f t="shared" si="16"/>
        <v>1.8448211969612749</v>
      </c>
      <c r="P60" s="1488"/>
      <c r="Q60" s="1677"/>
    </row>
    <row r="61" spans="1:17">
      <c r="A61" s="1522" t="s">
        <v>201</v>
      </c>
      <c r="B61" s="1606">
        <f>9380+2012+2071</f>
        <v>13463</v>
      </c>
      <c r="C61" s="1618">
        <v>2264</v>
      </c>
      <c r="D61" s="1678">
        <f>2379+1593+2241</f>
        <v>6213</v>
      </c>
      <c r="E61" s="1500">
        <f>SUM(H61:J61)</f>
        <v>2241</v>
      </c>
      <c r="F61" s="1575">
        <v>0</v>
      </c>
      <c r="G61" s="1575">
        <v>0</v>
      </c>
      <c r="H61" s="1679">
        <v>1148</v>
      </c>
      <c r="I61" s="1501">
        <v>1093</v>
      </c>
      <c r="J61" s="1575">
        <v>0</v>
      </c>
      <c r="K61" s="1494">
        <v>543</v>
      </c>
      <c r="L61" s="1494">
        <f>302+730</f>
        <v>1032</v>
      </c>
      <c r="M61" s="1517">
        <v>0</v>
      </c>
      <c r="N61" s="1725">
        <v>0</v>
      </c>
      <c r="O61" s="1486">
        <f t="shared" si="16"/>
        <v>2.7442579505300353</v>
      </c>
      <c r="P61" s="1466"/>
      <c r="Q61" s="1466"/>
    </row>
    <row r="62" spans="1:17">
      <c r="A62" s="1680" t="s">
        <v>202</v>
      </c>
      <c r="B62" s="1497"/>
      <c r="C62" s="1518"/>
      <c r="D62" s="1681"/>
      <c r="E62" s="1500">
        <f t="shared" ref="E62:E68" si="18">SUM(F62:J62)</f>
        <v>0</v>
      </c>
      <c r="F62" s="1682"/>
      <c r="G62" s="1683"/>
      <c r="H62" s="1501"/>
      <c r="I62" s="1501"/>
      <c r="J62" s="1501"/>
      <c r="K62" s="1494"/>
      <c r="L62" s="1494"/>
      <c r="M62" s="1494"/>
      <c r="N62" s="1495"/>
      <c r="O62" s="1486"/>
      <c r="P62" s="1466"/>
      <c r="Q62" s="1466"/>
    </row>
    <row r="63" spans="1:17">
      <c r="A63" s="1522" t="s">
        <v>203</v>
      </c>
      <c r="B63" s="1606">
        <f>1143+584+1068+1170+1018+1940+2160+2337+2201+2341+1720</f>
        <v>17682</v>
      </c>
      <c r="C63" s="1618">
        <v>1727</v>
      </c>
      <c r="D63" s="1678">
        <f>1586+1377+1324</f>
        <v>4287</v>
      </c>
      <c r="E63" s="1500">
        <f t="shared" si="18"/>
        <v>1324</v>
      </c>
      <c r="F63" s="1575">
        <v>0</v>
      </c>
      <c r="G63" s="1575">
        <v>0</v>
      </c>
      <c r="H63" s="1501">
        <v>676</v>
      </c>
      <c r="I63" s="1501">
        <v>648</v>
      </c>
      <c r="J63" s="1575">
        <v>0</v>
      </c>
      <c r="K63" s="1494">
        <v>924</v>
      </c>
      <c r="L63" s="1494">
        <f>354+326</f>
        <v>680</v>
      </c>
      <c r="M63" s="1517">
        <v>0</v>
      </c>
      <c r="N63" s="1495"/>
      <c r="O63" s="1486">
        <f t="shared" ref="O63:O66" si="19">+D63/C63</f>
        <v>2.4823393167342211</v>
      </c>
      <c r="P63" s="1466"/>
      <c r="Q63" s="1466"/>
    </row>
    <row r="64" spans="1:17">
      <c r="A64" s="1522" t="s">
        <v>66</v>
      </c>
      <c r="B64" s="1497">
        <f>9020+1300+1328+1755+1870+1593+2099</f>
        <v>18965</v>
      </c>
      <c r="C64" s="1518">
        <v>3536</v>
      </c>
      <c r="D64" s="1681">
        <f>2516+1712+2842</f>
        <v>7070</v>
      </c>
      <c r="E64" s="1500">
        <f t="shared" si="18"/>
        <v>2842</v>
      </c>
      <c r="F64" s="1575">
        <v>0</v>
      </c>
      <c r="G64" s="1575">
        <v>0</v>
      </c>
      <c r="H64" s="1501">
        <v>1595</v>
      </c>
      <c r="I64" s="1501">
        <v>1247</v>
      </c>
      <c r="J64" s="1575">
        <v>0</v>
      </c>
      <c r="K64" s="1503">
        <v>2070</v>
      </c>
      <c r="L64" s="1503">
        <f>1559+172</f>
        <v>1731</v>
      </c>
      <c r="M64" s="1517">
        <v>0</v>
      </c>
      <c r="N64" s="1495"/>
      <c r="O64" s="1486">
        <f t="shared" si="19"/>
        <v>1.9994343891402715</v>
      </c>
      <c r="P64" s="1466"/>
      <c r="Q64" s="1466"/>
    </row>
    <row r="65" spans="1:17">
      <c r="A65" s="1684" t="s">
        <v>204</v>
      </c>
      <c r="B65" s="1572"/>
      <c r="C65" s="1573"/>
      <c r="D65" s="1574"/>
      <c r="E65" s="1500">
        <f t="shared" si="18"/>
        <v>0</v>
      </c>
      <c r="F65" s="1685"/>
      <c r="G65" s="1683"/>
      <c r="H65" s="1501"/>
      <c r="I65" s="1501"/>
      <c r="J65" s="1501"/>
      <c r="K65" s="1494"/>
      <c r="L65" s="1494"/>
      <c r="M65" s="1494"/>
      <c r="N65" s="1495"/>
      <c r="O65" s="1486"/>
      <c r="P65" s="1466"/>
      <c r="Q65" s="1466"/>
    </row>
    <row r="66" spans="1:17">
      <c r="A66" s="1522" t="s">
        <v>205</v>
      </c>
      <c r="B66" s="1497">
        <v>8152</v>
      </c>
      <c r="C66" s="1518">
        <v>1338</v>
      </c>
      <c r="D66" s="1752">
        <f>634+656+529</f>
        <v>1819</v>
      </c>
      <c r="E66" s="1500">
        <f t="shared" si="18"/>
        <v>529</v>
      </c>
      <c r="F66" s="1575">
        <v>0</v>
      </c>
      <c r="G66" s="1575">
        <v>0</v>
      </c>
      <c r="H66" s="1753">
        <v>253</v>
      </c>
      <c r="I66" s="1753">
        <v>276</v>
      </c>
      <c r="J66" s="1753">
        <v>0</v>
      </c>
      <c r="K66" s="1594">
        <v>529</v>
      </c>
      <c r="L66" s="1594">
        <f>253</f>
        <v>253</v>
      </c>
      <c r="M66" s="1594"/>
      <c r="N66" s="1595"/>
      <c r="O66" s="1486">
        <f t="shared" si="19"/>
        <v>1.3594917787742899</v>
      </c>
      <c r="P66" s="1466"/>
      <c r="Q66" s="1466"/>
    </row>
    <row r="67" spans="1:17">
      <c r="A67" s="1680" t="s">
        <v>206</v>
      </c>
      <c r="B67" s="1606"/>
      <c r="C67" s="1618"/>
      <c r="D67" s="1754"/>
      <c r="E67" s="1500">
        <f t="shared" si="18"/>
        <v>0</v>
      </c>
      <c r="F67" s="1520"/>
      <c r="G67" s="1687"/>
      <c r="H67" s="1599"/>
      <c r="I67" s="1599"/>
      <c r="J67" s="1599"/>
      <c r="K67" s="1494"/>
      <c r="L67" s="1494"/>
      <c r="M67" s="1494"/>
      <c r="N67" s="1495"/>
      <c r="O67" s="1486"/>
      <c r="P67" s="1466"/>
      <c r="Q67" s="1466"/>
    </row>
    <row r="68" spans="1:17" ht="15" thickBot="1">
      <c r="A68" s="1522" t="s">
        <v>70</v>
      </c>
      <c r="B68" s="1617">
        <v>11424</v>
      </c>
      <c r="C68" s="1618">
        <v>1929</v>
      </c>
      <c r="D68" s="1755">
        <f>78+56+390</f>
        <v>524</v>
      </c>
      <c r="E68" s="1500">
        <f t="shared" si="18"/>
        <v>390</v>
      </c>
      <c r="F68" s="1575">
        <v>0</v>
      </c>
      <c r="G68" s="1575">
        <v>0</v>
      </c>
      <c r="H68" s="1501">
        <v>252</v>
      </c>
      <c r="I68" s="1501">
        <v>138</v>
      </c>
      <c r="J68" s="1575">
        <v>0</v>
      </c>
      <c r="K68" s="1503">
        <v>30</v>
      </c>
      <c r="L68" s="1503">
        <f>236+138</f>
        <v>374</v>
      </c>
      <c r="M68" s="1517">
        <v>0</v>
      </c>
      <c r="N68" s="1495"/>
      <c r="O68" s="1486">
        <f>+D68/C68</f>
        <v>0.27164333851736649</v>
      </c>
      <c r="P68" s="1466"/>
      <c r="Q68" s="1468"/>
    </row>
    <row r="69" spans="1:17" ht="15" thickBot="1">
      <c r="A69" s="1693" t="s">
        <v>71</v>
      </c>
      <c r="B69" s="1694">
        <f t="shared" ref="B69:N69" si="20">B6+B28+B32+B37+B51+B60</f>
        <v>27092360</v>
      </c>
      <c r="C69" s="1694">
        <f t="shared" si="20"/>
        <v>6034022</v>
      </c>
      <c r="D69" s="1756">
        <f t="shared" si="20"/>
        <v>6764019</v>
      </c>
      <c r="E69" s="1757">
        <f t="shared" si="20"/>
        <v>2299020.48</v>
      </c>
      <c r="F69" s="1694">
        <f t="shared" si="20"/>
        <v>789049</v>
      </c>
      <c r="G69" s="1694">
        <f t="shared" si="20"/>
        <v>799954</v>
      </c>
      <c r="H69" s="1694">
        <f t="shared" si="20"/>
        <v>135954.88</v>
      </c>
      <c r="I69" s="1694">
        <f t="shared" si="20"/>
        <v>185988.6</v>
      </c>
      <c r="J69" s="1694">
        <f t="shared" si="20"/>
        <v>106271</v>
      </c>
      <c r="K69" s="1694">
        <f t="shared" si="20"/>
        <v>381650</v>
      </c>
      <c r="L69" s="1694">
        <f t="shared" si="20"/>
        <v>314015</v>
      </c>
      <c r="M69" s="1694">
        <f t="shared" si="20"/>
        <v>9190</v>
      </c>
      <c r="N69" s="1758">
        <f t="shared" si="20"/>
        <v>232294</v>
      </c>
      <c r="O69" s="1486">
        <f>+D69/C69</f>
        <v>1.1209801687829444</v>
      </c>
      <c r="P69" s="1695"/>
      <c r="Q69" s="1695"/>
    </row>
    <row r="70" spans="1:17">
      <c r="A70" s="1466"/>
      <c r="B70" s="1696"/>
      <c r="C70" s="1696"/>
      <c r="D70" s="1696"/>
      <c r="E70" s="1697"/>
      <c r="F70" s="1467"/>
      <c r="G70" s="1467"/>
      <c r="H70" s="1467"/>
      <c r="I70" s="1467"/>
      <c r="J70" s="1467"/>
      <c r="K70" s="1467"/>
      <c r="L70" s="1467"/>
      <c r="M70" s="1467"/>
      <c r="N70" s="1467"/>
      <c r="O70" s="1466"/>
      <c r="P70" s="1466"/>
      <c r="Q70" s="1466"/>
    </row>
    <row r="71" spans="1:17">
      <c r="A71" s="1466"/>
      <c r="B71" s="1466"/>
      <c r="C71" s="1466"/>
      <c r="D71" s="1466"/>
      <c r="E71" s="1467"/>
      <c r="F71" s="1467"/>
      <c r="G71" s="1467"/>
      <c r="H71" s="1467"/>
      <c r="I71" s="1467"/>
      <c r="J71" s="1467"/>
      <c r="K71" s="1467"/>
      <c r="L71" s="1467"/>
      <c r="M71" s="1467"/>
      <c r="N71" s="1467"/>
      <c r="O71" s="1466"/>
      <c r="P71" s="1466"/>
      <c r="Q71" s="1466"/>
    </row>
    <row r="72" spans="1:17" ht="83.4">
      <c r="A72" s="1466"/>
      <c r="B72" s="1698" t="s">
        <v>207</v>
      </c>
      <c r="C72" s="1698"/>
      <c r="D72" s="1699" t="s">
        <v>74</v>
      </c>
      <c r="E72" s="1700" t="s">
        <v>75</v>
      </c>
      <c r="F72" s="1700" t="s">
        <v>76</v>
      </c>
      <c r="G72" s="1700" t="s">
        <v>77</v>
      </c>
      <c r="H72" s="1700" t="s">
        <v>78</v>
      </c>
      <c r="I72" s="1700" t="s">
        <v>79</v>
      </c>
      <c r="J72" s="1700" t="s">
        <v>80</v>
      </c>
      <c r="K72" s="1700" t="s">
        <v>81</v>
      </c>
      <c r="L72" s="1700" t="s">
        <v>82</v>
      </c>
      <c r="M72" s="1700" t="s">
        <v>83</v>
      </c>
      <c r="N72" s="1700" t="s">
        <v>84</v>
      </c>
      <c r="O72" s="1701" t="s">
        <v>85</v>
      </c>
      <c r="P72" s="1702"/>
      <c r="Q72" s="1466"/>
    </row>
    <row r="73" spans="1:17">
      <c r="A73" s="1466"/>
      <c r="B73" s="1703" t="s">
        <v>87</v>
      </c>
      <c r="C73" s="1703"/>
      <c r="D73" s="1704">
        <v>2555400</v>
      </c>
      <c r="E73" s="1705">
        <v>1909599</v>
      </c>
      <c r="F73" s="1503">
        <v>2299020</v>
      </c>
      <c r="G73" s="1705"/>
      <c r="H73" s="1705"/>
      <c r="I73" s="1593"/>
      <c r="J73" s="1705"/>
      <c r="K73" s="1503"/>
      <c r="L73" s="1503"/>
      <c r="M73" s="1706"/>
      <c r="N73" s="1707"/>
      <c r="O73" s="1708"/>
      <c r="P73" s="1468"/>
      <c r="Q73" s="1466"/>
    </row>
    <row r="74" spans="1:17">
      <c r="A74" s="1466"/>
      <c r="B74" s="1709" t="s">
        <v>88</v>
      </c>
      <c r="C74" s="1709"/>
      <c r="D74" s="1709"/>
      <c r="E74" s="1710">
        <f t="shared" ref="E74:N74" si="21">IF(D73&gt;0,E73/D73,0)*100</f>
        <v>74.727987790561173</v>
      </c>
      <c r="F74" s="1710">
        <f t="shared" si="21"/>
        <v>120.39281545497249</v>
      </c>
      <c r="G74" s="1710">
        <f t="shared" si="21"/>
        <v>0</v>
      </c>
      <c r="H74" s="1710">
        <f t="shared" si="21"/>
        <v>0</v>
      </c>
      <c r="I74" s="1710">
        <f t="shared" si="21"/>
        <v>0</v>
      </c>
      <c r="J74" s="1710">
        <f t="shared" si="21"/>
        <v>0</v>
      </c>
      <c r="K74" s="1710">
        <f t="shared" si="21"/>
        <v>0</v>
      </c>
      <c r="L74" s="1710">
        <f t="shared" si="21"/>
        <v>0</v>
      </c>
      <c r="M74" s="1710">
        <f t="shared" si="21"/>
        <v>0</v>
      </c>
      <c r="N74" s="1710">
        <f t="shared" si="21"/>
        <v>0</v>
      </c>
      <c r="O74" s="1711"/>
      <c r="P74" s="1712"/>
      <c r="Q74" s="1466"/>
    </row>
    <row r="75" spans="1:17">
      <c r="A75" s="1466"/>
      <c r="B75" s="1713"/>
      <c r="C75" s="1713"/>
      <c r="D75" s="1713"/>
      <c r="E75" s="1707"/>
      <c r="F75" s="1714"/>
      <c r="G75" s="1467" t="s">
        <v>115</v>
      </c>
      <c r="H75" s="1467"/>
      <c r="I75" s="1467"/>
      <c r="J75" s="1467"/>
      <c r="K75" s="1467"/>
      <c r="L75" s="1467"/>
      <c r="M75" s="1467"/>
      <c r="N75" s="1467"/>
      <c r="O75" s="1468"/>
      <c r="P75" s="1466"/>
    </row>
    <row r="76" spans="1:17">
      <c r="A76" s="1715" t="s">
        <v>208</v>
      </c>
      <c r="B76" s="1468"/>
      <c r="C76" s="1468"/>
      <c r="D76" s="1468"/>
      <c r="E76" s="1467"/>
      <c r="F76" s="1467"/>
      <c r="G76" s="1467"/>
      <c r="H76" s="1467"/>
      <c r="I76" s="1467"/>
      <c r="J76" s="1467"/>
      <c r="K76" s="1467"/>
      <c r="L76" s="1467"/>
      <c r="M76" s="1467"/>
      <c r="N76" s="1467"/>
      <c r="O76" s="1468"/>
      <c r="P76" s="1466"/>
      <c r="Q76" s="1467"/>
    </row>
    <row r="77" spans="1:17">
      <c r="A77" s="1466" t="s">
        <v>90</v>
      </c>
      <c r="B77" s="1468"/>
      <c r="C77" s="1468"/>
      <c r="D77" s="1468"/>
      <c r="E77" s="1467"/>
      <c r="F77" s="1467"/>
      <c r="G77" s="1467"/>
      <c r="H77" s="1467"/>
      <c r="I77" s="1467"/>
      <c r="J77" s="1467"/>
      <c r="K77" s="1467"/>
      <c r="L77" s="1467"/>
      <c r="M77" s="1467"/>
      <c r="N77" s="1467"/>
      <c r="O77" s="1468"/>
      <c r="P77" s="1466"/>
      <c r="Q77" s="1467"/>
    </row>
    <row r="78" spans="1:17">
      <c r="A78" s="1715" t="s">
        <v>209</v>
      </c>
      <c r="B78" s="1468"/>
      <c r="C78" s="1468"/>
      <c r="D78" s="1468"/>
      <c r="E78" s="1467"/>
      <c r="F78" s="1467"/>
      <c r="G78" s="1467"/>
      <c r="H78" s="1467"/>
      <c r="I78" s="1467"/>
      <c r="J78" s="1467"/>
      <c r="K78" s="1467"/>
      <c r="L78" s="1467"/>
      <c r="M78" s="1467"/>
      <c r="N78" s="1467"/>
      <c r="O78" s="1468"/>
      <c r="P78" s="1466"/>
      <c r="Q78" s="1467"/>
    </row>
    <row r="79" spans="1:17">
      <c r="A79" s="1716" t="s">
        <v>92</v>
      </c>
      <c r="B79" s="1468"/>
      <c r="C79" s="1468"/>
      <c r="D79" s="1468"/>
      <c r="E79" s="1467"/>
      <c r="F79" s="1467"/>
      <c r="G79" s="1467"/>
      <c r="H79" s="1467"/>
      <c r="J79" s="1467"/>
      <c r="K79" s="1467"/>
      <c r="L79" s="1467"/>
      <c r="M79" s="1467"/>
      <c r="N79" s="1467"/>
      <c r="O79" s="1468"/>
      <c r="P79" s="1466"/>
      <c r="Q79" s="1717"/>
    </row>
    <row r="80" spans="1:17">
      <c r="A80" s="1466" t="s">
        <v>93</v>
      </c>
      <c r="B80" s="1466"/>
      <c r="C80" s="1466"/>
      <c r="D80" s="1466"/>
      <c r="E80" s="1467"/>
      <c r="F80" s="1467"/>
      <c r="G80" s="1467"/>
      <c r="H80" s="1467"/>
      <c r="K80" s="1467"/>
      <c r="M80" s="1467"/>
      <c r="N80" s="1467"/>
      <c r="O80" s="1468"/>
      <c r="P80" s="1466"/>
    </row>
    <row r="81" spans="1:17">
      <c r="A81" s="1466" t="s">
        <v>94</v>
      </c>
      <c r="B81" s="1466"/>
      <c r="C81" s="1466"/>
      <c r="D81" s="1466"/>
      <c r="E81" s="1467"/>
      <c r="F81" s="1467"/>
      <c r="G81" s="1467"/>
      <c r="H81" s="1467"/>
      <c r="K81" s="1467"/>
      <c r="M81" s="1467"/>
      <c r="N81" s="1467"/>
      <c r="O81" s="1718"/>
      <c r="P81" s="1466"/>
    </row>
    <row r="82" spans="1:17">
      <c r="A82" s="1466" t="s">
        <v>95</v>
      </c>
      <c r="B82" s="1466"/>
      <c r="C82" s="1466"/>
      <c r="D82" s="1466"/>
      <c r="E82" s="1467"/>
      <c r="F82" s="1467"/>
      <c r="G82" s="1467"/>
      <c r="H82" s="1467"/>
      <c r="K82" s="1467"/>
      <c r="L82" s="1467"/>
      <c r="M82" s="1467"/>
      <c r="N82" s="1467"/>
      <c r="O82" s="1468"/>
      <c r="P82" s="1466"/>
    </row>
    <row r="85" spans="1:17">
      <c r="K85" s="1719"/>
    </row>
    <row r="86" spans="1:17">
      <c r="A86" s="1720"/>
      <c r="B86" s="1720"/>
      <c r="C86" s="1720"/>
      <c r="D86" s="1721"/>
      <c r="E86" s="1721"/>
      <c r="F86" s="1721"/>
      <c r="G86" s="1721"/>
      <c r="O86" s="1722"/>
      <c r="P86" s="1722"/>
    </row>
    <row r="87" spans="1:17">
      <c r="D87" s="1722"/>
      <c r="L87" s="1467"/>
      <c r="O87" s="1722"/>
      <c r="P87" s="1722"/>
      <c r="Q87" s="1722"/>
    </row>
    <row r="88" spans="1:17">
      <c r="D88" s="1722"/>
      <c r="L88" s="1467"/>
      <c r="O88" s="1722"/>
      <c r="P88" s="1722"/>
      <c r="Q88" s="1722"/>
    </row>
    <row r="89" spans="1:17">
      <c r="D89" s="1722"/>
      <c r="L89" s="1467"/>
      <c r="O89" s="1722"/>
      <c r="P89" s="1722"/>
      <c r="Q89" s="1722"/>
    </row>
    <row r="90" spans="1:17">
      <c r="D90" s="1722"/>
      <c r="L90" s="1467"/>
      <c r="O90" s="1722"/>
      <c r="P90" s="1722"/>
      <c r="Q90" s="1722"/>
    </row>
    <row r="91" spans="1:17">
      <c r="D91" s="1722"/>
      <c r="O91" s="1722"/>
      <c r="P91" s="1722"/>
      <c r="Q91" s="1722"/>
    </row>
    <row r="92" spans="1:17">
      <c r="D92" s="1722"/>
      <c r="O92" s="1722"/>
      <c r="P92" s="1722"/>
      <c r="Q92" s="1722"/>
    </row>
    <row r="93" spans="1:17">
      <c r="D93" s="1722"/>
      <c r="O93" s="1722"/>
      <c r="P93" s="1722"/>
      <c r="Q93" s="1722"/>
    </row>
    <row r="94" spans="1:17">
      <c r="A94" s="1720"/>
      <c r="B94" s="1720"/>
      <c r="C94" s="1720"/>
      <c r="D94" s="1721"/>
      <c r="E94" s="1721"/>
      <c r="F94" s="1721"/>
      <c r="G94" s="1721"/>
      <c r="O94" s="1722"/>
      <c r="P94" s="1722"/>
      <c r="Q94" s="1722"/>
    </row>
    <row r="95" spans="1:17">
      <c r="D95" s="1722"/>
      <c r="O95" s="1722"/>
      <c r="P95" s="1722"/>
      <c r="Q95" s="1722"/>
    </row>
    <row r="96" spans="1:17">
      <c r="D96" s="1722"/>
      <c r="O96" s="1722"/>
      <c r="P96" s="1722"/>
      <c r="Q96" s="1722"/>
    </row>
    <row r="97" spans="4:17">
      <c r="D97" s="1722"/>
      <c r="O97" s="1722"/>
      <c r="P97" s="1722"/>
      <c r="Q97" s="1722"/>
    </row>
    <row r="98" spans="4:17">
      <c r="D98" s="1722"/>
      <c r="O98" s="1722"/>
      <c r="P98" s="1722"/>
      <c r="Q98" s="1722"/>
    </row>
    <row r="99" spans="4:17">
      <c r="D99" s="1722"/>
      <c r="O99" s="1722"/>
      <c r="P99" s="1722"/>
      <c r="Q99" s="1722"/>
    </row>
    <row r="100" spans="4:17">
      <c r="D100" s="1722"/>
      <c r="O100" s="1722"/>
      <c r="P100" s="1722"/>
      <c r="Q100" s="1722"/>
    </row>
    <row r="101" spans="4:17">
      <c r="D101" s="1722"/>
      <c r="O101" s="1722"/>
      <c r="P101" s="1722"/>
      <c r="Q101" s="1722"/>
    </row>
    <row r="102" spans="4:17">
      <c r="E102" s="1721"/>
      <c r="O102" s="1722"/>
      <c r="P102" s="1722"/>
      <c r="Q102" s="1722"/>
    </row>
  </sheetData>
  <mergeCells count="7">
    <mergeCell ref="A1:O1"/>
    <mergeCell ref="A3:A4"/>
    <mergeCell ref="B3:B4"/>
    <mergeCell ref="C3:C4"/>
    <mergeCell ref="D3:D4"/>
    <mergeCell ref="E3:N3"/>
    <mergeCell ref="O3:O4"/>
  </mergeCells>
  <conditionalFormatting sqref="O6:O69">
    <cfRule type="cellIs" dxfId="7" priority="1" operator="between">
      <formula>0.01</formula>
      <formula>0.99</formula>
    </cfRule>
    <cfRule type="expression" dxfId="6" priority="2">
      <formula>AND($O6&gt;100%,$O6&lt;100%)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DD6B8-0286-487E-B085-2773C994A3AD}">
  <dimension ref="A1:Q103"/>
  <sheetViews>
    <sheetView topLeftCell="A31" workbookViewId="0">
      <selection activeCell="I10" sqref="I10"/>
    </sheetView>
  </sheetViews>
  <sheetFormatPr defaultColWidth="9" defaultRowHeight="14.4"/>
  <cols>
    <col min="1" max="1" width="33.88671875" customWidth="1"/>
    <col min="2" max="3" width="12.6640625" customWidth="1"/>
    <col min="4" max="4" width="11.44140625" customWidth="1"/>
    <col min="5" max="14" width="12.109375" customWidth="1"/>
    <col min="15" max="15" width="9.77734375" customWidth="1"/>
  </cols>
  <sheetData>
    <row r="1" spans="1:17" ht="15.6">
      <c r="A1" s="1767" t="s">
        <v>239</v>
      </c>
      <c r="B1" s="1767"/>
      <c r="C1" s="1767"/>
      <c r="D1" s="1767"/>
      <c r="E1" s="1767"/>
      <c r="F1" s="1767"/>
      <c r="G1" s="1767"/>
      <c r="H1" s="1767"/>
      <c r="I1" s="1767"/>
      <c r="J1" s="1767"/>
      <c r="K1" s="1767"/>
      <c r="L1" s="1767"/>
      <c r="M1" s="1767"/>
      <c r="N1" s="1767"/>
      <c r="O1" s="1767"/>
      <c r="P1" s="1464"/>
      <c r="Q1" s="1465"/>
    </row>
    <row r="2" spans="1:17" ht="15" thickBot="1">
      <c r="A2" s="1466"/>
      <c r="B2" s="1466"/>
      <c r="C2" s="1466"/>
      <c r="D2" s="1466"/>
      <c r="E2" s="1467"/>
      <c r="F2" s="1467"/>
      <c r="G2" s="1467"/>
      <c r="H2" s="1467"/>
      <c r="I2" s="1467"/>
      <c r="J2" s="1467"/>
      <c r="K2" s="1467"/>
      <c r="L2" s="1467"/>
      <c r="M2" s="1467"/>
      <c r="N2" s="1467"/>
      <c r="O2" s="1468"/>
      <c r="P2" s="1466"/>
    </row>
    <row r="3" spans="1:17" ht="27" customHeight="1">
      <c r="A3" s="1768" t="s">
        <v>1</v>
      </c>
      <c r="B3" s="1770" t="s">
        <v>217</v>
      </c>
      <c r="C3" s="1770" t="s">
        <v>240</v>
      </c>
      <c r="D3" s="1772" t="s">
        <v>241</v>
      </c>
      <c r="E3" s="1774" t="s">
        <v>242</v>
      </c>
      <c r="F3" s="1775"/>
      <c r="G3" s="1775"/>
      <c r="H3" s="1775"/>
      <c r="I3" s="1775"/>
      <c r="J3" s="1775"/>
      <c r="K3" s="1775"/>
      <c r="L3" s="1775"/>
      <c r="M3" s="1775"/>
      <c r="N3" s="1776"/>
      <c r="O3" s="1777" t="s">
        <v>243</v>
      </c>
      <c r="P3" s="1469"/>
    </row>
    <row r="4" spans="1:17" ht="28.2" thickBot="1">
      <c r="A4" s="1769"/>
      <c r="B4" s="1771"/>
      <c r="C4" s="1771"/>
      <c r="D4" s="1773"/>
      <c r="E4" s="1470" t="s">
        <v>7</v>
      </c>
      <c r="F4" s="1471" t="s">
        <v>8</v>
      </c>
      <c r="G4" s="1471" t="s">
        <v>9</v>
      </c>
      <c r="H4" s="1471" t="s">
        <v>10</v>
      </c>
      <c r="I4" s="1471" t="s">
        <v>11</v>
      </c>
      <c r="J4" s="1472" t="s">
        <v>12</v>
      </c>
      <c r="K4" s="1473" t="s">
        <v>13</v>
      </c>
      <c r="L4" s="1473" t="s">
        <v>14</v>
      </c>
      <c r="M4" s="1474" t="s">
        <v>15</v>
      </c>
      <c r="N4" s="1475" t="s">
        <v>16</v>
      </c>
      <c r="O4" s="1778"/>
      <c r="P4" s="1469"/>
    </row>
    <row r="5" spans="1:17" ht="15.6">
      <c r="A5" s="1476"/>
      <c r="B5" s="1477"/>
      <c r="C5" s="1477"/>
      <c r="D5" s="1478"/>
      <c r="E5" s="1479"/>
      <c r="F5" s="1480"/>
      <c r="G5" s="1480"/>
      <c r="H5" s="1480"/>
      <c r="I5" s="1480"/>
      <c r="J5" s="1481"/>
      <c r="K5" s="1480"/>
      <c r="L5" s="1480"/>
      <c r="M5" s="1481"/>
      <c r="N5" s="1482"/>
      <c r="O5" s="1483"/>
      <c r="P5" s="1469"/>
    </row>
    <row r="6" spans="1:17">
      <c r="A6" s="1484" t="s">
        <v>222</v>
      </c>
      <c r="B6" s="1485">
        <f t="shared" ref="B6:N6" si="0">SUM(B7:B26)</f>
        <v>8323043</v>
      </c>
      <c r="C6" s="1485">
        <f t="shared" si="0"/>
        <v>2477656</v>
      </c>
      <c r="D6" s="1485">
        <f t="shared" si="0"/>
        <v>2793544</v>
      </c>
      <c r="E6" s="1723">
        <f t="shared" si="0"/>
        <v>754757</v>
      </c>
      <c r="F6" s="1485">
        <f t="shared" si="0"/>
        <v>206607</v>
      </c>
      <c r="G6" s="1485">
        <f t="shared" si="0"/>
        <v>192495</v>
      </c>
      <c r="H6" s="1485">
        <f t="shared" si="0"/>
        <v>36918</v>
      </c>
      <c r="I6" s="1485">
        <f t="shared" si="0"/>
        <v>38865</v>
      </c>
      <c r="J6" s="1485">
        <f t="shared" si="0"/>
        <v>1146</v>
      </c>
      <c r="K6" s="1485">
        <f t="shared" si="0"/>
        <v>75448</v>
      </c>
      <c r="L6" s="1485">
        <f t="shared" si="0"/>
        <v>59761</v>
      </c>
      <c r="M6" s="1485">
        <f t="shared" si="0"/>
        <v>2898</v>
      </c>
      <c r="N6" s="1724">
        <f t="shared" si="0"/>
        <v>23305</v>
      </c>
      <c r="O6" s="1486">
        <f t="shared" ref="O6:O11" si="1">+D6/C6</f>
        <v>1.1274946966003352</v>
      </c>
      <c r="P6" s="1487"/>
      <c r="Q6" s="1488"/>
    </row>
    <row r="7" spans="1:17">
      <c r="A7" s="1489" t="s">
        <v>178</v>
      </c>
      <c r="B7" s="1490">
        <v>0</v>
      </c>
      <c r="C7" s="1491"/>
      <c r="D7" s="1492">
        <v>0</v>
      </c>
      <c r="E7" s="1493">
        <v>0</v>
      </c>
      <c r="F7" s="1587">
        <v>0</v>
      </c>
      <c r="G7" s="1587">
        <v>0</v>
      </c>
      <c r="H7" s="1587">
        <v>0</v>
      </c>
      <c r="I7" s="1587">
        <v>0</v>
      </c>
      <c r="J7" s="1587">
        <v>0</v>
      </c>
      <c r="K7" s="1494"/>
      <c r="L7" s="1494"/>
      <c r="M7" s="1494"/>
      <c r="N7" s="1495"/>
      <c r="O7" s="1486"/>
      <c r="P7" s="1487"/>
      <c r="Q7" s="1466"/>
    </row>
    <row r="8" spans="1:17">
      <c r="A8" s="1496" t="s">
        <v>179</v>
      </c>
      <c r="B8" s="1497"/>
      <c r="C8" s="1498"/>
      <c r="D8" s="1499"/>
      <c r="E8" s="1500">
        <f t="shared" ref="E8:E14" si="2">SUM(F8:J8)</f>
        <v>0</v>
      </c>
      <c r="F8" s="1501"/>
      <c r="G8" s="1501"/>
      <c r="H8" s="1501"/>
      <c r="I8" s="1501"/>
      <c r="J8" s="1502"/>
      <c r="K8" s="1503"/>
      <c r="L8" s="1503"/>
      <c r="M8" s="1503"/>
      <c r="N8" s="1504"/>
      <c r="O8" s="1486"/>
      <c r="P8" s="1505"/>
      <c r="Q8" s="1466"/>
    </row>
    <row r="9" spans="1:17">
      <c r="A9" s="1489" t="s">
        <v>180</v>
      </c>
      <c r="B9" s="1497">
        <f>195272+119565+111251+124577+111240+113765+121727+107555+127919+124121+129654</f>
        <v>1386646</v>
      </c>
      <c r="C9" s="1518">
        <v>426088</v>
      </c>
      <c r="D9" s="1499">
        <f>129474+89046+106923+132055</f>
        <v>457498</v>
      </c>
      <c r="E9" s="1500">
        <f t="shared" si="2"/>
        <v>132055</v>
      </c>
      <c r="F9" s="1501">
        <v>47289</v>
      </c>
      <c r="G9" s="1501">
        <v>47251</v>
      </c>
      <c r="H9" s="1501">
        <v>19670</v>
      </c>
      <c r="I9" s="1501">
        <v>17845</v>
      </c>
      <c r="J9" s="1506"/>
      <c r="K9" s="1494"/>
      <c r="L9" s="1494"/>
      <c r="M9" s="1494"/>
      <c r="N9" s="1495"/>
      <c r="O9" s="1486">
        <f t="shared" si="1"/>
        <v>1.0737171664069394</v>
      </c>
      <c r="P9" s="1507"/>
      <c r="Q9" s="1508"/>
    </row>
    <row r="10" spans="1:17">
      <c r="A10" s="1509" t="s">
        <v>181</v>
      </c>
      <c r="B10" s="1510">
        <f>194433+49476</f>
        <v>243909</v>
      </c>
      <c r="C10" s="1511">
        <v>0</v>
      </c>
      <c r="D10" s="1512">
        <f>55403+31061+41447+43040</f>
        <v>170951</v>
      </c>
      <c r="E10" s="1513">
        <f t="shared" si="2"/>
        <v>43040</v>
      </c>
      <c r="F10" s="1514">
        <v>23655</v>
      </c>
      <c r="G10" s="1514">
        <v>19379</v>
      </c>
      <c r="H10" s="1515">
        <v>0</v>
      </c>
      <c r="I10" s="1515">
        <v>0</v>
      </c>
      <c r="J10" s="1514">
        <v>6</v>
      </c>
      <c r="K10" s="1516">
        <v>10944</v>
      </c>
      <c r="L10" s="1516">
        <f>6066</f>
        <v>6066</v>
      </c>
      <c r="M10" s="1516">
        <v>231</v>
      </c>
      <c r="N10" s="1725">
        <v>526</v>
      </c>
      <c r="O10" s="1486"/>
      <c r="P10" s="1507"/>
      <c r="Q10" s="1508"/>
    </row>
    <row r="11" spans="1:17">
      <c r="A11" s="1489" t="s">
        <v>21</v>
      </c>
      <c r="B11" s="1498">
        <f>131015+78250+105874+111968+99207+123596+111773+110146+91651+118422+115294+111602</f>
        <v>1308798</v>
      </c>
      <c r="C11" s="1518">
        <v>427107</v>
      </c>
      <c r="D11" s="1519">
        <f>123477+92455+106019+117303</f>
        <v>439254</v>
      </c>
      <c r="E11" s="1513">
        <f t="shared" si="2"/>
        <v>117303</v>
      </c>
      <c r="F11" s="1520">
        <v>61127</v>
      </c>
      <c r="G11" s="1520">
        <v>56132</v>
      </c>
      <c r="H11" s="1515">
        <v>0</v>
      </c>
      <c r="I11" s="1515">
        <v>0</v>
      </c>
      <c r="J11" s="1515">
        <v>44</v>
      </c>
      <c r="K11" s="1503">
        <v>15053</v>
      </c>
      <c r="L11" s="1503">
        <f>24704+2629</f>
        <v>27333</v>
      </c>
      <c r="M11" s="1517"/>
      <c r="N11" s="1495"/>
      <c r="O11" s="1486">
        <f t="shared" si="1"/>
        <v>1.028440180095386</v>
      </c>
      <c r="P11" s="1505"/>
      <c r="Q11" s="1508"/>
    </row>
    <row r="12" spans="1:17">
      <c r="A12" s="1489" t="s">
        <v>22</v>
      </c>
      <c r="B12" s="1497"/>
      <c r="C12" s="1518"/>
      <c r="D12" s="1521"/>
      <c r="E12" s="1500">
        <f t="shared" si="2"/>
        <v>0</v>
      </c>
      <c r="F12" s="1501"/>
      <c r="G12" s="1501"/>
      <c r="H12" s="1501"/>
      <c r="I12" s="1501"/>
      <c r="J12" s="1502"/>
      <c r="K12" s="1503"/>
      <c r="L12" s="1503"/>
      <c r="M12" s="1503"/>
      <c r="N12" s="1504"/>
      <c r="O12" s="1486"/>
      <c r="P12" s="1507"/>
      <c r="Q12" s="1508"/>
    </row>
    <row r="13" spans="1:17">
      <c r="A13" s="1489" t="s">
        <v>182</v>
      </c>
      <c r="B13" s="1497">
        <f>74332+41587+36538+49878+32546+31277+34151+28168+37725+30539+35982</f>
        <v>432723</v>
      </c>
      <c r="C13" s="1518">
        <v>152457</v>
      </c>
      <c r="D13" s="1521">
        <f>36880+26026+37227+40163</f>
        <v>140296</v>
      </c>
      <c r="E13" s="1500">
        <f t="shared" si="2"/>
        <v>40163</v>
      </c>
      <c r="F13" s="1726">
        <v>20175</v>
      </c>
      <c r="G13" s="1726">
        <v>18316</v>
      </c>
      <c r="H13" s="1726">
        <v>428</v>
      </c>
      <c r="I13" s="1726">
        <v>1244</v>
      </c>
      <c r="J13" s="1726">
        <v>0</v>
      </c>
      <c r="K13" s="1727">
        <v>11741</v>
      </c>
      <c r="L13" s="1727">
        <f>52+8570+306+44</f>
        <v>8972</v>
      </c>
      <c r="M13" s="1517">
        <v>0</v>
      </c>
      <c r="N13" s="1517">
        <v>0</v>
      </c>
      <c r="O13" s="1486">
        <f t="shared" ref="O13:O24" si="3">+D13/C13</f>
        <v>0.92023324609562041</v>
      </c>
      <c r="P13" s="1505"/>
      <c r="Q13" s="1508"/>
    </row>
    <row r="14" spans="1:17">
      <c r="A14" s="1522" t="s">
        <v>25</v>
      </c>
      <c r="B14" s="1497">
        <f>1255391+108887+133144</f>
        <v>1497422</v>
      </c>
      <c r="C14" s="1518">
        <v>491601</v>
      </c>
      <c r="D14" s="1499">
        <f>121167+93579+112818+116687</f>
        <v>444251</v>
      </c>
      <c r="E14" s="1500">
        <f t="shared" si="2"/>
        <v>116687</v>
      </c>
      <c r="F14" s="1523">
        <v>54361</v>
      </c>
      <c r="G14" s="1523">
        <v>51417</v>
      </c>
      <c r="H14" s="1523">
        <v>3976</v>
      </c>
      <c r="I14" s="1523">
        <v>5837</v>
      </c>
      <c r="J14" s="1514">
        <v>1096</v>
      </c>
      <c r="K14" s="1524">
        <v>30693</v>
      </c>
      <c r="L14" s="1524">
        <f>2337+11772+280+1046</f>
        <v>15435</v>
      </c>
      <c r="M14" s="1524">
        <v>2667</v>
      </c>
      <c r="N14" s="1525">
        <v>22779</v>
      </c>
      <c r="O14" s="1486">
        <f t="shared" si="3"/>
        <v>0.90368205109428179</v>
      </c>
      <c r="P14" s="1505"/>
      <c r="Q14" s="1508"/>
    </row>
    <row r="15" spans="1:17">
      <c r="A15" s="1489" t="s">
        <v>26</v>
      </c>
      <c r="B15" s="1497"/>
      <c r="C15" s="1518">
        <v>16588</v>
      </c>
      <c r="D15" s="1499"/>
      <c r="E15" s="1500"/>
      <c r="F15" s="1501"/>
      <c r="G15" s="1501"/>
      <c r="H15" s="1501"/>
      <c r="I15" s="1501"/>
      <c r="J15" s="1502"/>
      <c r="K15" s="1494"/>
      <c r="L15" s="1503"/>
      <c r="M15" s="1503"/>
      <c r="N15" s="1504"/>
      <c r="O15" s="1486"/>
      <c r="P15" s="1526"/>
      <c r="Q15" s="1508"/>
    </row>
    <row r="16" spans="1:17">
      <c r="A16" s="1489" t="s">
        <v>27</v>
      </c>
      <c r="B16" s="1497">
        <v>0</v>
      </c>
      <c r="C16" s="1518"/>
      <c r="D16" s="1499"/>
      <c r="E16" s="1500"/>
      <c r="F16" s="1501"/>
      <c r="G16" s="1501"/>
      <c r="H16" s="1501"/>
      <c r="I16" s="1501"/>
      <c r="J16" s="1502"/>
      <c r="K16" s="1494"/>
      <c r="L16" s="1494"/>
      <c r="M16" s="1503"/>
      <c r="N16" s="1504"/>
      <c r="O16" s="1486"/>
      <c r="P16" s="1526"/>
      <c r="Q16" s="1508"/>
    </row>
    <row r="17" spans="1:17" ht="15" thickBot="1">
      <c r="A17" s="1527" t="s">
        <v>28</v>
      </c>
      <c r="B17" s="1528">
        <f>19907+16036+17100+18000+13965+16816+21546+15500+19650+16189+17500</f>
        <v>192209</v>
      </c>
      <c r="C17" s="1729">
        <v>53043</v>
      </c>
      <c r="D17" s="1730">
        <f>23800+13403+20181+20068</f>
        <v>77452</v>
      </c>
      <c r="E17" s="1531">
        <v>20068</v>
      </c>
      <c r="F17" s="1532"/>
      <c r="G17" s="1532"/>
      <c r="H17" s="1532"/>
      <c r="I17" s="1532"/>
      <c r="J17" s="1532"/>
      <c r="K17" s="1533"/>
      <c r="L17" s="1533"/>
      <c r="M17" s="1533"/>
      <c r="N17" s="1534"/>
      <c r="O17" s="1535">
        <f t="shared" si="3"/>
        <v>1.4601738212393718</v>
      </c>
      <c r="P17" s="1536"/>
      <c r="Q17" s="1537"/>
    </row>
    <row r="18" spans="1:17">
      <c r="A18" s="1538" t="s">
        <v>29</v>
      </c>
      <c r="B18" s="1731">
        <v>685261</v>
      </c>
      <c r="C18" s="1732">
        <v>196486</v>
      </c>
      <c r="D18" s="1733">
        <f>33488+56615+52928+57205</f>
        <v>200236</v>
      </c>
      <c r="E18" s="1734">
        <v>57205</v>
      </c>
      <c r="F18" s="1543"/>
      <c r="G18" s="1543"/>
      <c r="H18" s="1543"/>
      <c r="I18" s="1543"/>
      <c r="J18" s="1543"/>
      <c r="K18" s="1543"/>
      <c r="L18" s="1543"/>
      <c r="M18" s="1543"/>
      <c r="N18" s="1544"/>
      <c r="O18" s="1545">
        <f t="shared" si="3"/>
        <v>1.0190853292346529</v>
      </c>
      <c r="P18" s="1546"/>
      <c r="Q18" s="1546"/>
    </row>
    <row r="19" spans="1:17">
      <c r="A19" s="1456" t="s">
        <v>30</v>
      </c>
      <c r="B19" s="1552">
        <v>250606</v>
      </c>
      <c r="C19" s="1735">
        <v>87751</v>
      </c>
      <c r="D19" s="1736">
        <f>18293+22696+22549+22603</f>
        <v>86141</v>
      </c>
      <c r="E19" s="1737">
        <v>22603</v>
      </c>
      <c r="F19" s="1494"/>
      <c r="G19" s="1494"/>
      <c r="H19" s="1494"/>
      <c r="I19" s="1494"/>
      <c r="J19" s="1494"/>
      <c r="K19" s="1494"/>
      <c r="L19" s="1494"/>
      <c r="M19" s="1494"/>
      <c r="N19" s="1495"/>
      <c r="O19" s="1486">
        <f t="shared" si="3"/>
        <v>0.9816526307392508</v>
      </c>
      <c r="P19" s="1550"/>
      <c r="Q19" s="1468"/>
    </row>
    <row r="20" spans="1:17">
      <c r="A20" s="1456" t="s">
        <v>31</v>
      </c>
      <c r="B20" s="1552">
        <v>66447</v>
      </c>
      <c r="C20" s="1735">
        <v>22553</v>
      </c>
      <c r="D20" s="1736">
        <f>4583+5222+5122+4437</f>
        <v>19364</v>
      </c>
      <c r="E20" s="1737">
        <v>4437</v>
      </c>
      <c r="F20" s="1494"/>
      <c r="G20" s="1494"/>
      <c r="H20" s="1494"/>
      <c r="I20" s="1494"/>
      <c r="J20" s="1494"/>
      <c r="K20" s="1494"/>
      <c r="L20" s="1494"/>
      <c r="M20" s="1494"/>
      <c r="N20" s="1495"/>
      <c r="O20" s="1486">
        <f t="shared" si="3"/>
        <v>0.85859974282800511</v>
      </c>
      <c r="P20" s="1551"/>
      <c r="Q20" s="1466"/>
    </row>
    <row r="21" spans="1:17">
      <c r="A21" s="1456" t="s">
        <v>32</v>
      </c>
      <c r="B21" s="1552">
        <v>450014</v>
      </c>
      <c r="C21" s="1735">
        <v>159828</v>
      </c>
      <c r="D21" s="1736">
        <f>22615+31008+29908+32514</f>
        <v>116045</v>
      </c>
      <c r="E21" s="1737">
        <v>32514</v>
      </c>
      <c r="F21" s="1494"/>
      <c r="G21" s="1494"/>
      <c r="H21" s="1494"/>
      <c r="I21" s="1494"/>
      <c r="J21" s="1494"/>
      <c r="K21" s="1494"/>
      <c r="L21" s="1494"/>
      <c r="M21" s="1494"/>
      <c r="N21" s="1495"/>
      <c r="O21" s="1486">
        <f t="shared" si="3"/>
        <v>0.72606176639887876</v>
      </c>
      <c r="P21" s="1551"/>
      <c r="Q21" s="1466"/>
    </row>
    <row r="22" spans="1:17">
      <c r="A22" s="1456" t="s">
        <v>33</v>
      </c>
      <c r="B22" s="1552">
        <v>144643</v>
      </c>
      <c r="C22" s="1735">
        <v>49042</v>
      </c>
      <c r="D22" s="1736">
        <f>9227+13630+12419+10791</f>
        <v>46067</v>
      </c>
      <c r="E22" s="1737">
        <v>10791</v>
      </c>
      <c r="F22" s="1494"/>
      <c r="G22" s="1494"/>
      <c r="H22" s="1494"/>
      <c r="I22" s="1494"/>
      <c r="J22" s="1494"/>
      <c r="K22" s="1494"/>
      <c r="L22" s="1494"/>
      <c r="M22" s="1494"/>
      <c r="N22" s="1495"/>
      <c r="O22" s="1486">
        <f t="shared" si="3"/>
        <v>0.9393377105338282</v>
      </c>
      <c r="P22" s="1551"/>
      <c r="Q22" s="1466"/>
    </row>
    <row r="23" spans="1:17">
      <c r="A23" s="1456" t="s">
        <v>34</v>
      </c>
      <c r="B23" s="1552">
        <v>418181</v>
      </c>
      <c r="C23" s="1735">
        <v>98109</v>
      </c>
      <c r="D23" s="1736">
        <f>28224+52313+51566+43573</f>
        <v>175676</v>
      </c>
      <c r="E23" s="1737">
        <v>43573</v>
      </c>
      <c r="F23" s="1494"/>
      <c r="G23" s="1494"/>
      <c r="H23" s="1494"/>
      <c r="I23" s="1494"/>
      <c r="J23" s="1494"/>
      <c r="K23" s="1494"/>
      <c r="L23" s="1494"/>
      <c r="M23" s="1494"/>
      <c r="N23" s="1495"/>
      <c r="O23" s="1486">
        <f t="shared" si="3"/>
        <v>1.7906206362311308</v>
      </c>
      <c r="P23" s="1551"/>
      <c r="Q23" s="1466"/>
    </row>
    <row r="24" spans="1:17">
      <c r="A24" s="1458" t="s">
        <v>35</v>
      </c>
      <c r="B24" s="1552">
        <v>154824</v>
      </c>
      <c r="C24" s="1735">
        <v>66692</v>
      </c>
      <c r="D24" s="1736">
        <f>7472+11209+10455+11084</f>
        <v>40220</v>
      </c>
      <c r="E24" s="1737">
        <v>11084</v>
      </c>
      <c r="F24" s="1494"/>
      <c r="G24" s="1494"/>
      <c r="H24" s="1494"/>
      <c r="I24" s="1494"/>
      <c r="J24" s="1494"/>
      <c r="K24" s="1494"/>
      <c r="L24" s="1494"/>
      <c r="M24" s="1494"/>
      <c r="N24" s="1495"/>
      <c r="O24" s="1486">
        <f t="shared" si="3"/>
        <v>0.60307083308342835</v>
      </c>
      <c r="P24" s="1551"/>
      <c r="Q24" s="1466"/>
    </row>
    <row r="25" spans="1:17">
      <c r="A25" s="1458" t="s">
        <v>184</v>
      </c>
      <c r="B25" s="1552">
        <v>820504</v>
      </c>
      <c r="C25" s="1735">
        <v>144000</v>
      </c>
      <c r="D25" s="1739">
        <f>64416+76783+76675+76451</f>
        <v>294325</v>
      </c>
      <c r="E25" s="1740">
        <v>76451</v>
      </c>
      <c r="F25" s="1494"/>
      <c r="G25" s="1494"/>
      <c r="H25" s="1494"/>
      <c r="I25" s="1494"/>
      <c r="J25" s="1494"/>
      <c r="K25" s="1494"/>
      <c r="L25" s="1494"/>
      <c r="M25" s="1494"/>
      <c r="N25" s="1495"/>
      <c r="O25" s="1486"/>
      <c r="P25" s="1551"/>
      <c r="Q25" s="1466"/>
    </row>
    <row r="26" spans="1:17">
      <c r="A26" s="1556" t="s">
        <v>142</v>
      </c>
      <c r="B26" s="1557">
        <f>225080+20763+25013</f>
        <v>270856</v>
      </c>
      <c r="C26" s="1741">
        <v>86311</v>
      </c>
      <c r="D26" s="1742">
        <f>21847+15575+21563+26783</f>
        <v>85768</v>
      </c>
      <c r="E26" s="1743">
        <f t="shared" ref="E26:E30" si="4">SUM(F26:J26)</f>
        <v>26783</v>
      </c>
      <c r="F26" s="1759">
        <v>0</v>
      </c>
      <c r="G26" s="1759">
        <v>0</v>
      </c>
      <c r="H26" s="1760">
        <v>12844</v>
      </c>
      <c r="I26" s="1760">
        <v>13939</v>
      </c>
      <c r="J26" s="1761">
        <v>0</v>
      </c>
      <c r="K26" s="1762">
        <v>7017</v>
      </c>
      <c r="L26" s="1762">
        <f>256+1699</f>
        <v>1955</v>
      </c>
      <c r="M26" s="1763"/>
      <c r="N26" s="1764"/>
      <c r="O26" s="1486" t="e">
        <f>+D26/C27</f>
        <v>#DIV/0!</v>
      </c>
      <c r="P26" s="1551"/>
      <c r="Q26" s="1466"/>
    </row>
    <row r="27" spans="1:17">
      <c r="A27" s="1566"/>
      <c r="B27" s="1567"/>
      <c r="C27" s="1744"/>
      <c r="D27" s="1568"/>
      <c r="E27" s="1569"/>
      <c r="F27" s="1494"/>
      <c r="G27" s="1494"/>
      <c r="H27" s="1494"/>
      <c r="I27" s="1494"/>
      <c r="J27" s="1494"/>
      <c r="K27" s="1494"/>
      <c r="L27" s="1494"/>
      <c r="M27" s="1494"/>
      <c r="N27" s="1495"/>
      <c r="O27" s="1486"/>
      <c r="P27" s="1551"/>
      <c r="Q27" s="1466"/>
    </row>
    <row r="28" spans="1:17">
      <c r="A28" s="1447" t="s">
        <v>223</v>
      </c>
      <c r="B28" s="1570">
        <f t="shared" ref="B28:N28" si="5">SUM(B29:B31)</f>
        <v>115478</v>
      </c>
      <c r="C28" s="1570">
        <f t="shared" si="5"/>
        <v>17905</v>
      </c>
      <c r="D28" s="1570">
        <f t="shared" si="5"/>
        <v>50952</v>
      </c>
      <c r="E28" s="1570">
        <f t="shared" si="5"/>
        <v>14729</v>
      </c>
      <c r="F28" s="1570">
        <f t="shared" si="5"/>
        <v>0</v>
      </c>
      <c r="G28" s="1570">
        <f t="shared" si="5"/>
        <v>0</v>
      </c>
      <c r="H28" s="1570">
        <f t="shared" si="5"/>
        <v>7300</v>
      </c>
      <c r="I28" s="1570">
        <f t="shared" si="5"/>
        <v>7155</v>
      </c>
      <c r="J28" s="1570">
        <f t="shared" si="5"/>
        <v>0</v>
      </c>
      <c r="K28" s="1570">
        <f t="shared" si="5"/>
        <v>6731</v>
      </c>
      <c r="L28" s="1570">
        <f t="shared" si="5"/>
        <v>4700</v>
      </c>
      <c r="M28" s="1570">
        <f t="shared" si="5"/>
        <v>0</v>
      </c>
      <c r="N28" s="1570">
        <f t="shared" si="5"/>
        <v>8761</v>
      </c>
      <c r="O28" s="1486">
        <f t="shared" ref="O28:O31" si="6">+D28/C28</f>
        <v>2.8456855626919855</v>
      </c>
      <c r="P28" s="1571"/>
      <c r="Q28" s="1488"/>
    </row>
    <row r="29" spans="1:17">
      <c r="A29" s="1489" t="s">
        <v>186</v>
      </c>
      <c r="B29" s="1572">
        <f>51295+3304</f>
        <v>54599</v>
      </c>
      <c r="C29" s="1708">
        <v>17905</v>
      </c>
      <c r="D29" s="1574">
        <f>4330+4738+5566+5694</f>
        <v>20328</v>
      </c>
      <c r="E29" s="1500">
        <f t="shared" si="4"/>
        <v>5694</v>
      </c>
      <c r="F29" s="1575">
        <v>0</v>
      </c>
      <c r="G29" s="1575">
        <v>0</v>
      </c>
      <c r="H29" s="1576">
        <v>2319</v>
      </c>
      <c r="I29" s="1576">
        <v>3375</v>
      </c>
      <c r="J29" s="1575">
        <v>0</v>
      </c>
      <c r="K29" s="1503">
        <v>2608</v>
      </c>
      <c r="L29" s="1503">
        <f>1243+251</f>
        <v>1494</v>
      </c>
      <c r="M29" s="1517"/>
      <c r="N29" s="1725"/>
      <c r="O29" s="1486">
        <f t="shared" si="6"/>
        <v>1.1353253281206368</v>
      </c>
      <c r="P29" s="1577"/>
      <c r="Q29" s="1466"/>
    </row>
    <row r="30" spans="1:17">
      <c r="A30" s="1489" t="s">
        <v>149</v>
      </c>
      <c r="B30" s="1572">
        <f>47524+6447+6908</f>
        <v>60879</v>
      </c>
      <c r="C30" s="1578"/>
      <c r="D30" s="1574">
        <f>7369+6670+5687+8761</f>
        <v>28487</v>
      </c>
      <c r="E30" s="1513">
        <f t="shared" si="4"/>
        <v>8761</v>
      </c>
      <c r="F30" s="1575">
        <v>0</v>
      </c>
      <c r="G30" s="1575">
        <v>0</v>
      </c>
      <c r="H30" s="1576">
        <v>4981</v>
      </c>
      <c r="I30" s="1576">
        <v>3780</v>
      </c>
      <c r="J30" s="1575">
        <v>0</v>
      </c>
      <c r="K30" s="1503">
        <v>4123</v>
      </c>
      <c r="L30" s="1503">
        <f>3206</f>
        <v>3206</v>
      </c>
      <c r="M30" s="1517">
        <v>0</v>
      </c>
      <c r="N30" s="1504">
        <v>8761</v>
      </c>
      <c r="O30" s="1486" t="e">
        <f t="shared" si="6"/>
        <v>#DIV/0!</v>
      </c>
      <c r="P30" s="1577"/>
      <c r="Q30" s="1466"/>
    </row>
    <row r="31" spans="1:17">
      <c r="A31" s="1489" t="s">
        <v>244</v>
      </c>
      <c r="B31" s="1572"/>
      <c r="C31" s="1578"/>
      <c r="D31" s="1574">
        <v>2137</v>
      </c>
      <c r="E31" s="1513">
        <v>274</v>
      </c>
      <c r="F31" s="1575"/>
      <c r="G31" s="1575"/>
      <c r="H31" s="1576"/>
      <c r="I31" s="1576"/>
      <c r="J31" s="1575"/>
      <c r="K31" s="1503"/>
      <c r="L31" s="1503"/>
      <c r="M31" s="1517"/>
      <c r="N31" s="1504"/>
      <c r="O31" s="1486" t="e">
        <f t="shared" si="6"/>
        <v>#DIV/0!</v>
      </c>
      <c r="P31" s="1577"/>
      <c r="Q31" s="1466"/>
    </row>
    <row r="32" spans="1:17">
      <c r="A32" s="1489"/>
      <c r="B32" s="1572"/>
      <c r="C32" s="1578"/>
      <c r="D32" s="1574"/>
      <c r="E32" s="1513"/>
      <c r="F32" s="1575"/>
      <c r="G32" s="1575"/>
      <c r="H32" s="1576"/>
      <c r="I32" s="1576"/>
      <c r="J32" s="1575"/>
      <c r="K32" s="1503"/>
      <c r="L32" s="1503"/>
      <c r="M32" s="1494"/>
      <c r="N32" s="1504"/>
      <c r="O32" s="1486"/>
      <c r="P32" s="1577"/>
      <c r="Q32" s="1466"/>
    </row>
    <row r="33" spans="1:17">
      <c r="A33" s="1447" t="s">
        <v>224</v>
      </c>
      <c r="B33" s="1579">
        <f t="shared" ref="B33:N33" si="7">SUM(B34:B36)</f>
        <v>1031853</v>
      </c>
      <c r="C33" s="1579">
        <f t="shared" si="7"/>
        <v>324410</v>
      </c>
      <c r="D33" s="1579">
        <f t="shared" si="7"/>
        <v>389311</v>
      </c>
      <c r="E33" s="1579">
        <f t="shared" si="7"/>
        <v>99077</v>
      </c>
      <c r="F33" s="1579">
        <f t="shared" si="7"/>
        <v>37441</v>
      </c>
      <c r="G33" s="1579">
        <f t="shared" si="7"/>
        <v>45014</v>
      </c>
      <c r="H33" s="1579">
        <f t="shared" si="7"/>
        <v>9957</v>
      </c>
      <c r="I33" s="1579">
        <f t="shared" si="7"/>
        <v>6665</v>
      </c>
      <c r="J33" s="1579">
        <f t="shared" si="7"/>
        <v>0</v>
      </c>
      <c r="K33" s="1579">
        <f t="shared" si="7"/>
        <v>16031</v>
      </c>
      <c r="L33" s="1579">
        <f t="shared" si="7"/>
        <v>21946</v>
      </c>
      <c r="M33" s="1579">
        <f t="shared" si="7"/>
        <v>0</v>
      </c>
      <c r="N33" s="1579">
        <f t="shared" si="7"/>
        <v>0</v>
      </c>
      <c r="O33" s="1486">
        <f>+D33/C33</f>
        <v>1.2000585678616567</v>
      </c>
      <c r="P33" s="1577"/>
      <c r="Q33" s="1466"/>
    </row>
    <row r="34" spans="1:17">
      <c r="A34" s="1580" t="s">
        <v>188</v>
      </c>
      <c r="B34" s="1572">
        <f>122864+65834+68474+77377+68757+73572+78703+65592+72568+68867+84388</f>
        <v>846996</v>
      </c>
      <c r="C34" s="1573">
        <v>257172</v>
      </c>
      <c r="D34" s="1581">
        <f>85261+65541+78006+78867</f>
        <v>307675</v>
      </c>
      <c r="E34" s="1500">
        <f>SUM(F34:J34)</f>
        <v>78867</v>
      </c>
      <c r="F34" s="1582">
        <v>30605</v>
      </c>
      <c r="G34" s="1582">
        <v>34889</v>
      </c>
      <c r="H34" s="1582">
        <v>6899</v>
      </c>
      <c r="I34" s="1582">
        <v>6474</v>
      </c>
      <c r="J34" s="1575">
        <v>0</v>
      </c>
      <c r="K34" s="1494">
        <v>14443</v>
      </c>
      <c r="L34" s="1494">
        <f>1961+6962+1151+4709</f>
        <v>14783</v>
      </c>
      <c r="M34" s="1517">
        <v>0</v>
      </c>
      <c r="N34" s="1725">
        <v>0</v>
      </c>
      <c r="O34" s="1486">
        <f>+D34/C34</f>
        <v>1.1963782993482961</v>
      </c>
      <c r="P34" s="1466"/>
      <c r="Q34" s="1466"/>
    </row>
    <row r="35" spans="1:17">
      <c r="A35" s="1580" t="s">
        <v>189</v>
      </c>
      <c r="B35" s="1583">
        <f>35860+15843+15535+12262+10916+12135+12744+11821+20642+15465+21634</f>
        <v>184857</v>
      </c>
      <c r="C35" s="1584">
        <v>67238</v>
      </c>
      <c r="D35" s="1585">
        <f>23007+21398+17021+20210</f>
        <v>81636</v>
      </c>
      <c r="E35" s="1500">
        <f>SUM(F35:J35)</f>
        <v>20210</v>
      </c>
      <c r="F35" s="1586">
        <v>6836</v>
      </c>
      <c r="G35" s="1582">
        <v>10125</v>
      </c>
      <c r="H35" s="1582">
        <v>3058</v>
      </c>
      <c r="I35" s="1582">
        <v>191</v>
      </c>
      <c r="J35" s="1575">
        <v>0</v>
      </c>
      <c r="K35" s="1494">
        <v>1588</v>
      </c>
      <c r="L35" s="1494">
        <f>4105+64+2916+78</f>
        <v>7163</v>
      </c>
      <c r="M35" s="1517">
        <v>0</v>
      </c>
      <c r="N35" s="1725">
        <v>0</v>
      </c>
      <c r="O35" s="1486">
        <f>+D35/C35</f>
        <v>1.2141348642136887</v>
      </c>
      <c r="P35" s="1466"/>
      <c r="Q35" s="1466"/>
    </row>
    <row r="36" spans="1:17">
      <c r="A36" s="1580" t="s">
        <v>215</v>
      </c>
      <c r="B36" s="1490">
        <v>0</v>
      </c>
      <c r="C36" s="1518">
        <v>0</v>
      </c>
      <c r="D36" s="1492">
        <v>0</v>
      </c>
      <c r="E36" s="1493">
        <v>0</v>
      </c>
      <c r="F36" s="1587"/>
      <c r="G36" s="1587"/>
      <c r="H36" s="1587"/>
      <c r="I36" s="1587"/>
      <c r="J36" s="1588"/>
      <c r="K36" s="1503"/>
      <c r="L36" s="1503"/>
      <c r="M36" s="1503"/>
      <c r="N36" s="1504"/>
      <c r="O36" s="1486" t="e">
        <f>+D36/C36</f>
        <v>#DIV/0!</v>
      </c>
      <c r="P36" s="1466"/>
      <c r="Q36" s="1466"/>
    </row>
    <row r="37" spans="1:17">
      <c r="A37" s="1589"/>
      <c r="B37" s="1590"/>
      <c r="C37" s="1518"/>
      <c r="D37" s="1591"/>
      <c r="E37" s="1592"/>
      <c r="F37" s="1593"/>
      <c r="G37" s="1593"/>
      <c r="H37" s="1593"/>
      <c r="I37" s="1593"/>
      <c r="J37" s="1593"/>
      <c r="K37" s="1594"/>
      <c r="L37" s="1594"/>
      <c r="M37" s="1594"/>
      <c r="N37" s="1595"/>
      <c r="O37" s="1486"/>
      <c r="P37" s="1466"/>
      <c r="Q37" s="1466"/>
    </row>
    <row r="38" spans="1:17" ht="28.2">
      <c r="A38" s="1596" t="s">
        <v>225</v>
      </c>
      <c r="B38" s="1485">
        <f t="shared" ref="B38:N38" si="8">SUM(B39:B50)</f>
        <v>9947095</v>
      </c>
      <c r="C38" s="1485">
        <f t="shared" si="8"/>
        <v>3082075</v>
      </c>
      <c r="D38" s="1485">
        <f t="shared" si="8"/>
        <v>3374864</v>
      </c>
      <c r="E38" s="1723">
        <f t="shared" si="8"/>
        <v>932897</v>
      </c>
      <c r="F38" s="1485">
        <f t="shared" si="8"/>
        <v>382927</v>
      </c>
      <c r="G38" s="1485">
        <f t="shared" si="8"/>
        <v>301039</v>
      </c>
      <c r="H38" s="1485">
        <f t="shared" si="8"/>
        <v>91357</v>
      </c>
      <c r="I38" s="1485">
        <f t="shared" si="8"/>
        <v>155624</v>
      </c>
      <c r="J38" s="1485">
        <f t="shared" si="8"/>
        <v>1950</v>
      </c>
      <c r="K38" s="1485">
        <f t="shared" si="8"/>
        <v>242771</v>
      </c>
      <c r="L38" s="1485">
        <f t="shared" si="8"/>
        <v>111493</v>
      </c>
      <c r="M38" s="1485">
        <f t="shared" si="8"/>
        <v>1808</v>
      </c>
      <c r="N38" s="1724">
        <f t="shared" si="8"/>
        <v>65903</v>
      </c>
      <c r="O38" s="1486">
        <f t="shared" ref="O38:O40" si="9">+D38/C38</f>
        <v>1.0949973637890058</v>
      </c>
      <c r="P38" s="1488"/>
      <c r="Q38" s="1488"/>
    </row>
    <row r="39" spans="1:17">
      <c r="A39" s="1489" t="s">
        <v>191</v>
      </c>
      <c r="B39" s="1497">
        <f>141659+76024+81669+80656+83401+82771+90144+86739+86664+97258+14937</f>
        <v>921922</v>
      </c>
      <c r="C39" s="1518">
        <v>299352</v>
      </c>
      <c r="D39" s="1499">
        <f>95005+67426+73618+88536</f>
        <v>324585</v>
      </c>
      <c r="E39" s="1500">
        <f t="shared" ref="E39:E50" si="10">SUM(F39:J39)</f>
        <v>88536</v>
      </c>
      <c r="F39" s="1575">
        <v>0</v>
      </c>
      <c r="G39" s="1575">
        <v>0</v>
      </c>
      <c r="H39" s="1501">
        <v>31757</v>
      </c>
      <c r="I39" s="1501">
        <v>56779</v>
      </c>
      <c r="J39" s="1575">
        <v>0</v>
      </c>
      <c r="K39" s="1597">
        <v>2340</v>
      </c>
      <c r="L39" s="1597">
        <f>24416+757</f>
        <v>25173</v>
      </c>
      <c r="M39" s="1517">
        <v>0</v>
      </c>
      <c r="N39" s="1495"/>
      <c r="O39" s="1486">
        <f t="shared" si="9"/>
        <v>1.0842920708730859</v>
      </c>
      <c r="P39" s="1466"/>
      <c r="Q39" s="1466"/>
    </row>
    <row r="40" spans="1:17">
      <c r="A40" s="1489" t="s">
        <v>44</v>
      </c>
      <c r="B40" s="1498">
        <f>104618+64282+60352+64355+61155+69820+67741+61649+65796+65459+67411</f>
        <v>752638</v>
      </c>
      <c r="C40" s="1518">
        <v>229252</v>
      </c>
      <c r="D40" s="1598">
        <f>66996+43362+56012+60518</f>
        <v>226888</v>
      </c>
      <c r="E40" s="1500">
        <f t="shared" si="10"/>
        <v>60518</v>
      </c>
      <c r="F40" s="1575">
        <v>0</v>
      </c>
      <c r="G40" s="1575">
        <v>0</v>
      </c>
      <c r="H40" s="1599">
        <v>9763</v>
      </c>
      <c r="I40" s="1599">
        <v>50755</v>
      </c>
      <c r="J40" s="1575">
        <v>0</v>
      </c>
      <c r="K40" s="1503">
        <v>1736</v>
      </c>
      <c r="L40" s="1600">
        <f>9116+12</f>
        <v>9128</v>
      </c>
      <c r="M40" s="1517"/>
      <c r="N40" s="1601">
        <v>60518</v>
      </c>
      <c r="O40" s="1486">
        <f t="shared" si="9"/>
        <v>0.98968820337445251</v>
      </c>
      <c r="P40" s="1466"/>
      <c r="Q40" s="1466"/>
    </row>
    <row r="41" spans="1:17">
      <c r="A41" s="1489" t="s">
        <v>128</v>
      </c>
      <c r="B41" s="1498">
        <f>169980+39843+31052+30774</f>
        <v>271649</v>
      </c>
      <c r="C41" s="1602">
        <v>10400</v>
      </c>
      <c r="D41" s="1598">
        <f>50797+24532+39516+64348</f>
        <v>179193</v>
      </c>
      <c r="E41" s="1500">
        <f t="shared" si="10"/>
        <v>64348</v>
      </c>
      <c r="F41" s="1599">
        <v>43708</v>
      </c>
      <c r="G41" s="1599">
        <v>20640</v>
      </c>
      <c r="H41" s="1575">
        <v>0</v>
      </c>
      <c r="I41" s="1575">
        <v>0</v>
      </c>
      <c r="J41" s="1575">
        <v>0</v>
      </c>
      <c r="K41" s="1603">
        <v>28774</v>
      </c>
      <c r="L41" s="1494"/>
      <c r="M41" s="1517"/>
      <c r="N41" s="1495"/>
      <c r="O41" s="1486"/>
      <c r="P41" s="1604"/>
      <c r="Q41" s="1466"/>
    </row>
    <row r="42" spans="1:17">
      <c r="A42" s="1580" t="s">
        <v>192</v>
      </c>
      <c r="B42" s="1583">
        <f>35539+25020+25012+26281+22284+23157+20948+19597+31370+25185+26111</f>
        <v>280504</v>
      </c>
      <c r="C42" s="1602">
        <v>85571</v>
      </c>
      <c r="D42" s="1585">
        <f>28107+13396+22563+21351</f>
        <v>85417</v>
      </c>
      <c r="E42" s="1500">
        <f t="shared" si="10"/>
        <v>21351</v>
      </c>
      <c r="F42" s="1575">
        <v>0</v>
      </c>
      <c r="G42" s="1575">
        <v>0</v>
      </c>
      <c r="H42" s="1501">
        <v>10706</v>
      </c>
      <c r="I42" s="1501">
        <v>10645</v>
      </c>
      <c r="J42" s="1575">
        <v>0</v>
      </c>
      <c r="K42" s="1605">
        <v>5051</v>
      </c>
      <c r="L42" s="1503">
        <f>2056+2300</f>
        <v>4356</v>
      </c>
      <c r="M42" s="1503">
        <v>1314</v>
      </c>
      <c r="N42" s="1495"/>
      <c r="O42" s="1486">
        <f t="shared" ref="O42:O46" si="11">+D42/C42</f>
        <v>0.99820032487641841</v>
      </c>
      <c r="P42" s="1466"/>
      <c r="Q42" s="1466"/>
    </row>
    <row r="43" spans="1:17">
      <c r="A43" s="1580" t="s">
        <v>193</v>
      </c>
      <c r="B43" s="1606">
        <f>42541+28883+28001+23533+23137+31624+30682+26896+34161+37632+33122</f>
        <v>340212</v>
      </c>
      <c r="C43" s="1607">
        <v>99425</v>
      </c>
      <c r="D43" s="1608">
        <f>37371+20452+35221+34801</f>
        <v>127845</v>
      </c>
      <c r="E43" s="1500">
        <f t="shared" si="10"/>
        <v>34801</v>
      </c>
      <c r="F43" s="1575">
        <v>0</v>
      </c>
      <c r="G43" s="1575">
        <v>0</v>
      </c>
      <c r="H43" s="1609">
        <v>16678</v>
      </c>
      <c r="I43" s="1609">
        <v>18123</v>
      </c>
      <c r="J43" s="1575">
        <v>0</v>
      </c>
      <c r="K43" s="1503">
        <v>11397</v>
      </c>
      <c r="L43" s="1503">
        <f>1454+2033</f>
        <v>3487</v>
      </c>
      <c r="M43" s="1503">
        <v>494</v>
      </c>
      <c r="N43" s="1725">
        <v>0</v>
      </c>
      <c r="O43" s="1486">
        <f t="shared" si="11"/>
        <v>1.2858436007040484</v>
      </c>
      <c r="P43" s="1466"/>
      <c r="Q43" s="1466"/>
    </row>
    <row r="44" spans="1:17">
      <c r="A44" s="1580" t="s">
        <v>194</v>
      </c>
      <c r="B44" s="1610">
        <f>265227+22270+28401</f>
        <v>315898</v>
      </c>
      <c r="C44" s="1747">
        <v>90170</v>
      </c>
      <c r="D44" s="1748">
        <f>25361+15365+21112+27016</f>
        <v>88854</v>
      </c>
      <c r="E44" s="1500">
        <f t="shared" si="10"/>
        <v>27016</v>
      </c>
      <c r="F44" s="1501">
        <v>11473</v>
      </c>
      <c r="G44" s="1501">
        <v>15503</v>
      </c>
      <c r="H44" s="1575">
        <v>0</v>
      </c>
      <c r="I44" s="1575">
        <v>0</v>
      </c>
      <c r="J44" s="1501">
        <v>40</v>
      </c>
      <c r="K44" s="1503">
        <v>8606</v>
      </c>
      <c r="L44" s="1503">
        <f>594+3179</f>
        <v>3773</v>
      </c>
      <c r="M44" s="1517">
        <v>0</v>
      </c>
      <c r="N44" s="1504">
        <v>3</v>
      </c>
      <c r="O44" s="1486">
        <f t="shared" si="11"/>
        <v>0.98540534545857827</v>
      </c>
      <c r="P44" s="1466"/>
      <c r="Q44" s="1466"/>
    </row>
    <row r="45" spans="1:17">
      <c r="A45" s="1580" t="s">
        <v>195</v>
      </c>
      <c r="B45" s="1606">
        <f>890002+542749+505450+501865+511958+508971+512557+491530+514214+487223+539325</f>
        <v>6005844</v>
      </c>
      <c r="C45" s="1607">
        <v>1938201</v>
      </c>
      <c r="D45" s="1608">
        <f>383857+521467+509543+530254</f>
        <v>1945121</v>
      </c>
      <c r="E45" s="1500">
        <f t="shared" si="10"/>
        <v>530254</v>
      </c>
      <c r="F45" s="1501">
        <v>296225</v>
      </c>
      <c r="G45" s="1501">
        <v>234029</v>
      </c>
      <c r="H45" s="1575">
        <v>0</v>
      </c>
      <c r="I45" s="1575">
        <v>0</v>
      </c>
      <c r="J45" s="1575">
        <v>0</v>
      </c>
      <c r="K45" s="1494">
        <v>157830</v>
      </c>
      <c r="L45" s="1494">
        <f>26326+23488</f>
        <v>49814</v>
      </c>
      <c r="M45" s="1517"/>
      <c r="N45" s="1725"/>
      <c r="O45" s="1486">
        <f t="shared" si="11"/>
        <v>1.0035703211380038</v>
      </c>
      <c r="P45" s="1466"/>
      <c r="Q45" s="1466"/>
    </row>
    <row r="46" spans="1:17">
      <c r="A46" s="1580" t="s">
        <v>49</v>
      </c>
      <c r="B46" s="1612">
        <f>400483+31413+46888</f>
        <v>478784</v>
      </c>
      <c r="C46" s="1607">
        <v>153702</v>
      </c>
      <c r="D46" s="1613">
        <f>40143+28372+35851+44309</f>
        <v>148675</v>
      </c>
      <c r="E46" s="1500">
        <f t="shared" si="10"/>
        <v>44309</v>
      </c>
      <c r="F46" s="1614">
        <v>886</v>
      </c>
      <c r="G46" s="1614">
        <v>1648</v>
      </c>
      <c r="H46" s="1614">
        <v>22453</v>
      </c>
      <c r="I46" s="1614">
        <v>19322</v>
      </c>
      <c r="J46" s="1575">
        <v>0</v>
      </c>
      <c r="K46" s="1600">
        <v>10737</v>
      </c>
      <c r="L46" s="1600">
        <f>41+3424+884</f>
        <v>4349</v>
      </c>
      <c r="M46" s="1517">
        <v>0</v>
      </c>
      <c r="N46" s="1495"/>
      <c r="O46" s="1486">
        <f t="shared" si="11"/>
        <v>0.96729385434151804</v>
      </c>
      <c r="P46" s="1466"/>
      <c r="Q46" s="1466"/>
    </row>
    <row r="47" spans="1:17">
      <c r="A47" s="1580" t="s">
        <v>50</v>
      </c>
      <c r="B47" s="1578"/>
      <c r="C47" s="1573"/>
      <c r="D47" s="1615"/>
      <c r="E47" s="1500">
        <f t="shared" si="10"/>
        <v>0</v>
      </c>
      <c r="F47" s="1616"/>
      <c r="G47" s="1616"/>
      <c r="H47" s="1616"/>
      <c r="I47" s="1616"/>
      <c r="J47" s="1616"/>
      <c r="K47" s="1600"/>
      <c r="L47" s="1600"/>
      <c r="M47" s="1600"/>
      <c r="N47" s="1601"/>
      <c r="O47" s="1486"/>
      <c r="P47" s="1604"/>
      <c r="Q47" s="1466"/>
    </row>
    <row r="48" spans="1:17">
      <c r="A48" s="1580" t="s">
        <v>51</v>
      </c>
      <c r="B48" s="1617">
        <f>2723+257+332</f>
        <v>3312</v>
      </c>
      <c r="C48" s="1618">
        <v>1105</v>
      </c>
      <c r="D48" s="1619">
        <f>276+354+363+370</f>
        <v>1363</v>
      </c>
      <c r="E48" s="1500">
        <f t="shared" si="10"/>
        <v>370</v>
      </c>
      <c r="F48" s="1616">
        <v>211</v>
      </c>
      <c r="G48" s="1616">
        <v>159</v>
      </c>
      <c r="H48" s="1575">
        <v>0</v>
      </c>
      <c r="I48" s="1575">
        <v>0</v>
      </c>
      <c r="J48" s="1575">
        <v>0</v>
      </c>
      <c r="K48" s="1600">
        <v>370</v>
      </c>
      <c r="L48" s="1600">
        <f>211</f>
        <v>211</v>
      </c>
      <c r="M48" s="1517"/>
      <c r="N48" s="1495"/>
      <c r="O48" s="1486">
        <f t="shared" ref="O48:O50" si="12">+D48/C48</f>
        <v>1.2334841628959277</v>
      </c>
      <c r="P48" s="1466"/>
      <c r="Q48" s="1466"/>
    </row>
    <row r="49" spans="1:17" ht="15" thickBot="1">
      <c r="A49" s="1620" t="s">
        <v>196</v>
      </c>
      <c r="B49" s="1621">
        <f>11927+1325+3997</f>
        <v>17249</v>
      </c>
      <c r="C49" s="1622">
        <v>4223</v>
      </c>
      <c r="D49" s="1623">
        <f>1216+1972+989+2329</f>
        <v>6506</v>
      </c>
      <c r="E49" s="1531">
        <f t="shared" si="10"/>
        <v>2329</v>
      </c>
      <c r="F49" s="1624">
        <v>478</v>
      </c>
      <c r="G49" s="1624">
        <v>1851</v>
      </c>
      <c r="H49" s="1625">
        <v>0</v>
      </c>
      <c r="I49" s="1625">
        <v>0</v>
      </c>
      <c r="J49" s="1625">
        <v>0</v>
      </c>
      <c r="K49" s="1626">
        <v>369</v>
      </c>
      <c r="L49" s="1627">
        <f>360+780</f>
        <v>1140</v>
      </c>
      <c r="M49" s="1628">
        <v>0</v>
      </c>
      <c r="N49" s="1629">
        <v>2329</v>
      </c>
      <c r="O49" s="1486">
        <f t="shared" si="12"/>
        <v>1.5406109400899834</v>
      </c>
      <c r="P49" s="1466"/>
      <c r="Q49" s="1466"/>
    </row>
    <row r="50" spans="1:17">
      <c r="A50" s="1630" t="s">
        <v>197</v>
      </c>
      <c r="B50" s="1631">
        <f>46498+25145+53554+45477+47222+51070+47167+41808+32662+49246+57773+61461</f>
        <v>559083</v>
      </c>
      <c r="C50" s="1749">
        <v>170674</v>
      </c>
      <c r="D50" s="1633">
        <f>68492+57011+55849+59065</f>
        <v>240417</v>
      </c>
      <c r="E50" s="1634">
        <f t="shared" si="10"/>
        <v>59065</v>
      </c>
      <c r="F50" s="1635">
        <v>29946</v>
      </c>
      <c r="G50" s="1635">
        <v>27209</v>
      </c>
      <c r="H50" s="1636">
        <v>0</v>
      </c>
      <c r="I50" s="1636">
        <v>0</v>
      </c>
      <c r="J50" s="1637">
        <v>1910</v>
      </c>
      <c r="K50" s="1638">
        <v>15561</v>
      </c>
      <c r="L50" s="1638">
        <f>4233+4179+1650</f>
        <v>10062</v>
      </c>
      <c r="M50" s="1639">
        <v>0</v>
      </c>
      <c r="N50" s="1640">
        <v>3053</v>
      </c>
      <c r="O50" s="1486">
        <f t="shared" si="12"/>
        <v>1.4086328321829922</v>
      </c>
      <c r="P50" s="1467"/>
      <c r="Q50" s="1466"/>
    </row>
    <row r="51" spans="1:17">
      <c r="A51" s="1589"/>
      <c r="B51" s="1641"/>
      <c r="C51" s="1618"/>
      <c r="D51" s="1641"/>
      <c r="E51" s="1642"/>
      <c r="F51" s="1643"/>
      <c r="G51" s="1643"/>
      <c r="H51" s="1643"/>
      <c r="I51" s="1643"/>
      <c r="J51" s="1643"/>
      <c r="K51" s="1644"/>
      <c r="L51" s="1644"/>
      <c r="M51" s="1644"/>
      <c r="N51" s="1645"/>
      <c r="O51" s="1486"/>
      <c r="P51" s="1646"/>
      <c r="Q51" s="1466"/>
    </row>
    <row r="52" spans="1:17">
      <c r="A52" s="1484" t="s">
        <v>226</v>
      </c>
      <c r="B52" s="1485">
        <f t="shared" ref="B52:N52" si="13">SUM(B53:B59)</f>
        <v>7605205</v>
      </c>
      <c r="C52" s="1485">
        <f t="shared" si="13"/>
        <v>2309044</v>
      </c>
      <c r="D52" s="1485">
        <f t="shared" si="13"/>
        <v>2572710</v>
      </c>
      <c r="E52" s="1723">
        <f t="shared" si="13"/>
        <v>633952</v>
      </c>
      <c r="F52" s="1485">
        <f t="shared" si="13"/>
        <v>245758</v>
      </c>
      <c r="G52" s="1485">
        <f t="shared" si="13"/>
        <v>302357</v>
      </c>
      <c r="H52" s="1485">
        <f t="shared" si="13"/>
        <v>4511</v>
      </c>
      <c r="I52" s="1485">
        <f t="shared" si="13"/>
        <v>1266</v>
      </c>
      <c r="J52" s="1485">
        <f t="shared" si="13"/>
        <v>80060</v>
      </c>
      <c r="K52" s="1485">
        <f t="shared" si="13"/>
        <v>71078</v>
      </c>
      <c r="L52" s="1485">
        <f t="shared" si="13"/>
        <v>137861</v>
      </c>
      <c r="M52" s="1485">
        <f t="shared" si="13"/>
        <v>4074</v>
      </c>
      <c r="N52" s="1724">
        <f t="shared" si="13"/>
        <v>174533</v>
      </c>
      <c r="O52" s="1486">
        <f t="shared" ref="O52:O57" si="14">+D52/C52</f>
        <v>1.1141883827246255</v>
      </c>
      <c r="P52" s="1488"/>
      <c r="Q52" s="1488"/>
    </row>
    <row r="53" spans="1:17">
      <c r="A53" s="1580" t="s">
        <v>55</v>
      </c>
      <c r="B53" s="1497"/>
      <c r="C53" s="1491"/>
      <c r="D53" s="1499"/>
      <c r="E53" s="1500">
        <v>0</v>
      </c>
      <c r="F53" s="1501"/>
      <c r="G53" s="1501"/>
      <c r="H53" s="1501"/>
      <c r="I53" s="1501"/>
      <c r="J53" s="1501"/>
      <c r="K53" s="1494"/>
      <c r="L53" s="1494"/>
      <c r="M53" s="1494"/>
      <c r="N53" s="1495"/>
      <c r="O53" s="1486"/>
      <c r="P53" s="1466"/>
      <c r="Q53" s="1466"/>
    </row>
    <row r="54" spans="1:17">
      <c r="A54" s="1647" t="s">
        <v>56</v>
      </c>
      <c r="B54" s="1572">
        <f>209453+123222+177525+182527+179497+190574+195216+216952+167184+207469+198525+199975</f>
        <v>2248119</v>
      </c>
      <c r="C54" s="1573">
        <v>692727</v>
      </c>
      <c r="D54" s="1581">
        <f>194209+180798+166048+177722</f>
        <v>718777</v>
      </c>
      <c r="E54" s="1649">
        <f t="shared" ref="E54:E59" si="15">SUM(F54:J54)</f>
        <v>177722</v>
      </c>
      <c r="F54" s="1501">
        <v>78977</v>
      </c>
      <c r="G54" s="1650">
        <v>84529</v>
      </c>
      <c r="H54" s="1650">
        <v>4315</v>
      </c>
      <c r="I54" s="1501">
        <v>782</v>
      </c>
      <c r="J54" s="1501">
        <v>9119</v>
      </c>
      <c r="K54" s="1503">
        <v>22384</v>
      </c>
      <c r="L54" s="1503">
        <f>54744+286+98+200+2368</f>
        <v>57696</v>
      </c>
      <c r="M54" s="1651"/>
      <c r="N54" s="1652"/>
      <c r="O54" s="1486">
        <f t="shared" si="14"/>
        <v>1.0376050016817593</v>
      </c>
      <c r="P54" s="1653"/>
      <c r="Q54" s="1466"/>
    </row>
    <row r="55" spans="1:17">
      <c r="A55" s="1580" t="s">
        <v>199</v>
      </c>
      <c r="B55" s="1583">
        <f>104773+79448+108729+100750+114908+101767+109538+102101+96227+101348+80712+95735</f>
        <v>1196036</v>
      </c>
      <c r="C55" s="1654">
        <v>393700</v>
      </c>
      <c r="D55" s="1585">
        <f>105063+90489+93101+75747</f>
        <v>364400</v>
      </c>
      <c r="E55" s="1500">
        <f t="shared" si="15"/>
        <v>75747</v>
      </c>
      <c r="F55" s="1655">
        <v>33267</v>
      </c>
      <c r="G55" s="1599">
        <v>35202</v>
      </c>
      <c r="H55" s="1575">
        <v>0</v>
      </c>
      <c r="I55" s="1575">
        <v>0</v>
      </c>
      <c r="J55" s="1599">
        <v>7278</v>
      </c>
      <c r="K55" s="1494">
        <v>4727</v>
      </c>
      <c r="L55" s="1494">
        <f>18423+128+1160</f>
        <v>19711</v>
      </c>
      <c r="M55" s="1517"/>
      <c r="N55" s="1495"/>
      <c r="O55" s="1486">
        <f t="shared" si="14"/>
        <v>0.92557785115570235</v>
      </c>
      <c r="P55" s="1656"/>
      <c r="Q55" s="1466"/>
    </row>
    <row r="56" spans="1:17">
      <c r="A56" s="1522" t="s">
        <v>58</v>
      </c>
      <c r="B56" s="1606">
        <f>90832+90726+97425+112194+114431+98379+101821+103316+100021+117218+109359+112333</f>
        <v>1248055</v>
      </c>
      <c r="C56" s="1657">
        <v>391177</v>
      </c>
      <c r="D56" s="1608">
        <f>211807+105341+97079</f>
        <v>414227</v>
      </c>
      <c r="E56" s="1500">
        <f t="shared" si="15"/>
        <v>97079</v>
      </c>
      <c r="F56" s="1501">
        <v>33222</v>
      </c>
      <c r="G56" s="1501">
        <v>45869</v>
      </c>
      <c r="H56" s="1575">
        <v>0</v>
      </c>
      <c r="I56" s="1575">
        <v>0</v>
      </c>
      <c r="J56" s="1501">
        <v>17988</v>
      </c>
      <c r="K56" s="1503">
        <v>8979</v>
      </c>
      <c r="L56" s="1503">
        <f>18035+278</f>
        <v>18313</v>
      </c>
      <c r="M56" s="1494">
        <v>1856</v>
      </c>
      <c r="N56" s="1495">
        <v>80524</v>
      </c>
      <c r="O56" s="1486">
        <f t="shared" si="14"/>
        <v>1.0589247322823172</v>
      </c>
      <c r="P56" s="1466"/>
      <c r="Q56" s="1466"/>
    </row>
    <row r="57" spans="1:17">
      <c r="A57" s="1522" t="s">
        <v>59</v>
      </c>
      <c r="B57" s="1606">
        <f>85962+38994+58375+82416+99455+86639+82659+105881+73454+94153+96038+77922</f>
        <v>981948</v>
      </c>
      <c r="C57" s="1657">
        <v>265747</v>
      </c>
      <c r="D57" s="1608">
        <f>98617+85129+85023+104382</f>
        <v>373151</v>
      </c>
      <c r="E57" s="1500">
        <f t="shared" si="15"/>
        <v>104382</v>
      </c>
      <c r="F57" s="1501">
        <v>38116</v>
      </c>
      <c r="G57" s="1501">
        <v>42739</v>
      </c>
      <c r="H57" s="1501">
        <v>196</v>
      </c>
      <c r="I57" s="1599">
        <v>484</v>
      </c>
      <c r="J57" s="1501">
        <v>22847</v>
      </c>
      <c r="K57" s="1503">
        <v>12862</v>
      </c>
      <c r="L57" s="1503">
        <f>33908+327+97+7809</f>
        <v>42141</v>
      </c>
      <c r="M57" s="1494">
        <v>2218</v>
      </c>
      <c r="N57" s="1495">
        <v>94009</v>
      </c>
      <c r="O57" s="1486">
        <f t="shared" si="14"/>
        <v>1.4041588428091381</v>
      </c>
      <c r="P57" s="1467"/>
      <c r="Q57" s="1466"/>
    </row>
    <row r="58" spans="1:17" ht="15" thickBot="1">
      <c r="A58" s="1658" t="s">
        <v>113</v>
      </c>
      <c r="B58" s="1659"/>
      <c r="C58" s="1660"/>
      <c r="D58" s="1661" t="s">
        <v>233</v>
      </c>
      <c r="E58" s="1765">
        <f t="shared" si="15"/>
        <v>0</v>
      </c>
      <c r="F58" s="1663"/>
      <c r="G58" s="1663"/>
      <c r="H58" s="1663"/>
      <c r="I58" s="1663"/>
      <c r="J58" s="1663"/>
      <c r="K58" s="1533"/>
      <c r="L58" s="1533"/>
      <c r="M58" s="1533"/>
      <c r="N58" s="1534"/>
      <c r="O58" s="1486"/>
      <c r="P58" s="1656"/>
      <c r="Q58" s="1664"/>
    </row>
    <row r="59" spans="1:17">
      <c r="A59" s="1665" t="s">
        <v>61</v>
      </c>
      <c r="B59" s="1666">
        <f>1585050+175956+170041</f>
        <v>1931047</v>
      </c>
      <c r="C59" s="1667">
        <v>565693</v>
      </c>
      <c r="D59" s="1668">
        <f>198905+146764+177464+179022</f>
        <v>702155</v>
      </c>
      <c r="E59" s="1766">
        <f t="shared" si="15"/>
        <v>179022</v>
      </c>
      <c r="F59" s="1670">
        <v>62176</v>
      </c>
      <c r="G59" s="1670">
        <v>94018</v>
      </c>
      <c r="H59" s="1636">
        <v>0</v>
      </c>
      <c r="I59" s="1636">
        <v>0</v>
      </c>
      <c r="J59" s="1637">
        <v>22828</v>
      </c>
      <c r="K59" s="1671">
        <v>22126</v>
      </c>
      <c r="L59" s="1671"/>
      <c r="M59" s="1639"/>
      <c r="N59" s="1672"/>
      <c r="O59" s="1486">
        <f t="shared" ref="O59:O62" si="16">+D59/C59</f>
        <v>1.2412297836458999</v>
      </c>
      <c r="P59" s="1467"/>
      <c r="Q59" s="1467"/>
    </row>
    <row r="60" spans="1:17">
      <c r="A60" s="1566"/>
      <c r="B60" s="1673"/>
      <c r="C60" s="1593"/>
      <c r="D60" s="1673"/>
      <c r="E60" s="1592"/>
      <c r="F60" s="1674"/>
      <c r="G60" s="1494"/>
      <c r="H60" s="1593"/>
      <c r="I60" s="1674"/>
      <c r="J60" s="1644"/>
      <c r="K60" s="1494"/>
      <c r="L60" s="1494"/>
      <c r="M60" s="1494"/>
      <c r="N60" s="1495"/>
      <c r="O60" s="1486"/>
      <c r="P60" s="1467"/>
      <c r="Q60" s="1467"/>
    </row>
    <row r="61" spans="1:17">
      <c r="A61" s="1675" t="s">
        <v>227</v>
      </c>
      <c r="B61" s="1676">
        <f t="shared" ref="B61:N61" si="17">SUM(B62:B69)</f>
        <v>69686</v>
      </c>
      <c r="C61" s="1676">
        <f t="shared" si="17"/>
        <v>15974</v>
      </c>
      <c r="D61" s="1676">
        <f t="shared" si="17"/>
        <v>28042</v>
      </c>
      <c r="E61" s="1750">
        <f t="shared" si="17"/>
        <v>8129</v>
      </c>
      <c r="F61" s="1676">
        <f t="shared" si="17"/>
        <v>0</v>
      </c>
      <c r="G61" s="1676">
        <f t="shared" si="17"/>
        <v>0</v>
      </c>
      <c r="H61" s="1676">
        <f t="shared" si="17"/>
        <v>3941</v>
      </c>
      <c r="I61" s="1676">
        <f t="shared" si="17"/>
        <v>4188</v>
      </c>
      <c r="J61" s="1676">
        <f t="shared" si="17"/>
        <v>0</v>
      </c>
      <c r="K61" s="1676">
        <f t="shared" si="17"/>
        <v>4963</v>
      </c>
      <c r="L61" s="1676">
        <f t="shared" si="17"/>
        <v>3523</v>
      </c>
      <c r="M61" s="1676">
        <f t="shared" si="17"/>
        <v>0</v>
      </c>
      <c r="N61" s="1751">
        <f t="shared" si="17"/>
        <v>0</v>
      </c>
      <c r="O61" s="1486">
        <f t="shared" si="16"/>
        <v>1.7554776511831727</v>
      </c>
      <c r="P61" s="1488"/>
      <c r="Q61" s="1677"/>
    </row>
    <row r="62" spans="1:17">
      <c r="A62" s="1522" t="s">
        <v>201</v>
      </c>
      <c r="B62" s="1606">
        <f>9380+2012+2071</f>
        <v>13463</v>
      </c>
      <c r="C62" s="1618">
        <v>2939</v>
      </c>
      <c r="D62" s="1678">
        <f>2379+1593+2241+2316</f>
        <v>8529</v>
      </c>
      <c r="E62" s="1500">
        <f>SUM(H62:J62)</f>
        <v>2316</v>
      </c>
      <c r="F62" s="1575">
        <v>0</v>
      </c>
      <c r="G62" s="1575">
        <v>0</v>
      </c>
      <c r="H62" s="1679">
        <v>1155</v>
      </c>
      <c r="I62" s="1501">
        <v>1161</v>
      </c>
      <c r="J62" s="1575">
        <v>0</v>
      </c>
      <c r="K62" s="1494">
        <v>538</v>
      </c>
      <c r="L62" s="1494">
        <f>650</f>
        <v>650</v>
      </c>
      <c r="M62" s="1517">
        <v>0</v>
      </c>
      <c r="N62" s="1725">
        <v>0</v>
      </c>
      <c r="O62" s="1486">
        <f t="shared" si="16"/>
        <v>2.9020074855392992</v>
      </c>
      <c r="P62" s="1466"/>
      <c r="Q62" s="1466"/>
    </row>
    <row r="63" spans="1:17">
      <c r="A63" s="1680" t="s">
        <v>202</v>
      </c>
      <c r="B63" s="1497"/>
      <c r="C63" s="1518"/>
      <c r="D63" s="1681"/>
      <c r="E63" s="1500">
        <f t="shared" ref="E63:E69" si="18">SUM(F63:J63)</f>
        <v>0</v>
      </c>
      <c r="F63" s="1682"/>
      <c r="G63" s="1683"/>
      <c r="H63" s="1501"/>
      <c r="I63" s="1501"/>
      <c r="J63" s="1501"/>
      <c r="K63" s="1494"/>
      <c r="L63" s="1494"/>
      <c r="M63" s="1494"/>
      <c r="N63" s="1495"/>
      <c r="O63" s="1486"/>
      <c r="P63" s="1466"/>
      <c r="Q63" s="1466"/>
    </row>
    <row r="64" spans="1:17">
      <c r="A64" s="1522" t="s">
        <v>203</v>
      </c>
      <c r="B64" s="1606">
        <f>1143+584+1068+1170+1018+1940+2160+2337+2201+2341+1720</f>
        <v>17682</v>
      </c>
      <c r="C64" s="1618">
        <v>2795</v>
      </c>
      <c r="D64" s="1678">
        <f>1586+1377+1324+1261</f>
        <v>5548</v>
      </c>
      <c r="E64" s="1500">
        <f t="shared" si="18"/>
        <v>1261</v>
      </c>
      <c r="F64" s="1575">
        <v>0</v>
      </c>
      <c r="G64" s="1575">
        <v>0</v>
      </c>
      <c r="H64" s="1501">
        <v>601</v>
      </c>
      <c r="I64" s="1501">
        <v>660</v>
      </c>
      <c r="J64" s="1575">
        <v>0</v>
      </c>
      <c r="K64" s="1494">
        <f>1059</f>
        <v>1059</v>
      </c>
      <c r="L64" s="1494">
        <f>353+238</f>
        <v>591</v>
      </c>
      <c r="M64" s="1517">
        <v>0</v>
      </c>
      <c r="N64" s="1725">
        <v>0</v>
      </c>
      <c r="O64" s="1486">
        <f t="shared" ref="O64:O67" si="19">+D64/C64</f>
        <v>1.9849731663685153</v>
      </c>
      <c r="P64" s="1466"/>
      <c r="Q64" s="1466"/>
    </row>
    <row r="65" spans="1:17">
      <c r="A65" s="1522" t="s">
        <v>66</v>
      </c>
      <c r="B65" s="1497">
        <f>9020+1300+1328+1755+1870+1593+2099</f>
        <v>18965</v>
      </c>
      <c r="C65" s="1518">
        <v>5575</v>
      </c>
      <c r="D65" s="1681">
        <f>2516+1712+2842+3851</f>
        <v>10921</v>
      </c>
      <c r="E65" s="1500">
        <f t="shared" si="18"/>
        <v>3851</v>
      </c>
      <c r="F65" s="1575">
        <v>0</v>
      </c>
      <c r="G65" s="1575">
        <v>0</v>
      </c>
      <c r="H65" s="1501">
        <v>1873</v>
      </c>
      <c r="I65" s="1501">
        <v>1978</v>
      </c>
      <c r="J65" s="1575">
        <v>0</v>
      </c>
      <c r="K65" s="1503">
        <v>2879</v>
      </c>
      <c r="L65" s="1503">
        <f>1872+10</f>
        <v>1882</v>
      </c>
      <c r="M65" s="1517">
        <v>0</v>
      </c>
      <c r="N65" s="1495"/>
      <c r="O65" s="1486">
        <f t="shared" si="19"/>
        <v>1.9589237668161434</v>
      </c>
      <c r="P65" s="1466"/>
      <c r="Q65" s="1466"/>
    </row>
    <row r="66" spans="1:17">
      <c r="A66" s="1684" t="s">
        <v>204</v>
      </c>
      <c r="B66" s="1572"/>
      <c r="C66" s="1573"/>
      <c r="D66" s="1574"/>
      <c r="E66" s="1500">
        <f t="shared" si="18"/>
        <v>0</v>
      </c>
      <c r="F66" s="1685"/>
      <c r="G66" s="1683"/>
      <c r="H66" s="1501"/>
      <c r="I66" s="1501"/>
      <c r="J66" s="1501"/>
      <c r="K66" s="1494"/>
      <c r="L66" s="1494"/>
      <c r="M66" s="1494"/>
      <c r="N66" s="1495"/>
      <c r="O66" s="1486"/>
      <c r="P66" s="1466"/>
      <c r="Q66" s="1466"/>
    </row>
    <row r="67" spans="1:17">
      <c r="A67" s="1522" t="s">
        <v>205</v>
      </c>
      <c r="B67" s="1497">
        <v>8152</v>
      </c>
      <c r="C67" s="1518">
        <v>2085</v>
      </c>
      <c r="D67" s="1752">
        <f>634+656+529+487</f>
        <v>2306</v>
      </c>
      <c r="E67" s="1500">
        <f t="shared" si="18"/>
        <v>487</v>
      </c>
      <c r="F67" s="1575">
        <v>0</v>
      </c>
      <c r="G67" s="1575">
        <v>0</v>
      </c>
      <c r="H67" s="1753">
        <v>272</v>
      </c>
      <c r="I67" s="1753">
        <v>215</v>
      </c>
      <c r="J67" s="1753">
        <v>0</v>
      </c>
      <c r="K67" s="1594">
        <v>487</v>
      </c>
      <c r="L67" s="1594">
        <f>272</f>
        <v>272</v>
      </c>
      <c r="M67" s="1594"/>
      <c r="N67" s="1595"/>
      <c r="O67" s="1486">
        <f t="shared" si="19"/>
        <v>1.1059952038369305</v>
      </c>
      <c r="P67" s="1466"/>
      <c r="Q67" s="1466"/>
    </row>
    <row r="68" spans="1:17">
      <c r="A68" s="1680" t="s">
        <v>206</v>
      </c>
      <c r="B68" s="1606"/>
      <c r="C68" s="1618"/>
      <c r="D68" s="1754"/>
      <c r="E68" s="1500">
        <f t="shared" si="18"/>
        <v>0</v>
      </c>
      <c r="F68" s="1520"/>
      <c r="G68" s="1687"/>
      <c r="H68" s="1599"/>
      <c r="I68" s="1599"/>
      <c r="J68" s="1599"/>
      <c r="K68" s="1494"/>
      <c r="L68" s="1494"/>
      <c r="M68" s="1494"/>
      <c r="N68" s="1495"/>
      <c r="O68" s="1486"/>
      <c r="P68" s="1466"/>
      <c r="Q68" s="1466"/>
    </row>
    <row r="69" spans="1:17" ht="15" thickBot="1">
      <c r="A69" s="1522" t="s">
        <v>70</v>
      </c>
      <c r="B69" s="1617">
        <v>11424</v>
      </c>
      <c r="C69" s="1618">
        <v>2580</v>
      </c>
      <c r="D69" s="1755">
        <f>78+56+390+214</f>
        <v>738</v>
      </c>
      <c r="E69" s="1500">
        <f t="shared" si="18"/>
        <v>214</v>
      </c>
      <c r="F69" s="1575">
        <v>0</v>
      </c>
      <c r="G69" s="1575">
        <v>0</v>
      </c>
      <c r="H69" s="1501">
        <v>40</v>
      </c>
      <c r="I69" s="1501">
        <v>174</v>
      </c>
      <c r="J69" s="1575">
        <v>0</v>
      </c>
      <c r="K69" s="1503">
        <v>0</v>
      </c>
      <c r="L69" s="1503">
        <f>128</f>
        <v>128</v>
      </c>
      <c r="M69" s="1517"/>
      <c r="N69" s="1495"/>
      <c r="O69" s="1486">
        <f>+D69/C69</f>
        <v>0.28604651162790695</v>
      </c>
      <c r="P69" s="1466"/>
      <c r="Q69" s="1468"/>
    </row>
    <row r="70" spans="1:17" ht="15" thickBot="1">
      <c r="A70" s="1693" t="s">
        <v>71</v>
      </c>
      <c r="B70" s="1694">
        <f t="shared" ref="B70:N70" si="20">B6+B28+B33+B38+B52+B61</f>
        <v>27092360</v>
      </c>
      <c r="C70" s="1694">
        <f t="shared" si="20"/>
        <v>8227064</v>
      </c>
      <c r="D70" s="1756">
        <f t="shared" si="20"/>
        <v>9209423</v>
      </c>
      <c r="E70" s="1757">
        <f t="shared" si="20"/>
        <v>2443541</v>
      </c>
      <c r="F70" s="1694">
        <f t="shared" si="20"/>
        <v>872733</v>
      </c>
      <c r="G70" s="1694">
        <f t="shared" si="20"/>
        <v>840905</v>
      </c>
      <c r="H70" s="1694">
        <f t="shared" si="20"/>
        <v>153984</v>
      </c>
      <c r="I70" s="1694">
        <f t="shared" si="20"/>
        <v>213763</v>
      </c>
      <c r="J70" s="1694">
        <f t="shared" si="20"/>
        <v>83156</v>
      </c>
      <c r="K70" s="1694">
        <f t="shared" si="20"/>
        <v>417022</v>
      </c>
      <c r="L70" s="1694">
        <f t="shared" si="20"/>
        <v>339284</v>
      </c>
      <c r="M70" s="1694">
        <f t="shared" si="20"/>
        <v>8780</v>
      </c>
      <c r="N70" s="1758">
        <f t="shared" si="20"/>
        <v>272502</v>
      </c>
      <c r="O70" s="1486">
        <f>+D70/C70</f>
        <v>1.1194057807256634</v>
      </c>
      <c r="P70" s="1695"/>
      <c r="Q70" s="1695"/>
    </row>
    <row r="71" spans="1:17">
      <c r="A71" s="1466"/>
      <c r="B71" s="1696"/>
      <c r="C71" s="1696"/>
      <c r="D71" s="1696"/>
      <c r="E71" s="1697"/>
      <c r="F71" s="1467"/>
      <c r="G71" s="1467"/>
      <c r="H71" s="1467"/>
      <c r="I71" s="1467"/>
      <c r="J71" s="1467"/>
      <c r="K71" s="1467"/>
      <c r="L71" s="1467"/>
      <c r="M71" s="1467"/>
      <c r="N71" s="1467"/>
      <c r="O71" s="1466"/>
      <c r="P71" s="1466"/>
      <c r="Q71" s="1466"/>
    </row>
    <row r="72" spans="1:17">
      <c r="A72" s="1466"/>
      <c r="B72" s="1466"/>
      <c r="C72" s="1466"/>
      <c r="D72" s="1466"/>
      <c r="E72" s="1467"/>
      <c r="F72" s="1467"/>
      <c r="G72" s="1467"/>
      <c r="H72" s="1467"/>
      <c r="I72" s="1467"/>
      <c r="J72" s="1467"/>
      <c r="K72" s="1467"/>
      <c r="L72" s="1467"/>
      <c r="M72" s="1467"/>
      <c r="N72" s="1467"/>
      <c r="O72" s="1466"/>
      <c r="P72" s="1466"/>
      <c r="Q72" s="1466"/>
    </row>
    <row r="73" spans="1:17" ht="83.4">
      <c r="A73" s="1466"/>
      <c r="B73" s="1698" t="s">
        <v>207</v>
      </c>
      <c r="C73" s="1698"/>
      <c r="D73" s="1699" t="s">
        <v>74</v>
      </c>
      <c r="E73" s="1700" t="s">
        <v>75</v>
      </c>
      <c r="F73" s="1700" t="s">
        <v>76</v>
      </c>
      <c r="G73" s="1700" t="s">
        <v>77</v>
      </c>
      <c r="H73" s="1700" t="s">
        <v>78</v>
      </c>
      <c r="I73" s="1700" t="s">
        <v>79</v>
      </c>
      <c r="J73" s="1700" t="s">
        <v>80</v>
      </c>
      <c r="K73" s="1700" t="s">
        <v>81</v>
      </c>
      <c r="L73" s="1700" t="s">
        <v>82</v>
      </c>
      <c r="M73" s="1700" t="s">
        <v>83</v>
      </c>
      <c r="N73" s="1700" t="s">
        <v>84</v>
      </c>
      <c r="O73" s="1701" t="s">
        <v>85</v>
      </c>
      <c r="P73" s="1702"/>
      <c r="Q73" s="1466"/>
    </row>
    <row r="74" spans="1:17">
      <c r="A74" s="1466"/>
      <c r="B74" s="1703" t="s">
        <v>87</v>
      </c>
      <c r="C74" s="1703"/>
      <c r="D74" s="1704">
        <v>2555400</v>
      </c>
      <c r="E74" s="1705">
        <v>1909599</v>
      </c>
      <c r="F74" s="1503">
        <v>2299020</v>
      </c>
      <c r="G74" s="1705">
        <v>2443541</v>
      </c>
      <c r="H74" s="1705"/>
      <c r="I74" s="1593"/>
      <c r="J74" s="1705"/>
      <c r="K74" s="1503"/>
      <c r="L74" s="1503"/>
      <c r="M74" s="1706"/>
      <c r="N74" s="1707"/>
      <c r="O74" s="1708"/>
      <c r="P74" s="1468"/>
      <c r="Q74" s="1466"/>
    </row>
    <row r="75" spans="1:17">
      <c r="A75" s="1466"/>
      <c r="B75" s="1709" t="s">
        <v>88</v>
      </c>
      <c r="C75" s="1709"/>
      <c r="D75" s="1709"/>
      <c r="E75" s="1710">
        <f t="shared" ref="E75:N75" si="21">IF(D74&gt;0,E74/D74,0)*100</f>
        <v>74.727987790561173</v>
      </c>
      <c r="F75" s="1710">
        <f t="shared" si="21"/>
        <v>120.39281545497249</v>
      </c>
      <c r="G75" s="1710">
        <f t="shared" si="21"/>
        <v>106.28620020704473</v>
      </c>
      <c r="H75" s="1710">
        <f t="shared" si="21"/>
        <v>0</v>
      </c>
      <c r="I75" s="1710">
        <f t="shared" si="21"/>
        <v>0</v>
      </c>
      <c r="J75" s="1710">
        <f t="shared" si="21"/>
        <v>0</v>
      </c>
      <c r="K75" s="1710">
        <f t="shared" si="21"/>
        <v>0</v>
      </c>
      <c r="L75" s="1710">
        <f t="shared" si="21"/>
        <v>0</v>
      </c>
      <c r="M75" s="1710">
        <f t="shared" si="21"/>
        <v>0</v>
      </c>
      <c r="N75" s="1710">
        <f t="shared" si="21"/>
        <v>0</v>
      </c>
      <c r="O75" s="1711"/>
      <c r="P75" s="1712"/>
      <c r="Q75" s="1466"/>
    </row>
    <row r="76" spans="1:17">
      <c r="A76" s="1466"/>
      <c r="B76" s="1713"/>
      <c r="C76" s="1713"/>
      <c r="D76" s="1713"/>
      <c r="E76" s="1707"/>
      <c r="F76" s="1714"/>
      <c r="G76" s="1467" t="s">
        <v>115</v>
      </c>
      <c r="H76" s="1467"/>
      <c r="I76" s="1467"/>
      <c r="J76" s="1467"/>
      <c r="K76" s="1467"/>
      <c r="L76" s="1467"/>
      <c r="M76" s="1467"/>
      <c r="N76" s="1467"/>
      <c r="O76" s="1468"/>
      <c r="P76" s="1466"/>
    </row>
    <row r="77" spans="1:17">
      <c r="A77" s="1715" t="s">
        <v>208</v>
      </c>
      <c r="B77" s="1468"/>
      <c r="C77" s="1468"/>
      <c r="D77" s="1468"/>
      <c r="E77" s="1467"/>
      <c r="F77" s="1467"/>
      <c r="G77" s="1467"/>
      <c r="H77" s="1467"/>
      <c r="I77" s="1467"/>
      <c r="J77" s="1467"/>
      <c r="K77" s="1467"/>
      <c r="L77" s="1467"/>
      <c r="M77" s="1467"/>
      <c r="N77" s="1467"/>
      <c r="O77" s="1468"/>
      <c r="P77" s="1466"/>
      <c r="Q77" s="1467"/>
    </row>
    <row r="78" spans="1:17">
      <c r="A78" s="1466" t="s">
        <v>90</v>
      </c>
      <c r="B78" s="1468"/>
      <c r="C78" s="1468"/>
      <c r="D78" s="1468"/>
      <c r="E78" s="1467"/>
      <c r="F78" s="1467"/>
      <c r="G78" s="1467"/>
      <c r="H78" s="1467"/>
      <c r="I78" s="1467"/>
      <c r="J78" s="1467"/>
      <c r="K78" s="1467"/>
      <c r="L78" s="1467"/>
      <c r="M78" s="1467"/>
      <c r="N78" s="1467"/>
      <c r="O78" s="1468"/>
      <c r="P78" s="1466"/>
      <c r="Q78" s="1467"/>
    </row>
    <row r="79" spans="1:17">
      <c r="A79" s="1715" t="s">
        <v>209</v>
      </c>
      <c r="B79" s="1468"/>
      <c r="C79" s="1468"/>
      <c r="D79" s="1468"/>
      <c r="E79" s="1467"/>
      <c r="F79" s="1467"/>
      <c r="G79" s="1467"/>
      <c r="H79" s="1467"/>
      <c r="I79" s="1467"/>
      <c r="J79" s="1467"/>
      <c r="K79" s="1467"/>
      <c r="L79" s="1467"/>
      <c r="M79" s="1467"/>
      <c r="N79" s="1467"/>
      <c r="O79" s="1468"/>
      <c r="P79" s="1466"/>
      <c r="Q79" s="1467"/>
    </row>
    <row r="80" spans="1:17">
      <c r="A80" s="1716" t="s">
        <v>92</v>
      </c>
      <c r="B80" s="1468"/>
      <c r="C80" s="1468"/>
      <c r="D80" s="1468"/>
      <c r="E80" s="1467"/>
      <c r="F80" s="1467"/>
      <c r="G80" s="1467"/>
      <c r="H80" s="1467"/>
      <c r="J80" s="1467"/>
      <c r="K80" s="1467"/>
      <c r="L80" s="1467"/>
      <c r="M80" s="1467"/>
      <c r="N80" s="1467"/>
      <c r="O80" s="1468"/>
      <c r="P80" s="1466"/>
      <c r="Q80" s="1717"/>
    </row>
    <row r="81" spans="1:17">
      <c r="A81" s="1466" t="s">
        <v>93</v>
      </c>
      <c r="B81" s="1466"/>
      <c r="C81" s="1466"/>
      <c r="D81" s="1466"/>
      <c r="E81" s="1467"/>
      <c r="F81" s="1467"/>
      <c r="G81" s="1467"/>
      <c r="H81" s="1467"/>
      <c r="K81" s="1467"/>
      <c r="M81" s="1467"/>
      <c r="N81" s="1467"/>
      <c r="O81" s="1468"/>
      <c r="P81" s="1466"/>
    </row>
    <row r="82" spans="1:17">
      <c r="A82" s="1466" t="s">
        <v>94</v>
      </c>
      <c r="B82" s="1466"/>
      <c r="C82" s="1466"/>
      <c r="D82" s="1466"/>
      <c r="E82" s="1467"/>
      <c r="F82" s="1467"/>
      <c r="G82" s="1467"/>
      <c r="H82" s="1467"/>
      <c r="K82" s="1467"/>
      <c r="M82" s="1467"/>
      <c r="N82" s="1467"/>
      <c r="O82" s="1718"/>
      <c r="P82" s="1466"/>
    </row>
    <row r="83" spans="1:17">
      <c r="A83" s="1466" t="s">
        <v>95</v>
      </c>
      <c r="B83" s="1466"/>
      <c r="C83" s="1466"/>
      <c r="D83" s="1466"/>
      <c r="E83" s="1467"/>
      <c r="F83" s="1467"/>
      <c r="G83" s="1467"/>
      <c r="H83" s="1467"/>
      <c r="K83" s="1467"/>
      <c r="L83" s="1467"/>
      <c r="M83" s="1467"/>
      <c r="N83" s="1467"/>
      <c r="O83" s="1468"/>
      <c r="P83" s="1466"/>
    </row>
    <row r="86" spans="1:17">
      <c r="K86" s="1719"/>
    </row>
    <row r="87" spans="1:17">
      <c r="A87" s="1720"/>
      <c r="B87" s="1720"/>
      <c r="C87" s="1720"/>
      <c r="D87" s="1721"/>
      <c r="E87" s="1721"/>
      <c r="F87" s="1721"/>
      <c r="G87" s="1721"/>
      <c r="O87" s="1722"/>
      <c r="P87" s="1722"/>
    </row>
    <row r="88" spans="1:17">
      <c r="D88" s="1722"/>
      <c r="L88" s="1467"/>
      <c r="O88" s="1722"/>
      <c r="P88" s="1722"/>
      <c r="Q88" s="1722"/>
    </row>
    <row r="89" spans="1:17">
      <c r="D89" s="1722"/>
      <c r="L89" s="1467"/>
      <c r="O89" s="1722"/>
      <c r="P89" s="1722"/>
      <c r="Q89" s="1722"/>
    </row>
    <row r="90" spans="1:17">
      <c r="D90" s="1722"/>
      <c r="L90" s="1467"/>
      <c r="O90" s="1722"/>
      <c r="P90" s="1722"/>
      <c r="Q90" s="1722"/>
    </row>
    <row r="91" spans="1:17">
      <c r="D91" s="1722"/>
      <c r="L91" s="1467"/>
      <c r="O91" s="1722"/>
      <c r="P91" s="1722"/>
      <c r="Q91" s="1722"/>
    </row>
    <row r="92" spans="1:17">
      <c r="D92" s="1722"/>
      <c r="O92" s="1722"/>
      <c r="P92" s="1722"/>
      <c r="Q92" s="1722"/>
    </row>
    <row r="93" spans="1:17">
      <c r="D93" s="1722"/>
      <c r="O93" s="1722"/>
      <c r="P93" s="1722"/>
      <c r="Q93" s="1722"/>
    </row>
    <row r="94" spans="1:17">
      <c r="D94" s="1722"/>
      <c r="O94" s="1722"/>
      <c r="P94" s="1722"/>
      <c r="Q94" s="1722"/>
    </row>
    <row r="95" spans="1:17">
      <c r="A95" s="1720"/>
      <c r="B95" s="1720"/>
      <c r="C95" s="1720"/>
      <c r="D95" s="1721"/>
      <c r="E95" s="1721"/>
      <c r="F95" s="1721"/>
      <c r="G95" s="1721"/>
      <c r="O95" s="1722"/>
      <c r="P95" s="1722"/>
      <c r="Q95" s="1722"/>
    </row>
    <row r="96" spans="1:17">
      <c r="D96" s="1722"/>
      <c r="O96" s="1722"/>
      <c r="P96" s="1722"/>
      <c r="Q96" s="1722"/>
    </row>
    <row r="97" spans="4:17">
      <c r="D97" s="1722"/>
      <c r="O97" s="1722"/>
      <c r="P97" s="1722"/>
      <c r="Q97" s="1722"/>
    </row>
    <row r="98" spans="4:17">
      <c r="D98" s="1722"/>
      <c r="O98" s="1722"/>
      <c r="P98" s="1722"/>
      <c r="Q98" s="1722"/>
    </row>
    <row r="99" spans="4:17">
      <c r="D99" s="1722"/>
      <c r="O99" s="1722"/>
      <c r="P99" s="1722"/>
      <c r="Q99" s="1722"/>
    </row>
    <row r="100" spans="4:17">
      <c r="D100" s="1722"/>
      <c r="O100" s="1722"/>
      <c r="P100" s="1722"/>
      <c r="Q100" s="1722"/>
    </row>
    <row r="101" spans="4:17">
      <c r="D101" s="1722"/>
      <c r="O101" s="1722"/>
      <c r="P101" s="1722"/>
      <c r="Q101" s="1722"/>
    </row>
    <row r="102" spans="4:17">
      <c r="D102" s="1722"/>
      <c r="O102" s="1722"/>
      <c r="P102" s="1722"/>
      <c r="Q102" s="1722"/>
    </row>
    <row r="103" spans="4:17">
      <c r="E103" s="1721"/>
      <c r="O103" s="1722"/>
      <c r="P103" s="1722"/>
      <c r="Q103" s="1722"/>
    </row>
  </sheetData>
  <mergeCells count="7">
    <mergeCell ref="A1:O1"/>
    <mergeCell ref="A3:A4"/>
    <mergeCell ref="B3:B4"/>
    <mergeCell ref="C3:C4"/>
    <mergeCell ref="D3:D4"/>
    <mergeCell ref="E3:N3"/>
    <mergeCell ref="O3:O4"/>
  </mergeCells>
  <conditionalFormatting sqref="O6:O70">
    <cfRule type="cellIs" dxfId="5" priority="1" operator="between">
      <formula>0.01</formula>
      <formula>0.99</formula>
    </cfRule>
    <cfRule type="expression" dxfId="4" priority="2">
      <formula>AND($O6&gt;100%,$O6&lt;100%)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D5601-FC72-4C28-8F9C-C96DA6014380}">
  <dimension ref="A1:Q103"/>
  <sheetViews>
    <sheetView workbookViewId="0">
      <selection sqref="A1:XFD1048576"/>
    </sheetView>
  </sheetViews>
  <sheetFormatPr defaultColWidth="9" defaultRowHeight="14.4"/>
  <cols>
    <col min="1" max="1" width="33.88671875" customWidth="1"/>
    <col min="2" max="3" width="12.6640625" customWidth="1"/>
    <col min="4" max="4" width="11.44140625" customWidth="1"/>
    <col min="5" max="14" width="12.109375" customWidth="1"/>
    <col min="15" max="15" width="9.6640625" customWidth="1"/>
  </cols>
  <sheetData>
    <row r="1" spans="1:17" ht="15.6">
      <c r="A1" s="1780" t="s">
        <v>245</v>
      </c>
      <c r="B1" s="1780"/>
      <c r="C1" s="1780"/>
      <c r="D1" s="1780"/>
      <c r="E1" s="1780"/>
      <c r="F1" s="1780"/>
      <c r="G1" s="1780"/>
      <c r="H1" s="1780"/>
      <c r="I1" s="1780"/>
      <c r="J1" s="1780"/>
      <c r="K1" s="1780"/>
      <c r="L1" s="1780"/>
      <c r="M1" s="1780"/>
      <c r="N1" s="1780"/>
      <c r="O1" s="1780"/>
      <c r="P1" s="151"/>
      <c r="Q1" s="221"/>
    </row>
    <row r="2" spans="1:17" ht="15" thickBot="1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152"/>
      <c r="P2" s="2"/>
    </row>
    <row r="3" spans="1:17" ht="27" customHeight="1">
      <c r="A3" s="1784" t="s">
        <v>1</v>
      </c>
      <c r="B3" s="1786" t="s">
        <v>217</v>
      </c>
      <c r="C3" s="1786" t="s">
        <v>246</v>
      </c>
      <c r="D3" s="1788" t="s">
        <v>247</v>
      </c>
      <c r="E3" s="1781" t="s">
        <v>248</v>
      </c>
      <c r="F3" s="1782"/>
      <c r="G3" s="1782"/>
      <c r="H3" s="1782"/>
      <c r="I3" s="1782"/>
      <c r="J3" s="1782"/>
      <c r="K3" s="1782"/>
      <c r="L3" s="1782"/>
      <c r="M3" s="1782"/>
      <c r="N3" s="1783"/>
      <c r="O3" s="1790" t="s">
        <v>249</v>
      </c>
      <c r="P3" s="154"/>
    </row>
    <row r="4" spans="1:17" ht="28.2" thickBot="1">
      <c r="A4" s="1785"/>
      <c r="B4" s="1787"/>
      <c r="C4" s="1787"/>
      <c r="D4" s="1789"/>
      <c r="E4" s="6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155" t="s">
        <v>12</v>
      </c>
      <c r="K4" s="156" t="s">
        <v>13</v>
      </c>
      <c r="L4" s="156" t="s">
        <v>14</v>
      </c>
      <c r="M4" s="157" t="s">
        <v>15</v>
      </c>
      <c r="N4" s="158" t="s">
        <v>16</v>
      </c>
      <c r="O4" s="1791"/>
      <c r="P4" s="154"/>
    </row>
    <row r="5" spans="1:17" ht="15.6">
      <c r="A5" s="8"/>
      <c r="B5" s="9"/>
      <c r="C5" s="9"/>
      <c r="D5" s="10"/>
      <c r="E5" s="11"/>
      <c r="F5" s="12"/>
      <c r="G5" s="12"/>
      <c r="H5" s="12"/>
      <c r="I5" s="12"/>
      <c r="J5" s="160"/>
      <c r="K5" s="12"/>
      <c r="L5" s="12"/>
      <c r="M5" s="160"/>
      <c r="N5" s="161"/>
      <c r="O5" s="162"/>
      <c r="P5" s="154"/>
    </row>
    <row r="6" spans="1:17">
      <c r="A6" s="13" t="s">
        <v>222</v>
      </c>
      <c r="B6" s="1792">
        <f t="shared" ref="B6:N6" si="0">SUM(B7:B26)</f>
        <v>8323043</v>
      </c>
      <c r="C6" s="1792">
        <f t="shared" si="0"/>
        <v>3176808</v>
      </c>
      <c r="D6" s="1792">
        <f t="shared" si="0"/>
        <v>3527831</v>
      </c>
      <c r="E6" s="1793">
        <f t="shared" si="0"/>
        <v>732347</v>
      </c>
      <c r="F6" s="1792">
        <f t="shared" si="0"/>
        <v>199621</v>
      </c>
      <c r="G6" s="1792">
        <f t="shared" si="0"/>
        <v>196893</v>
      </c>
      <c r="H6" s="1792">
        <f t="shared" si="0"/>
        <v>31613</v>
      </c>
      <c r="I6" s="1792">
        <f t="shared" si="0"/>
        <v>35899</v>
      </c>
      <c r="J6" s="1792">
        <f t="shared" si="0"/>
        <v>644</v>
      </c>
      <c r="K6" s="1792">
        <f t="shared" si="0"/>
        <v>68199</v>
      </c>
      <c r="L6" s="1792">
        <f t="shared" si="0"/>
        <v>64905</v>
      </c>
      <c r="M6" s="1792">
        <f t="shared" si="0"/>
        <v>5017</v>
      </c>
      <c r="N6" s="1794">
        <f t="shared" si="0"/>
        <v>13841</v>
      </c>
      <c r="O6" s="1795">
        <f t="shared" ref="O6:O11" si="1">+D6/C6</f>
        <v>1.1104955036627961</v>
      </c>
      <c r="P6" s="165"/>
      <c r="Q6" s="197"/>
    </row>
    <row r="7" spans="1:17">
      <c r="A7" s="18" t="s">
        <v>178</v>
      </c>
      <c r="B7" s="1796">
        <v>0</v>
      </c>
      <c r="C7" s="19"/>
      <c r="D7" s="1797">
        <v>0</v>
      </c>
      <c r="E7" s="1798">
        <v>0</v>
      </c>
      <c r="F7" s="1799">
        <v>0</v>
      </c>
      <c r="G7" s="1799">
        <v>0</v>
      </c>
      <c r="H7" s="1799">
        <v>0</v>
      </c>
      <c r="I7" s="1799">
        <v>0</v>
      </c>
      <c r="J7" s="1799">
        <v>0</v>
      </c>
      <c r="K7" s="51"/>
      <c r="L7" s="51"/>
      <c r="M7" s="51"/>
      <c r="N7" s="166"/>
      <c r="O7" s="1795"/>
      <c r="P7" s="165"/>
      <c r="Q7" s="2"/>
    </row>
    <row r="8" spans="1:17">
      <c r="A8" s="1448" t="s">
        <v>250</v>
      </c>
      <c r="B8" s="1800"/>
      <c r="C8" s="393"/>
      <c r="D8" s="1797">
        <v>0</v>
      </c>
      <c r="E8" s="1798">
        <v>0</v>
      </c>
      <c r="F8" s="1799">
        <v>0</v>
      </c>
      <c r="G8" s="1799">
        <v>0</v>
      </c>
      <c r="H8" s="1799">
        <v>0</v>
      </c>
      <c r="I8" s="1799">
        <v>0</v>
      </c>
      <c r="J8" s="1799">
        <v>0</v>
      </c>
      <c r="K8" s="168"/>
      <c r="L8" s="168"/>
      <c r="M8" s="168"/>
      <c r="N8" s="169"/>
      <c r="O8" s="1795"/>
      <c r="P8" s="170"/>
      <c r="Q8" s="2"/>
    </row>
    <row r="9" spans="1:17">
      <c r="A9" s="18" t="s">
        <v>180</v>
      </c>
      <c r="B9" s="1800">
        <f>195272+119565+111251+124577+111240+113765+121727+107555+127919+124121+129654</f>
        <v>1386646</v>
      </c>
      <c r="C9" s="89">
        <v>550665</v>
      </c>
      <c r="D9" s="1801">
        <f>129474+89046+106923+132055+117406</f>
        <v>574904</v>
      </c>
      <c r="E9" s="1802">
        <f t="shared" ref="E9:E14" si="2">SUM(F9:J9)</f>
        <v>117406</v>
      </c>
      <c r="F9" s="1803">
        <v>43880</v>
      </c>
      <c r="G9" s="1803">
        <v>42306</v>
      </c>
      <c r="H9" s="1803">
        <v>15448</v>
      </c>
      <c r="I9" s="1803">
        <v>15772</v>
      </c>
      <c r="J9" s="1804"/>
      <c r="K9" s="51"/>
      <c r="L9" s="51"/>
      <c r="M9" s="51"/>
      <c r="N9" s="166"/>
      <c r="O9" s="1795">
        <f t="shared" si="1"/>
        <v>1.0440176877048659</v>
      </c>
      <c r="P9" s="172"/>
      <c r="Q9" s="222"/>
    </row>
    <row r="10" spans="1:17">
      <c r="A10" s="25" t="s">
        <v>181</v>
      </c>
      <c r="B10" s="1805">
        <f>194433+49476</f>
        <v>243909</v>
      </c>
      <c r="C10" s="1806">
        <v>16566</v>
      </c>
      <c r="D10" s="1807">
        <f>55403+31061+41447+44980+59665</f>
        <v>232556</v>
      </c>
      <c r="E10" s="1808">
        <f t="shared" si="2"/>
        <v>59665</v>
      </c>
      <c r="F10" s="1809">
        <v>31108</v>
      </c>
      <c r="G10" s="1809">
        <v>28551</v>
      </c>
      <c r="H10" s="1810">
        <v>0</v>
      </c>
      <c r="I10" s="1810">
        <v>0</v>
      </c>
      <c r="J10" s="1809">
        <v>6</v>
      </c>
      <c r="K10" s="173">
        <v>11641</v>
      </c>
      <c r="L10" s="173">
        <f>13170+3023</f>
        <v>16193</v>
      </c>
      <c r="M10" s="173">
        <v>865</v>
      </c>
      <c r="N10" s="1811">
        <v>1712</v>
      </c>
      <c r="O10" s="1795"/>
      <c r="P10" s="172"/>
      <c r="Q10" s="222"/>
    </row>
    <row r="11" spans="1:17">
      <c r="A11" s="18" t="s">
        <v>21</v>
      </c>
      <c r="B11" s="393">
        <f>131015+78250+105874+111968+99207+123596+111773+110146+91651+118422+115294+111602</f>
        <v>1308798</v>
      </c>
      <c r="C11" s="89">
        <v>521849</v>
      </c>
      <c r="D11" s="1812">
        <f>123477+92455+106019+117303+109112</f>
        <v>548366</v>
      </c>
      <c r="E11" s="1808">
        <f t="shared" si="2"/>
        <v>109112</v>
      </c>
      <c r="F11" s="1813">
        <v>50926</v>
      </c>
      <c r="G11" s="1813">
        <v>58114</v>
      </c>
      <c r="H11" s="1810">
        <v>0</v>
      </c>
      <c r="I11" s="1810">
        <v>0</v>
      </c>
      <c r="J11" s="1810">
        <v>72</v>
      </c>
      <c r="K11" s="168">
        <v>11960</v>
      </c>
      <c r="L11" s="168">
        <f>17434+7367+43</f>
        <v>24844</v>
      </c>
      <c r="M11" s="175">
        <v>0</v>
      </c>
      <c r="N11" s="166"/>
      <c r="O11" s="1795">
        <f t="shared" si="1"/>
        <v>1.050813549513365</v>
      </c>
      <c r="P11" s="170"/>
      <c r="Q11" s="222"/>
    </row>
    <row r="12" spans="1:17">
      <c r="A12" s="18" t="s">
        <v>22</v>
      </c>
      <c r="B12" s="1800"/>
      <c r="C12" s="89"/>
      <c r="D12" s="1814"/>
      <c r="E12" s="1802">
        <f t="shared" si="2"/>
        <v>0</v>
      </c>
      <c r="F12" s="1803"/>
      <c r="G12" s="1803"/>
      <c r="H12" s="1803"/>
      <c r="I12" s="1803"/>
      <c r="J12" s="227"/>
      <c r="K12" s="168"/>
      <c r="L12" s="168"/>
      <c r="M12" s="168"/>
      <c r="N12" s="169"/>
      <c r="O12" s="1795"/>
      <c r="P12" s="172"/>
      <c r="Q12" s="222"/>
    </row>
    <row r="13" spans="1:17">
      <c r="A13" s="18" t="s">
        <v>182</v>
      </c>
      <c r="B13" s="1800">
        <f>74332+41587+36538+49878+32546+31277+34151+28168+37725+30539+35982</f>
        <v>432723</v>
      </c>
      <c r="C13" s="89">
        <v>202335</v>
      </c>
      <c r="D13" s="1814">
        <f>36880+26026+37227+40163+36676</f>
        <v>176972</v>
      </c>
      <c r="E13" s="1802">
        <f t="shared" si="2"/>
        <v>36676</v>
      </c>
      <c r="F13" s="1815">
        <v>18367</v>
      </c>
      <c r="G13" s="1815">
        <v>15888</v>
      </c>
      <c r="H13" s="1815">
        <v>1141</v>
      </c>
      <c r="I13" s="1815">
        <v>1280</v>
      </c>
      <c r="J13" s="1815">
        <v>0</v>
      </c>
      <c r="K13" s="1816">
        <v>10704</v>
      </c>
      <c r="L13" s="1816">
        <f>198+6450+388+138</f>
        <v>7174</v>
      </c>
      <c r="M13" s="175">
        <v>0</v>
      </c>
      <c r="N13" s="175">
        <v>0</v>
      </c>
      <c r="O13" s="1795">
        <f t="shared" ref="O13:O25" si="3">+D13/C13</f>
        <v>0.87464847900758647</v>
      </c>
      <c r="P13" s="170"/>
      <c r="Q13" s="222"/>
    </row>
    <row r="14" spans="1:17">
      <c r="A14" s="35" t="s">
        <v>25</v>
      </c>
      <c r="B14" s="1800">
        <f>1255391+108887+133144</f>
        <v>1497422</v>
      </c>
      <c r="C14" s="89">
        <v>611461</v>
      </c>
      <c r="D14" s="1801">
        <f>121167+93579+112818+116687+117872</f>
        <v>562123</v>
      </c>
      <c r="E14" s="1802">
        <f t="shared" si="2"/>
        <v>117872</v>
      </c>
      <c r="F14" s="1817">
        <v>55340</v>
      </c>
      <c r="G14" s="1817">
        <v>52034</v>
      </c>
      <c r="H14" s="1817">
        <v>4103</v>
      </c>
      <c r="I14" s="1817">
        <v>5829</v>
      </c>
      <c r="J14" s="1809">
        <v>566</v>
      </c>
      <c r="K14" s="176">
        <v>27875</v>
      </c>
      <c r="L14" s="176">
        <f>4409+9513+643+840</f>
        <v>15405</v>
      </c>
      <c r="M14" s="176">
        <v>4152</v>
      </c>
      <c r="N14" s="177">
        <v>12129</v>
      </c>
      <c r="O14" s="1795">
        <f t="shared" si="3"/>
        <v>0.91931128886388502</v>
      </c>
      <c r="P14" s="170"/>
      <c r="Q14" s="222"/>
    </row>
    <row r="15" spans="1:17">
      <c r="A15" s="18" t="s">
        <v>26</v>
      </c>
      <c r="B15" s="1800"/>
      <c r="C15" s="89">
        <v>19932</v>
      </c>
      <c r="D15" s="1801"/>
      <c r="E15" s="1802"/>
      <c r="F15" s="1803"/>
      <c r="G15" s="1803"/>
      <c r="H15" s="1803"/>
      <c r="I15" s="1803"/>
      <c r="J15" s="227"/>
      <c r="K15" s="51"/>
      <c r="L15" s="168"/>
      <c r="M15" s="168"/>
      <c r="N15" s="169"/>
      <c r="O15" s="1795"/>
      <c r="P15" s="178"/>
      <c r="Q15" s="222"/>
    </row>
    <row r="16" spans="1:17">
      <c r="A16" s="18" t="s">
        <v>27</v>
      </c>
      <c r="B16" s="1800">
        <v>0</v>
      </c>
      <c r="C16" s="89"/>
      <c r="D16" s="1801"/>
      <c r="E16" s="1802"/>
      <c r="F16" s="1803"/>
      <c r="G16" s="1803"/>
      <c r="H16" s="1803"/>
      <c r="I16" s="1803"/>
      <c r="J16" s="227"/>
      <c r="K16" s="51"/>
      <c r="L16" s="51"/>
      <c r="M16" s="168"/>
      <c r="N16" s="169"/>
      <c r="O16" s="1795"/>
      <c r="P16" s="178"/>
      <c r="Q16" s="222"/>
    </row>
    <row r="17" spans="1:17" ht="15" thickBot="1">
      <c r="A17" s="37" t="s">
        <v>28</v>
      </c>
      <c r="B17" s="1818">
        <f>19907+16036+17100+18000+13965+16816+21546+15500+19650+16189+17500</f>
        <v>192209</v>
      </c>
      <c r="C17" s="1819">
        <v>71043</v>
      </c>
      <c r="D17" s="1820">
        <f>23800+13403+20181+20068+20579</f>
        <v>98031</v>
      </c>
      <c r="E17" s="1821">
        <v>20579</v>
      </c>
      <c r="F17" s="1822"/>
      <c r="G17" s="1822"/>
      <c r="H17" s="1822"/>
      <c r="I17" s="1822"/>
      <c r="J17" s="1822"/>
      <c r="K17" s="179"/>
      <c r="L17" s="179"/>
      <c r="M17" s="179"/>
      <c r="N17" s="180"/>
      <c r="O17" s="1823">
        <f t="shared" si="3"/>
        <v>1.3798826063088552</v>
      </c>
      <c r="P17" s="182"/>
      <c r="Q17" s="223"/>
    </row>
    <row r="18" spans="1:17">
      <c r="A18" s="42" t="s">
        <v>29</v>
      </c>
      <c r="B18" s="1824">
        <v>685261</v>
      </c>
      <c r="C18" s="1825">
        <v>256063</v>
      </c>
      <c r="D18" s="1826">
        <f>33488+56615+52928+57205+52042</f>
        <v>252278</v>
      </c>
      <c r="E18" s="1827">
        <v>52042</v>
      </c>
      <c r="F18" s="46"/>
      <c r="G18" s="46"/>
      <c r="H18" s="46"/>
      <c r="I18" s="46"/>
      <c r="J18" s="46"/>
      <c r="K18" s="46"/>
      <c r="L18" s="46"/>
      <c r="M18" s="46"/>
      <c r="N18" s="183"/>
      <c r="O18" s="1828">
        <f t="shared" si="3"/>
        <v>0.98521848138934565</v>
      </c>
      <c r="P18" s="185"/>
      <c r="Q18" s="185"/>
    </row>
    <row r="19" spans="1:17">
      <c r="A19" s="47" t="s">
        <v>30</v>
      </c>
      <c r="B19" s="1829">
        <v>250606</v>
      </c>
      <c r="C19" s="1830">
        <v>109273</v>
      </c>
      <c r="D19" s="1831">
        <f>18293+22696+22549+22603+20356</f>
        <v>106497</v>
      </c>
      <c r="E19" s="1832">
        <v>20356</v>
      </c>
      <c r="F19" s="51"/>
      <c r="G19" s="51"/>
      <c r="H19" s="51"/>
      <c r="I19" s="51"/>
      <c r="J19" s="51"/>
      <c r="K19" s="51"/>
      <c r="L19" s="51"/>
      <c r="M19" s="51"/>
      <c r="N19" s="166"/>
      <c r="O19" s="1795">
        <f t="shared" si="3"/>
        <v>0.97459573728185367</v>
      </c>
      <c r="P19" s="186"/>
      <c r="Q19" s="152"/>
    </row>
    <row r="20" spans="1:17">
      <c r="A20" s="47" t="s">
        <v>31</v>
      </c>
      <c r="B20" s="1829">
        <v>66447</v>
      </c>
      <c r="C20" s="1830">
        <v>28414</v>
      </c>
      <c r="D20" s="1831">
        <f>4583+5222+5122+4437+4747</f>
        <v>24111</v>
      </c>
      <c r="E20" s="1832">
        <v>4747</v>
      </c>
      <c r="F20" s="51"/>
      <c r="G20" s="51"/>
      <c r="H20" s="51"/>
      <c r="I20" s="51"/>
      <c r="J20" s="51"/>
      <c r="K20" s="51"/>
      <c r="L20" s="51"/>
      <c r="M20" s="51"/>
      <c r="N20" s="166"/>
      <c r="O20" s="1795">
        <f t="shared" si="3"/>
        <v>0.84856056873372276</v>
      </c>
      <c r="P20" s="187"/>
      <c r="Q20" s="2"/>
    </row>
    <row r="21" spans="1:17">
      <c r="A21" s="47" t="s">
        <v>32</v>
      </c>
      <c r="B21" s="1829">
        <v>450014</v>
      </c>
      <c r="C21" s="1830">
        <v>195083</v>
      </c>
      <c r="D21" s="1831">
        <f>22615+31008+29908+32514+35701</f>
        <v>151746</v>
      </c>
      <c r="E21" s="1832">
        <v>35701</v>
      </c>
      <c r="F21" s="51"/>
      <c r="G21" s="51"/>
      <c r="H21" s="51"/>
      <c r="I21" s="51"/>
      <c r="J21" s="51"/>
      <c r="K21" s="51"/>
      <c r="L21" s="51"/>
      <c r="M21" s="51"/>
      <c r="N21" s="166"/>
      <c r="O21" s="1795">
        <f t="shared" si="3"/>
        <v>0.77785352901072879</v>
      </c>
      <c r="P21" s="187"/>
      <c r="Q21" s="2"/>
    </row>
    <row r="22" spans="1:17">
      <c r="A22" s="47" t="s">
        <v>33</v>
      </c>
      <c r="B22" s="1829">
        <v>144643</v>
      </c>
      <c r="C22" s="1830">
        <v>62510</v>
      </c>
      <c r="D22" s="1831">
        <f>9227+13630+12419+10791+7328</f>
        <v>53395</v>
      </c>
      <c r="E22" s="1832">
        <v>7328</v>
      </c>
      <c r="F22" s="51"/>
      <c r="G22" s="51"/>
      <c r="H22" s="51"/>
      <c r="I22" s="51"/>
      <c r="J22" s="51"/>
      <c r="K22" s="51"/>
      <c r="L22" s="51"/>
      <c r="M22" s="51"/>
      <c r="N22" s="166"/>
      <c r="O22" s="1795">
        <f t="shared" si="3"/>
        <v>0.85418333066709329</v>
      </c>
      <c r="P22" s="187"/>
      <c r="Q22" s="2"/>
    </row>
    <row r="23" spans="1:17">
      <c r="A23" s="47" t="s">
        <v>34</v>
      </c>
      <c r="B23" s="1829">
        <v>418181</v>
      </c>
      <c r="C23" s="1830">
        <v>128792</v>
      </c>
      <c r="D23" s="1831">
        <f>28224+52313+51566+43573+42922</f>
        <v>218598</v>
      </c>
      <c r="E23" s="1832">
        <v>42922</v>
      </c>
      <c r="F23" s="51"/>
      <c r="G23" s="51"/>
      <c r="H23" s="51"/>
      <c r="I23" s="51"/>
      <c r="J23" s="51"/>
      <c r="K23" s="51"/>
      <c r="L23" s="51"/>
      <c r="M23" s="51"/>
      <c r="N23" s="166"/>
      <c r="O23" s="1795">
        <f t="shared" si="3"/>
        <v>1.6972948630349711</v>
      </c>
      <c r="P23" s="187"/>
      <c r="Q23" s="2"/>
    </row>
    <row r="24" spans="1:17">
      <c r="A24" s="53" t="s">
        <v>35</v>
      </c>
      <c r="B24" s="1829">
        <v>154824</v>
      </c>
      <c r="C24" s="1830">
        <v>82918</v>
      </c>
      <c r="D24" s="1831">
        <f>7472+11209+10455+11084+11970</f>
        <v>52190</v>
      </c>
      <c r="E24" s="1832">
        <v>11970</v>
      </c>
      <c r="F24" s="51"/>
      <c r="G24" s="51"/>
      <c r="H24" s="51"/>
      <c r="I24" s="51"/>
      <c r="J24" s="51"/>
      <c r="K24" s="51"/>
      <c r="L24" s="51"/>
      <c r="M24" s="51"/>
      <c r="N24" s="166"/>
      <c r="O24" s="1795">
        <f t="shared" si="3"/>
        <v>0.62941701439976849</v>
      </c>
      <c r="P24" s="187"/>
      <c r="Q24" s="2"/>
    </row>
    <row r="25" spans="1:17">
      <c r="A25" s="53" t="s">
        <v>184</v>
      </c>
      <c r="B25" s="1829">
        <v>820504</v>
      </c>
      <c r="C25" s="1830">
        <v>209628</v>
      </c>
      <c r="D25" s="1833">
        <f>64416+76783+76675+76451+72032</f>
        <v>366357</v>
      </c>
      <c r="E25" s="1834">
        <v>72032</v>
      </c>
      <c r="F25" s="51"/>
      <c r="G25" s="51"/>
      <c r="H25" s="51"/>
      <c r="I25" s="51"/>
      <c r="J25" s="51"/>
      <c r="K25" s="51"/>
      <c r="L25" s="51"/>
      <c r="M25" s="51"/>
      <c r="N25" s="166"/>
      <c r="O25" s="1795">
        <f t="shared" si="3"/>
        <v>1.7476529852882248</v>
      </c>
      <c r="P25" s="187"/>
      <c r="Q25" s="2"/>
    </row>
    <row r="26" spans="1:17">
      <c r="A26" s="56" t="s">
        <v>142</v>
      </c>
      <c r="B26" s="1835">
        <f>225080+20763+25013</f>
        <v>270856</v>
      </c>
      <c r="C26" s="1836">
        <v>110276</v>
      </c>
      <c r="D26" s="1837">
        <f>21847+15575+21563+26783+23939</f>
        <v>109707</v>
      </c>
      <c r="E26" s="1838">
        <f t="shared" ref="E26:E30" si="4">SUM(F26:J26)</f>
        <v>23939</v>
      </c>
      <c r="F26" s="1839">
        <v>0</v>
      </c>
      <c r="G26" s="1839">
        <v>0</v>
      </c>
      <c r="H26" s="1840">
        <v>10921</v>
      </c>
      <c r="I26" s="1840">
        <v>13018</v>
      </c>
      <c r="J26" s="1841">
        <v>0</v>
      </c>
      <c r="K26" s="1842">
        <v>6019</v>
      </c>
      <c r="L26" s="1842">
        <f>113+1176</f>
        <v>1289</v>
      </c>
      <c r="M26" s="1843">
        <v>0</v>
      </c>
      <c r="N26" s="1844">
        <v>0</v>
      </c>
      <c r="O26" s="1795" t="e">
        <f>+D26/C27</f>
        <v>#DIV/0!</v>
      </c>
      <c r="P26" s="187"/>
      <c r="Q26" s="2"/>
    </row>
    <row r="27" spans="1:17">
      <c r="A27" s="68"/>
      <c r="B27" s="69"/>
      <c r="C27" s="1160"/>
      <c r="D27" s="70"/>
      <c r="E27" s="71"/>
      <c r="F27" s="51"/>
      <c r="G27" s="51"/>
      <c r="H27" s="51"/>
      <c r="I27" s="51"/>
      <c r="J27" s="51"/>
      <c r="K27" s="51"/>
      <c r="L27" s="51"/>
      <c r="M27" s="51"/>
      <c r="N27" s="166"/>
      <c r="O27" s="1795"/>
      <c r="P27" s="187"/>
      <c r="Q27" s="2"/>
    </row>
    <row r="28" spans="1:17">
      <c r="A28" s="72" t="s">
        <v>223</v>
      </c>
      <c r="B28" s="1845">
        <f t="shared" ref="B28:N28" si="5">SUM(B29:B31)</f>
        <v>115478</v>
      </c>
      <c r="C28" s="1845">
        <f t="shared" si="5"/>
        <v>23133</v>
      </c>
      <c r="D28" s="1845">
        <f t="shared" si="5"/>
        <v>62235</v>
      </c>
      <c r="E28" s="1845">
        <f t="shared" si="5"/>
        <v>11389</v>
      </c>
      <c r="F28" s="1845">
        <f t="shared" si="5"/>
        <v>0</v>
      </c>
      <c r="G28" s="1845">
        <f t="shared" si="5"/>
        <v>0</v>
      </c>
      <c r="H28" s="1845">
        <f t="shared" si="5"/>
        <v>5725</v>
      </c>
      <c r="I28" s="1845">
        <f t="shared" si="5"/>
        <v>5664</v>
      </c>
      <c r="J28" s="1845">
        <f t="shared" si="5"/>
        <v>0</v>
      </c>
      <c r="K28" s="1845">
        <f t="shared" si="5"/>
        <v>5767</v>
      </c>
      <c r="L28" s="1845">
        <f t="shared" si="5"/>
        <v>4030</v>
      </c>
      <c r="M28" s="1845">
        <f t="shared" si="5"/>
        <v>0</v>
      </c>
      <c r="N28" s="1845">
        <f t="shared" si="5"/>
        <v>6339</v>
      </c>
      <c r="O28" s="1795">
        <f t="shared" ref="O28:O31" si="6">+D28/C28</f>
        <v>2.6903125405265205</v>
      </c>
      <c r="P28" s="192"/>
      <c r="Q28" s="197"/>
    </row>
    <row r="29" spans="1:17">
      <c r="A29" s="18" t="s">
        <v>186</v>
      </c>
      <c r="B29" s="1846">
        <f>51295+3304</f>
        <v>54599</v>
      </c>
      <c r="C29" s="270">
        <v>23133</v>
      </c>
      <c r="D29" s="1847">
        <f>4330+4738+5566+5588+5050</f>
        <v>25272</v>
      </c>
      <c r="E29" s="1802">
        <f t="shared" si="4"/>
        <v>5050</v>
      </c>
      <c r="F29" s="1848">
        <v>0</v>
      </c>
      <c r="G29" s="1848">
        <v>0</v>
      </c>
      <c r="H29" s="1849">
        <v>2276</v>
      </c>
      <c r="I29" s="1849">
        <v>2774</v>
      </c>
      <c r="J29" s="1848">
        <v>0</v>
      </c>
      <c r="K29" s="168">
        <v>2628</v>
      </c>
      <c r="L29" s="168">
        <f>1678+31</f>
        <v>1709</v>
      </c>
      <c r="M29" s="175">
        <v>0</v>
      </c>
      <c r="N29" s="1811">
        <v>0</v>
      </c>
      <c r="O29" s="1795">
        <f t="shared" si="6"/>
        <v>1.0924653092984049</v>
      </c>
      <c r="P29" s="193"/>
      <c r="Q29" s="2"/>
    </row>
    <row r="30" spans="1:17">
      <c r="A30" s="18" t="s">
        <v>149</v>
      </c>
      <c r="B30" s="1846">
        <f>47524+6447+6908</f>
        <v>60879</v>
      </c>
      <c r="C30" s="78"/>
      <c r="D30" s="1847">
        <f>7369+6670+5687+8761+6339</f>
        <v>34826</v>
      </c>
      <c r="E30" s="1808">
        <f t="shared" si="4"/>
        <v>6339</v>
      </c>
      <c r="F30" s="1848">
        <v>0</v>
      </c>
      <c r="G30" s="1848">
        <v>0</v>
      </c>
      <c r="H30" s="1849">
        <v>3449</v>
      </c>
      <c r="I30" s="1849">
        <v>2890</v>
      </c>
      <c r="J30" s="1848">
        <v>0</v>
      </c>
      <c r="K30" s="168">
        <v>3139</v>
      </c>
      <c r="L30" s="168">
        <f>2321</f>
        <v>2321</v>
      </c>
      <c r="M30" s="175">
        <v>0</v>
      </c>
      <c r="N30" s="169">
        <v>6339</v>
      </c>
      <c r="O30" s="1795" t="e">
        <f t="shared" si="6"/>
        <v>#DIV/0!</v>
      </c>
      <c r="P30" s="193"/>
      <c r="Q30" s="2"/>
    </row>
    <row r="31" spans="1:17">
      <c r="A31" s="18" t="s">
        <v>244</v>
      </c>
      <c r="B31" s="1846"/>
      <c r="C31" s="78"/>
      <c r="D31" s="1847">
        <v>2137</v>
      </c>
      <c r="E31" s="1850">
        <v>0</v>
      </c>
      <c r="F31" s="1848">
        <v>0</v>
      </c>
      <c r="G31" s="1848">
        <v>0</v>
      </c>
      <c r="H31" s="1848">
        <v>0</v>
      </c>
      <c r="I31" s="1848">
        <v>0</v>
      </c>
      <c r="J31" s="1848">
        <v>0</v>
      </c>
      <c r="K31" s="168"/>
      <c r="L31" s="168"/>
      <c r="M31" s="175"/>
      <c r="N31" s="169"/>
      <c r="O31" s="1795" t="e">
        <f t="shared" si="6"/>
        <v>#DIV/0!</v>
      </c>
      <c r="P31" s="193"/>
      <c r="Q31" s="2"/>
    </row>
    <row r="32" spans="1:17">
      <c r="A32" s="18"/>
      <c r="B32" s="1846"/>
      <c r="C32" s="78"/>
      <c r="D32" s="1847"/>
      <c r="E32" s="1808"/>
      <c r="F32" s="1848"/>
      <c r="G32" s="1848"/>
      <c r="H32" s="1849"/>
      <c r="I32" s="1849"/>
      <c r="J32" s="1848"/>
      <c r="K32" s="168"/>
      <c r="L32" s="168"/>
      <c r="M32" s="51"/>
      <c r="N32" s="169"/>
      <c r="O32" s="1795"/>
      <c r="P32" s="193"/>
      <c r="Q32" s="2"/>
    </row>
    <row r="33" spans="1:17">
      <c r="A33" s="72" t="s">
        <v>224</v>
      </c>
      <c r="B33" s="73">
        <f t="shared" ref="B33:N33" si="7">SUM(B34:B36)</f>
        <v>1031853</v>
      </c>
      <c r="C33" s="73">
        <f t="shared" si="7"/>
        <v>414049</v>
      </c>
      <c r="D33" s="73">
        <f t="shared" si="7"/>
        <v>478131</v>
      </c>
      <c r="E33" s="73">
        <f t="shared" si="7"/>
        <v>88820</v>
      </c>
      <c r="F33" s="73">
        <f t="shared" si="7"/>
        <v>31159</v>
      </c>
      <c r="G33" s="73">
        <f t="shared" si="7"/>
        <v>39261</v>
      </c>
      <c r="H33" s="73">
        <f t="shared" si="7"/>
        <v>11107</v>
      </c>
      <c r="I33" s="73">
        <f t="shared" si="7"/>
        <v>7293</v>
      </c>
      <c r="J33" s="73">
        <f t="shared" si="7"/>
        <v>0</v>
      </c>
      <c r="K33" s="73">
        <f t="shared" si="7"/>
        <v>16054</v>
      </c>
      <c r="L33" s="73">
        <f t="shared" si="7"/>
        <v>19777</v>
      </c>
      <c r="M33" s="73">
        <f t="shared" si="7"/>
        <v>0</v>
      </c>
      <c r="N33" s="73">
        <f t="shared" si="7"/>
        <v>0</v>
      </c>
      <c r="O33" s="1795">
        <f>+D33/C33</f>
        <v>1.1547691215290943</v>
      </c>
      <c r="P33" s="193"/>
      <c r="Q33" s="2"/>
    </row>
    <row r="34" spans="1:17">
      <c r="A34" s="80" t="s">
        <v>188</v>
      </c>
      <c r="B34" s="1846">
        <f>122864+65834+68474+77377+68757+73572+78703+65592+72568+68867+84388</f>
        <v>846996</v>
      </c>
      <c r="C34" s="1056">
        <v>334549</v>
      </c>
      <c r="D34" s="1851">
        <f>85261+65541+78006+78867+74414</f>
        <v>382089</v>
      </c>
      <c r="E34" s="1802">
        <f>SUM(F34:J34)</f>
        <v>74414</v>
      </c>
      <c r="F34" s="1852">
        <v>27332</v>
      </c>
      <c r="G34" s="1852">
        <v>31830</v>
      </c>
      <c r="H34" s="1852">
        <v>8411</v>
      </c>
      <c r="I34" s="1852">
        <v>6841</v>
      </c>
      <c r="J34" s="1848">
        <v>0</v>
      </c>
      <c r="K34" s="51">
        <v>14212</v>
      </c>
      <c r="L34" s="51">
        <f>3079+5211+2626+4694</f>
        <v>15610</v>
      </c>
      <c r="M34" s="175">
        <v>0</v>
      </c>
      <c r="N34" s="1811">
        <v>0</v>
      </c>
      <c r="O34" s="1795">
        <f>+D34/C34</f>
        <v>1.1421017548998802</v>
      </c>
      <c r="P34" s="2"/>
      <c r="Q34" s="2"/>
    </row>
    <row r="35" spans="1:17">
      <c r="A35" s="80" t="s">
        <v>189</v>
      </c>
      <c r="B35" s="1853">
        <f>35860+15843+15535+12262+10916+12135+12744+11821+20642+15465+21634</f>
        <v>184857</v>
      </c>
      <c r="C35" s="1854">
        <v>79500</v>
      </c>
      <c r="D35" s="1855">
        <f>23007+21398+17021+20210+14406</f>
        <v>96042</v>
      </c>
      <c r="E35" s="1802">
        <f>SUM(F35:J35)</f>
        <v>14406</v>
      </c>
      <c r="F35" s="1856">
        <v>3827</v>
      </c>
      <c r="G35" s="1852">
        <v>7431</v>
      </c>
      <c r="H35" s="1852">
        <v>2696</v>
      </c>
      <c r="I35" s="1852">
        <v>452</v>
      </c>
      <c r="J35" s="1848">
        <v>0</v>
      </c>
      <c r="K35" s="51">
        <v>1842</v>
      </c>
      <c r="L35" s="51">
        <f>976+136+2647+408</f>
        <v>4167</v>
      </c>
      <c r="M35" s="175">
        <v>0</v>
      </c>
      <c r="N35" s="1811">
        <v>0</v>
      </c>
      <c r="O35" s="1795">
        <f>+D35/C35</f>
        <v>1.2080754716981132</v>
      </c>
      <c r="P35" s="2"/>
      <c r="Q35" s="2"/>
    </row>
    <row r="36" spans="1:17">
      <c r="A36" s="80" t="s">
        <v>215</v>
      </c>
      <c r="B36" s="1796">
        <v>0</v>
      </c>
      <c r="C36" s="89">
        <v>0</v>
      </c>
      <c r="D36" s="1797">
        <v>0</v>
      </c>
      <c r="E36" s="1798">
        <v>0</v>
      </c>
      <c r="F36" s="1799"/>
      <c r="G36" s="1799"/>
      <c r="H36" s="1799"/>
      <c r="I36" s="1799"/>
      <c r="J36" s="1857"/>
      <c r="K36" s="168"/>
      <c r="L36" s="168"/>
      <c r="M36" s="168"/>
      <c r="N36" s="169"/>
      <c r="O36" s="1795" t="e">
        <f>+D36/C36</f>
        <v>#DIV/0!</v>
      </c>
      <c r="P36" s="2"/>
      <c r="Q36" s="2"/>
    </row>
    <row r="37" spans="1:17">
      <c r="A37" s="87"/>
      <c r="B37" s="88"/>
      <c r="C37" s="89"/>
      <c r="D37" s="90"/>
      <c r="E37" s="91"/>
      <c r="F37" s="92"/>
      <c r="G37" s="92"/>
      <c r="H37" s="92"/>
      <c r="I37" s="92"/>
      <c r="J37" s="92"/>
      <c r="K37" s="194"/>
      <c r="L37" s="194"/>
      <c r="M37" s="194"/>
      <c r="N37" s="195"/>
      <c r="O37" s="1795"/>
      <c r="P37" s="2"/>
      <c r="Q37" s="2"/>
    </row>
    <row r="38" spans="1:17" ht="28.2">
      <c r="A38" s="93" t="s">
        <v>225</v>
      </c>
      <c r="B38" s="1792">
        <f t="shared" ref="B38:N38" si="8">SUM(B39:B50)</f>
        <v>9947095</v>
      </c>
      <c r="C38" s="1792">
        <f t="shared" si="8"/>
        <v>3922115</v>
      </c>
      <c r="D38" s="1792">
        <f t="shared" si="8"/>
        <v>4258837</v>
      </c>
      <c r="E38" s="1793">
        <f t="shared" si="8"/>
        <v>883973</v>
      </c>
      <c r="F38" s="1792">
        <f t="shared" si="8"/>
        <v>365483</v>
      </c>
      <c r="G38" s="1792">
        <f t="shared" si="8"/>
        <v>290925</v>
      </c>
      <c r="H38" s="1792">
        <f t="shared" si="8"/>
        <v>86191</v>
      </c>
      <c r="I38" s="1792">
        <f t="shared" si="8"/>
        <v>140622</v>
      </c>
      <c r="J38" s="1792">
        <f t="shared" si="8"/>
        <v>752</v>
      </c>
      <c r="K38" s="1792">
        <f t="shared" si="8"/>
        <v>215875</v>
      </c>
      <c r="L38" s="1792">
        <f t="shared" si="8"/>
        <v>117264</v>
      </c>
      <c r="M38" s="1792">
        <f t="shared" si="8"/>
        <v>1935</v>
      </c>
      <c r="N38" s="1794">
        <f t="shared" si="8"/>
        <v>59221</v>
      </c>
      <c r="O38" s="1795">
        <f t="shared" ref="O38:O46" si="9">+D38/C38</f>
        <v>1.0858521486493895</v>
      </c>
      <c r="P38" s="197"/>
      <c r="Q38" s="197"/>
    </row>
    <row r="39" spans="1:17">
      <c r="A39" s="18" t="s">
        <v>191</v>
      </c>
      <c r="B39" s="1800">
        <f>141659+76024+81669+80656+83401+82771+90144+86739+86664+97258+14937</f>
        <v>921922</v>
      </c>
      <c r="C39" s="89">
        <v>380008</v>
      </c>
      <c r="D39" s="1801">
        <f>95005+67426+73618+88536+80950</f>
        <v>405535</v>
      </c>
      <c r="E39" s="1802">
        <f t="shared" ref="E39:E50" si="10">SUM(F39:J39)</f>
        <v>80950</v>
      </c>
      <c r="F39" s="1848">
        <v>0</v>
      </c>
      <c r="G39" s="1848">
        <v>0</v>
      </c>
      <c r="H39" s="1803">
        <v>30084</v>
      </c>
      <c r="I39" s="1803">
        <v>50866</v>
      </c>
      <c r="J39" s="1848">
        <v>0</v>
      </c>
      <c r="K39" s="198">
        <v>1356</v>
      </c>
      <c r="L39" s="198">
        <f>22897+230</f>
        <v>23127</v>
      </c>
      <c r="M39" s="175">
        <v>0</v>
      </c>
      <c r="N39" s="166"/>
      <c r="O39" s="1795">
        <f t="shared" si="9"/>
        <v>1.0671749015810192</v>
      </c>
      <c r="P39" s="2"/>
      <c r="Q39" s="2"/>
    </row>
    <row r="40" spans="1:17">
      <c r="A40" s="18" t="s">
        <v>44</v>
      </c>
      <c r="B40" s="393">
        <f>104618+64282+60352+64355+61155+69820+67741+61649+65796+65459+67411</f>
        <v>752638</v>
      </c>
      <c r="C40" s="89">
        <v>293607</v>
      </c>
      <c r="D40" s="1858">
        <f>66996+43362+56012+60518+56234</f>
        <v>283122</v>
      </c>
      <c r="E40" s="1802">
        <f t="shared" si="10"/>
        <v>56234</v>
      </c>
      <c r="F40" s="1848">
        <v>0</v>
      </c>
      <c r="G40" s="1848">
        <v>0</v>
      </c>
      <c r="H40" s="1859">
        <v>10748</v>
      </c>
      <c r="I40" s="1859">
        <v>45486</v>
      </c>
      <c r="J40" s="1848">
        <v>0</v>
      </c>
      <c r="K40" s="168">
        <v>1874</v>
      </c>
      <c r="L40" s="199">
        <f>9966+244</f>
        <v>10210</v>
      </c>
      <c r="M40" s="175">
        <v>0</v>
      </c>
      <c r="N40" s="200">
        <v>56234</v>
      </c>
      <c r="O40" s="1795">
        <f t="shared" si="9"/>
        <v>0.96428899855929862</v>
      </c>
      <c r="P40" s="2"/>
      <c r="Q40" s="2"/>
    </row>
    <row r="41" spans="1:17">
      <c r="A41" s="18" t="s">
        <v>128</v>
      </c>
      <c r="B41" s="393">
        <f>169980+39843+31052+30774</f>
        <v>271649</v>
      </c>
      <c r="C41" s="1860">
        <v>35609</v>
      </c>
      <c r="D41" s="1858">
        <f>50797+24532+39516+64348+40437</f>
        <v>219630</v>
      </c>
      <c r="E41" s="1802">
        <f t="shared" si="10"/>
        <v>40437</v>
      </c>
      <c r="F41" s="1859">
        <v>23353</v>
      </c>
      <c r="G41" s="1859">
        <v>17084</v>
      </c>
      <c r="H41" s="1848">
        <v>0</v>
      </c>
      <c r="I41" s="1848">
        <v>0</v>
      </c>
      <c r="J41" s="1848">
        <v>0</v>
      </c>
      <c r="K41" s="201">
        <v>13153</v>
      </c>
      <c r="L41" s="51"/>
      <c r="M41" s="175"/>
      <c r="N41" s="166"/>
      <c r="O41" s="1795">
        <f t="shared" si="9"/>
        <v>6.1678227414417703</v>
      </c>
      <c r="P41" s="202"/>
      <c r="Q41" s="2"/>
    </row>
    <row r="42" spans="1:17">
      <c r="A42" s="80" t="s">
        <v>192</v>
      </c>
      <c r="B42" s="1853">
        <f>35539+25020+25012+26281+22284+23157+20948+19597+31370+25185+26111</f>
        <v>280504</v>
      </c>
      <c r="C42" s="1860">
        <v>111852</v>
      </c>
      <c r="D42" s="1855">
        <f>28107+13396+22563+21351+18671</f>
        <v>104088</v>
      </c>
      <c r="E42" s="1802">
        <f t="shared" si="10"/>
        <v>18671</v>
      </c>
      <c r="F42" s="1848">
        <v>0</v>
      </c>
      <c r="G42" s="1848">
        <v>0</v>
      </c>
      <c r="H42" s="1803">
        <v>9854</v>
      </c>
      <c r="I42" s="1803">
        <v>8817</v>
      </c>
      <c r="J42" s="1848">
        <v>0</v>
      </c>
      <c r="K42" s="203">
        <v>4101</v>
      </c>
      <c r="L42" s="168">
        <f>1967+1530</f>
        <v>3497</v>
      </c>
      <c r="M42" s="168">
        <v>1602</v>
      </c>
      <c r="N42" s="166"/>
      <c r="O42" s="1795">
        <f t="shared" si="9"/>
        <v>0.9305868469048385</v>
      </c>
      <c r="P42" s="2"/>
      <c r="Q42" s="2"/>
    </row>
    <row r="43" spans="1:17">
      <c r="A43" s="80" t="s">
        <v>193</v>
      </c>
      <c r="B43" s="1861">
        <f>42541+28883+28001+23533+23137+31624+30682+26896+34161+37632+33122</f>
        <v>340212</v>
      </c>
      <c r="C43" s="1862">
        <v>122958</v>
      </c>
      <c r="D43" s="1863">
        <f>37371+20452+35221+34801+31816</f>
        <v>159661</v>
      </c>
      <c r="E43" s="1802">
        <f t="shared" si="10"/>
        <v>31816</v>
      </c>
      <c r="F43" s="1848">
        <v>0</v>
      </c>
      <c r="G43" s="1848">
        <v>0</v>
      </c>
      <c r="H43" s="33">
        <v>15139</v>
      </c>
      <c r="I43" s="33">
        <v>16677</v>
      </c>
      <c r="J43" s="1848">
        <v>0</v>
      </c>
      <c r="K43" s="168">
        <v>10388</v>
      </c>
      <c r="L43" s="168">
        <f>1464+1381</f>
        <v>2845</v>
      </c>
      <c r="M43" s="168">
        <v>333</v>
      </c>
      <c r="N43" s="1811">
        <v>0</v>
      </c>
      <c r="O43" s="1795">
        <f t="shared" si="9"/>
        <v>1.2985003009157599</v>
      </c>
      <c r="P43" s="2"/>
      <c r="Q43" s="2"/>
    </row>
    <row r="44" spans="1:17">
      <c r="A44" s="80" t="s">
        <v>194</v>
      </c>
      <c r="B44" s="1864">
        <f>265227+22270+28401</f>
        <v>315898</v>
      </c>
      <c r="C44" s="1865">
        <v>117466</v>
      </c>
      <c r="D44" s="1866">
        <f>25361+15365+21112+27016+26735</f>
        <v>115589</v>
      </c>
      <c r="E44" s="1802">
        <f t="shared" si="10"/>
        <v>26735</v>
      </c>
      <c r="F44" s="1803">
        <v>11775</v>
      </c>
      <c r="G44" s="1803">
        <v>14880</v>
      </c>
      <c r="H44" s="1848">
        <v>0</v>
      </c>
      <c r="I44" s="1848">
        <v>0</v>
      </c>
      <c r="J44" s="1803">
        <v>80</v>
      </c>
      <c r="K44" s="168">
        <v>8057</v>
      </c>
      <c r="L44" s="168">
        <f>484+5631</f>
        <v>6115</v>
      </c>
      <c r="M44" s="175">
        <v>0</v>
      </c>
      <c r="N44" s="169">
        <v>43</v>
      </c>
      <c r="O44" s="1795">
        <f t="shared" si="9"/>
        <v>0.9840209081776855</v>
      </c>
      <c r="P44" s="2"/>
      <c r="Q44" s="2"/>
    </row>
    <row r="45" spans="1:17">
      <c r="A45" s="80" t="s">
        <v>195</v>
      </c>
      <c r="B45" s="1861">
        <f>890002+542749+505450+501865+511958+508971+512557+491530+514214+487223+539325</f>
        <v>6005844</v>
      </c>
      <c r="C45" s="1862">
        <v>2440066</v>
      </c>
      <c r="D45" s="1863">
        <f>383857+521467+509543+530254+535905</f>
        <v>2481026</v>
      </c>
      <c r="E45" s="1802">
        <f t="shared" si="10"/>
        <v>535905</v>
      </c>
      <c r="F45" s="1803">
        <v>304265</v>
      </c>
      <c r="G45" s="1803">
        <v>231640</v>
      </c>
      <c r="H45" s="1848">
        <v>0</v>
      </c>
      <c r="I45" s="1848">
        <v>0</v>
      </c>
      <c r="J45" s="1848">
        <v>0</v>
      </c>
      <c r="K45" s="51">
        <v>155551</v>
      </c>
      <c r="L45" s="51">
        <f>31979+27716</f>
        <v>59695</v>
      </c>
      <c r="M45" s="175">
        <v>0</v>
      </c>
      <c r="N45" s="1811">
        <v>0</v>
      </c>
      <c r="O45" s="1795">
        <f t="shared" si="9"/>
        <v>1.0167864311866974</v>
      </c>
      <c r="P45" s="2"/>
      <c r="Q45" s="2"/>
    </row>
    <row r="46" spans="1:17">
      <c r="A46" s="80" t="s">
        <v>49</v>
      </c>
      <c r="B46" s="1867">
        <f>400483+31413+46888</f>
        <v>478784</v>
      </c>
      <c r="C46" s="1862">
        <v>195975</v>
      </c>
      <c r="D46" s="1868">
        <f>40143+28372+35851+44309+41487</f>
        <v>190162</v>
      </c>
      <c r="E46" s="1802">
        <f t="shared" si="10"/>
        <v>41487</v>
      </c>
      <c r="F46" s="1869">
        <v>868</v>
      </c>
      <c r="G46" s="1869">
        <v>1477</v>
      </c>
      <c r="H46" s="1869">
        <v>20366</v>
      </c>
      <c r="I46" s="1869">
        <v>18776</v>
      </c>
      <c r="J46" s="1848">
        <v>0</v>
      </c>
      <c r="K46" s="199">
        <v>9223</v>
      </c>
      <c r="L46" s="199">
        <f>16+15+3117+1312</f>
        <v>4460</v>
      </c>
      <c r="M46" s="175">
        <v>0</v>
      </c>
      <c r="N46" s="166"/>
      <c r="O46" s="1795">
        <f t="shared" si="9"/>
        <v>0.97033805332312795</v>
      </c>
      <c r="P46" s="2"/>
      <c r="Q46" s="2"/>
    </row>
    <row r="47" spans="1:17">
      <c r="A47" s="80" t="s">
        <v>50</v>
      </c>
      <c r="B47" s="78"/>
      <c r="C47" s="1056"/>
      <c r="D47" s="1870"/>
      <c r="E47" s="1802">
        <f t="shared" si="10"/>
        <v>0</v>
      </c>
      <c r="F47" s="1871"/>
      <c r="G47" s="1871"/>
      <c r="H47" s="1871"/>
      <c r="I47" s="1871"/>
      <c r="J47" s="1871"/>
      <c r="K47" s="199"/>
      <c r="L47" s="199"/>
      <c r="M47" s="199"/>
      <c r="N47" s="200"/>
      <c r="O47" s="1795"/>
      <c r="P47" s="202"/>
      <c r="Q47" s="2"/>
    </row>
    <row r="48" spans="1:17">
      <c r="A48" s="80" t="s">
        <v>51</v>
      </c>
      <c r="B48" s="413">
        <f>2723+257+332</f>
        <v>3312</v>
      </c>
      <c r="C48" s="119">
        <v>1337</v>
      </c>
      <c r="D48" s="1872">
        <f>276+354+363+370+484</f>
        <v>1847</v>
      </c>
      <c r="E48" s="1802">
        <f t="shared" si="10"/>
        <v>484</v>
      </c>
      <c r="F48" s="1871">
        <v>232</v>
      </c>
      <c r="G48" s="1871">
        <v>252</v>
      </c>
      <c r="H48" s="1848">
        <v>0</v>
      </c>
      <c r="I48" s="1848">
        <v>0</v>
      </c>
      <c r="J48" s="1848">
        <v>0</v>
      </c>
      <c r="K48" s="199">
        <v>484</v>
      </c>
      <c r="L48" s="199">
        <f>232</f>
        <v>232</v>
      </c>
      <c r="M48" s="175">
        <v>0</v>
      </c>
      <c r="N48" s="166"/>
      <c r="O48" s="1795">
        <f t="shared" ref="O48:O50" si="11">+D48/C48</f>
        <v>1.3814510097232611</v>
      </c>
      <c r="P48" s="2"/>
      <c r="Q48" s="2"/>
    </row>
    <row r="49" spans="1:17" ht="15" thickBot="1">
      <c r="A49" s="107" t="s">
        <v>196</v>
      </c>
      <c r="B49" s="1873">
        <f>11927+1325+3997</f>
        <v>17249</v>
      </c>
      <c r="C49" s="1874">
        <v>5341</v>
      </c>
      <c r="D49" s="1875">
        <f>1216+1972+989+2329+1285</f>
        <v>7791</v>
      </c>
      <c r="E49" s="1821">
        <f t="shared" si="10"/>
        <v>1285</v>
      </c>
      <c r="F49" s="1876">
        <v>236</v>
      </c>
      <c r="G49" s="1876">
        <v>1049</v>
      </c>
      <c r="H49" s="1877">
        <v>0</v>
      </c>
      <c r="I49" s="1877">
        <v>0</v>
      </c>
      <c r="J49" s="1877">
        <v>0</v>
      </c>
      <c r="K49" s="204">
        <v>213</v>
      </c>
      <c r="L49" s="205">
        <f>63+15</f>
        <v>78</v>
      </c>
      <c r="M49" s="206">
        <v>0</v>
      </c>
      <c r="N49" s="207">
        <v>1285</v>
      </c>
      <c r="O49" s="1795">
        <f t="shared" si="11"/>
        <v>1.4587155963302751</v>
      </c>
      <c r="P49" s="2"/>
      <c r="Q49" s="2"/>
    </row>
    <row r="50" spans="1:17">
      <c r="A50" s="112" t="s">
        <v>197</v>
      </c>
      <c r="B50" s="1878">
        <f>46498+25145+53554+45477+47222+51070+47167+41808+32662+49246+57773+61461</f>
        <v>559083</v>
      </c>
      <c r="C50" s="1879">
        <v>217896</v>
      </c>
      <c r="D50" s="1880">
        <f>68492+57011+55849+59065+49969</f>
        <v>290386</v>
      </c>
      <c r="E50" s="1881">
        <f t="shared" si="10"/>
        <v>49969</v>
      </c>
      <c r="F50" s="1882">
        <v>24754</v>
      </c>
      <c r="G50" s="1882">
        <v>24543</v>
      </c>
      <c r="H50" s="1883">
        <v>0</v>
      </c>
      <c r="I50" s="1883">
        <v>0</v>
      </c>
      <c r="J50" s="1884">
        <v>672</v>
      </c>
      <c r="K50" s="209">
        <v>11475</v>
      </c>
      <c r="L50" s="209">
        <f>2961+3590+454</f>
        <v>7005</v>
      </c>
      <c r="M50" s="210">
        <v>0</v>
      </c>
      <c r="N50" s="211">
        <v>1659</v>
      </c>
      <c r="O50" s="1795">
        <f t="shared" si="11"/>
        <v>1.3326816462899731</v>
      </c>
      <c r="P50" s="3"/>
      <c r="Q50" s="2"/>
    </row>
    <row r="51" spans="1:17">
      <c r="A51" s="87"/>
      <c r="B51" s="118"/>
      <c r="C51" s="119"/>
      <c r="D51" s="118"/>
      <c r="E51" s="120"/>
      <c r="F51" s="121"/>
      <c r="G51" s="121"/>
      <c r="H51" s="121"/>
      <c r="I51" s="121"/>
      <c r="J51" s="121"/>
      <c r="K51" s="212"/>
      <c r="L51" s="212"/>
      <c r="M51" s="212"/>
      <c r="N51" s="213"/>
      <c r="O51" s="1795"/>
      <c r="P51" s="214"/>
      <c r="Q51" s="2"/>
    </row>
    <row r="52" spans="1:17">
      <c r="A52" s="13" t="s">
        <v>226</v>
      </c>
      <c r="B52" s="1792">
        <f t="shared" ref="B52:N52" si="12">SUM(B53:B59)</f>
        <v>7605205</v>
      </c>
      <c r="C52" s="1792">
        <f t="shared" si="12"/>
        <v>2977788</v>
      </c>
      <c r="D52" s="1792">
        <f t="shared" si="12"/>
        <v>3272633</v>
      </c>
      <c r="E52" s="1793">
        <f t="shared" si="12"/>
        <v>699923</v>
      </c>
      <c r="F52" s="1792">
        <f t="shared" si="12"/>
        <v>259383</v>
      </c>
      <c r="G52" s="1792">
        <f t="shared" si="12"/>
        <v>315314</v>
      </c>
      <c r="H52" s="1792">
        <f t="shared" si="12"/>
        <v>2462</v>
      </c>
      <c r="I52" s="1792">
        <f t="shared" si="12"/>
        <v>1108</v>
      </c>
      <c r="J52" s="1792">
        <f t="shared" si="12"/>
        <v>121656</v>
      </c>
      <c r="K52" s="1792">
        <f t="shared" si="12"/>
        <v>55242</v>
      </c>
      <c r="L52" s="1792">
        <f t="shared" si="12"/>
        <v>138039</v>
      </c>
      <c r="M52" s="1792">
        <f t="shared" si="12"/>
        <v>4062</v>
      </c>
      <c r="N52" s="1794">
        <f t="shared" si="12"/>
        <v>69536</v>
      </c>
      <c r="O52" s="1795">
        <f t="shared" ref="O52:O57" si="13">+D52/C52</f>
        <v>1.0990147720388423</v>
      </c>
      <c r="P52" s="197"/>
      <c r="Q52" s="197"/>
    </row>
    <row r="53" spans="1:17">
      <c r="A53" s="80" t="s">
        <v>55</v>
      </c>
      <c r="B53" s="1800"/>
      <c r="C53" s="19"/>
      <c r="D53" s="1801"/>
      <c r="E53" s="1802">
        <v>0</v>
      </c>
      <c r="F53" s="1803"/>
      <c r="G53" s="1803"/>
      <c r="H53" s="1803"/>
      <c r="I53" s="1803"/>
      <c r="J53" s="1803"/>
      <c r="K53" s="51"/>
      <c r="L53" s="51"/>
      <c r="M53" s="51"/>
      <c r="N53" s="166"/>
      <c r="O53" s="1795"/>
      <c r="P53" s="2"/>
      <c r="Q53" s="2"/>
    </row>
    <row r="54" spans="1:17">
      <c r="A54" s="123" t="s">
        <v>56</v>
      </c>
      <c r="B54" s="1846">
        <f>209453+123222+177525+182527+179497+190574+195216+216952+167184+207469+198525+199975</f>
        <v>2248119</v>
      </c>
      <c r="C54" s="1056">
        <v>872224</v>
      </c>
      <c r="D54" s="1851">
        <f>194209+180798+166048+177722+187781</f>
        <v>906558</v>
      </c>
      <c r="E54" s="1885">
        <f t="shared" ref="E54:E59" si="14">SUM(F54:J54)</f>
        <v>187781</v>
      </c>
      <c r="F54" s="1803">
        <v>75914</v>
      </c>
      <c r="G54" s="1886">
        <v>96058</v>
      </c>
      <c r="H54" s="1886">
        <v>2256</v>
      </c>
      <c r="I54" s="1803">
        <v>986</v>
      </c>
      <c r="J54" s="1803">
        <v>12567</v>
      </c>
      <c r="K54" s="168">
        <v>21025</v>
      </c>
      <c r="L54" s="168">
        <f>52130+1924+406+5538</f>
        <v>59998</v>
      </c>
      <c r="M54" s="215"/>
      <c r="N54" s="216"/>
      <c r="O54" s="1795">
        <f t="shared" si="13"/>
        <v>1.0393637414242214</v>
      </c>
      <c r="P54" s="217"/>
      <c r="Q54" s="2"/>
    </row>
    <row r="55" spans="1:17">
      <c r="A55" s="80" t="s">
        <v>199</v>
      </c>
      <c r="B55" s="1853">
        <f>104773+79448+108729+100750+114908+101767+109538+102101+96227+101348+80712+95735</f>
        <v>1196036</v>
      </c>
      <c r="C55" s="126">
        <v>508608</v>
      </c>
      <c r="D55" s="1855">
        <f>105063+90489+93101+75747+106617</f>
        <v>471017</v>
      </c>
      <c r="E55" s="1802">
        <f t="shared" si="14"/>
        <v>106617</v>
      </c>
      <c r="F55" s="1887">
        <v>55392</v>
      </c>
      <c r="G55" s="1859">
        <v>42606</v>
      </c>
      <c r="H55" s="1848">
        <v>0</v>
      </c>
      <c r="I55" s="1848">
        <v>0</v>
      </c>
      <c r="J55" s="1859">
        <v>8619</v>
      </c>
      <c r="K55" s="51">
        <v>7289</v>
      </c>
      <c r="L55" s="51">
        <f>33319+1182+2746</f>
        <v>37247</v>
      </c>
      <c r="M55" s="175">
        <v>0</v>
      </c>
      <c r="N55" s="166"/>
      <c r="O55" s="1795">
        <f t="shared" si="13"/>
        <v>0.92609042720523471</v>
      </c>
      <c r="P55" s="218"/>
      <c r="Q55" s="2"/>
    </row>
    <row r="56" spans="1:17">
      <c r="A56" s="35" t="s">
        <v>58</v>
      </c>
      <c r="B56" s="1861">
        <f>90832+90726+97425+112194+114431+98379+101821+103316+100021+117218+109359+112333</f>
        <v>1248055</v>
      </c>
      <c r="C56" s="105">
        <v>505608</v>
      </c>
      <c r="D56" s="1863">
        <f>211807+105341+97079+112636</f>
        <v>526863</v>
      </c>
      <c r="E56" s="1802">
        <f t="shared" si="14"/>
        <v>112636</v>
      </c>
      <c r="F56" s="1803">
        <v>35225</v>
      </c>
      <c r="G56" s="1803">
        <v>48568</v>
      </c>
      <c r="H56" s="1848">
        <v>0</v>
      </c>
      <c r="I56" s="1848">
        <v>0</v>
      </c>
      <c r="J56" s="1803">
        <v>28843</v>
      </c>
      <c r="K56" s="168">
        <v>9392</v>
      </c>
      <c r="L56" s="168">
        <f>17435+888+2915</f>
        <v>21238</v>
      </c>
      <c r="M56" s="51">
        <v>2239</v>
      </c>
      <c r="N56" s="166"/>
      <c r="O56" s="1795">
        <f t="shared" si="13"/>
        <v>1.0420384962263256</v>
      </c>
      <c r="P56" s="2"/>
      <c r="Q56" s="2"/>
    </row>
    <row r="57" spans="1:17">
      <c r="A57" s="35" t="s">
        <v>59</v>
      </c>
      <c r="B57" s="1861">
        <f>85962+38994+58375+82416+99455+86639+82659+105881+73454+94153+96038+77922</f>
        <v>981948</v>
      </c>
      <c r="C57" s="105">
        <v>365202</v>
      </c>
      <c r="D57" s="1863">
        <f>98617+85129+85023+104382+82970</f>
        <v>456121</v>
      </c>
      <c r="E57" s="1802">
        <f t="shared" si="14"/>
        <v>82970</v>
      </c>
      <c r="F57" s="1803">
        <v>21646</v>
      </c>
      <c r="G57" s="1803">
        <v>41803</v>
      </c>
      <c r="H57" s="1803">
        <v>206</v>
      </c>
      <c r="I57" s="1859">
        <v>122</v>
      </c>
      <c r="J57" s="1803">
        <v>19193</v>
      </c>
      <c r="K57" s="168">
        <v>13838</v>
      </c>
      <c r="L57" s="168">
        <f>12335+47+110+8+7056</f>
        <v>19556</v>
      </c>
      <c r="M57" s="51">
        <v>1823</v>
      </c>
      <c r="N57" s="166">
        <v>69536</v>
      </c>
      <c r="O57" s="1795">
        <f t="shared" si="13"/>
        <v>1.2489553726430851</v>
      </c>
      <c r="P57" s="3"/>
      <c r="Q57" s="2"/>
    </row>
    <row r="58" spans="1:17" ht="15" thickBot="1">
      <c r="A58" s="128" t="s">
        <v>113</v>
      </c>
      <c r="B58" s="1888"/>
      <c r="C58" s="129"/>
      <c r="D58" s="130" t="s">
        <v>233</v>
      </c>
      <c r="E58" s="1889">
        <f t="shared" si="14"/>
        <v>0</v>
      </c>
      <c r="F58" s="132"/>
      <c r="G58" s="132"/>
      <c r="H58" s="132"/>
      <c r="I58" s="132"/>
      <c r="J58" s="132"/>
      <c r="K58" s="179"/>
      <c r="L58" s="179"/>
      <c r="M58" s="179"/>
      <c r="N58" s="180"/>
      <c r="O58" s="1795"/>
      <c r="P58" s="218"/>
      <c r="Q58" s="224"/>
    </row>
    <row r="59" spans="1:17">
      <c r="A59" s="133" t="s">
        <v>61</v>
      </c>
      <c r="B59" s="1890">
        <f>1585050+175956+170041</f>
        <v>1931047</v>
      </c>
      <c r="C59" s="134">
        <v>726146</v>
      </c>
      <c r="D59" s="1891">
        <f>198905+146764+177464+179022+209919</f>
        <v>912074</v>
      </c>
      <c r="E59" s="1892">
        <f t="shared" si="14"/>
        <v>209919</v>
      </c>
      <c r="F59" s="1893">
        <v>71206</v>
      </c>
      <c r="G59" s="1893">
        <v>86279</v>
      </c>
      <c r="H59" s="1883">
        <v>0</v>
      </c>
      <c r="I59" s="1883">
        <v>0</v>
      </c>
      <c r="J59" s="1884">
        <v>52434</v>
      </c>
      <c r="K59" s="219">
        <v>3698</v>
      </c>
      <c r="L59" s="219"/>
      <c r="M59" s="210"/>
      <c r="N59" s="220"/>
      <c r="O59" s="1795">
        <f t="shared" ref="O59:O62" si="15">+D59/C59</f>
        <v>1.2560476818711388</v>
      </c>
      <c r="P59" s="3"/>
      <c r="Q59" s="3"/>
    </row>
    <row r="60" spans="1:17">
      <c r="A60" s="68"/>
      <c r="B60" s="138"/>
      <c r="C60" s="92"/>
      <c r="D60" s="138"/>
      <c r="E60" s="91"/>
      <c r="F60" s="139"/>
      <c r="G60" s="51"/>
      <c r="H60" s="92"/>
      <c r="I60" s="139"/>
      <c r="J60" s="212"/>
      <c r="K60" s="51"/>
      <c r="L60" s="51"/>
      <c r="M60" s="51"/>
      <c r="N60" s="166"/>
      <c r="O60" s="1795"/>
      <c r="P60" s="3"/>
      <c r="Q60" s="3"/>
    </row>
    <row r="61" spans="1:17">
      <c r="A61" s="140" t="s">
        <v>227</v>
      </c>
      <c r="B61" s="1894">
        <f t="shared" ref="B61:N61" si="16">SUM(B62:B69)</f>
        <v>69686</v>
      </c>
      <c r="C61" s="1894">
        <f t="shared" si="16"/>
        <v>21412</v>
      </c>
      <c r="D61" s="1894">
        <f t="shared" si="16"/>
        <v>36861</v>
      </c>
      <c r="E61" s="1895">
        <f t="shared" si="16"/>
        <v>8819</v>
      </c>
      <c r="F61" s="1894">
        <f t="shared" si="16"/>
        <v>0</v>
      </c>
      <c r="G61" s="1894">
        <f t="shared" si="16"/>
        <v>0</v>
      </c>
      <c r="H61" s="1894">
        <f t="shared" si="16"/>
        <v>4515</v>
      </c>
      <c r="I61" s="1894">
        <f t="shared" si="16"/>
        <v>4304</v>
      </c>
      <c r="J61" s="1894">
        <f t="shared" si="16"/>
        <v>0</v>
      </c>
      <c r="K61" s="1894">
        <f t="shared" si="16"/>
        <v>6165</v>
      </c>
      <c r="L61" s="1894">
        <f t="shared" si="16"/>
        <v>3855</v>
      </c>
      <c r="M61" s="1894">
        <f t="shared" si="16"/>
        <v>0</v>
      </c>
      <c r="N61" s="1896">
        <f t="shared" si="16"/>
        <v>0</v>
      </c>
      <c r="O61" s="1795">
        <f t="shared" si="15"/>
        <v>1.7215113020736035</v>
      </c>
      <c r="P61" s="197"/>
      <c r="Q61" s="225"/>
    </row>
    <row r="62" spans="1:17">
      <c r="A62" s="35" t="s">
        <v>201</v>
      </c>
      <c r="B62" s="1861">
        <f>9380+2012+2071</f>
        <v>13463</v>
      </c>
      <c r="C62" s="119">
        <v>3809</v>
      </c>
      <c r="D62" s="1897">
        <f>2379+1593+2241+2316+2102</f>
        <v>10631</v>
      </c>
      <c r="E62" s="1802">
        <f>SUM(H62:J62)</f>
        <v>2102</v>
      </c>
      <c r="F62" s="1848">
        <v>0</v>
      </c>
      <c r="G62" s="1848">
        <v>0</v>
      </c>
      <c r="H62" s="1898">
        <v>1088</v>
      </c>
      <c r="I62" s="1803">
        <v>1014</v>
      </c>
      <c r="J62" s="1848">
        <v>0</v>
      </c>
      <c r="K62" s="51">
        <v>428</v>
      </c>
      <c r="L62" s="51">
        <f>389</f>
        <v>389</v>
      </c>
      <c r="M62" s="175">
        <v>0</v>
      </c>
      <c r="N62" s="1811">
        <v>0</v>
      </c>
      <c r="O62" s="1795">
        <f t="shared" si="15"/>
        <v>2.7910212654239959</v>
      </c>
      <c r="P62" s="2"/>
      <c r="Q62" s="2"/>
    </row>
    <row r="63" spans="1:17">
      <c r="A63" s="147" t="s">
        <v>202</v>
      </c>
      <c r="B63" s="1800"/>
      <c r="C63" s="89"/>
      <c r="D63" s="228"/>
      <c r="E63" s="1802">
        <f t="shared" ref="E63:E69" si="17">SUM(F63:J63)</f>
        <v>0</v>
      </c>
      <c r="F63" s="1899"/>
      <c r="G63" s="1900"/>
      <c r="H63" s="1803"/>
      <c r="I63" s="1803"/>
      <c r="J63" s="1803"/>
      <c r="K63" s="51"/>
      <c r="L63" s="51"/>
      <c r="M63" s="51"/>
      <c r="N63" s="166"/>
      <c r="O63" s="1795"/>
      <c r="P63" s="2"/>
      <c r="Q63" s="2"/>
    </row>
    <row r="64" spans="1:17">
      <c r="A64" s="35" t="s">
        <v>203</v>
      </c>
      <c r="B64" s="1861">
        <f>1143+584+1068+1170+1018+1940+2160+2337+2201+2341+1720</f>
        <v>17682</v>
      </c>
      <c r="C64" s="119">
        <v>3965</v>
      </c>
      <c r="D64" s="1897">
        <f>1586+1377+1324+1261+1972</f>
        <v>7520</v>
      </c>
      <c r="E64" s="1802">
        <f t="shared" si="17"/>
        <v>1972</v>
      </c>
      <c r="F64" s="1848">
        <v>0</v>
      </c>
      <c r="G64" s="1848">
        <v>0</v>
      </c>
      <c r="H64" s="1803">
        <v>1037</v>
      </c>
      <c r="I64" s="1803">
        <v>935</v>
      </c>
      <c r="J64" s="1848">
        <v>0</v>
      </c>
      <c r="K64" s="51">
        <v>1900</v>
      </c>
      <c r="L64" s="51">
        <f>704+332</f>
        <v>1036</v>
      </c>
      <c r="M64" s="175">
        <v>0</v>
      </c>
      <c r="N64" s="1811"/>
      <c r="O64" s="1795">
        <f t="shared" ref="O64:O67" si="18">+D64/C64</f>
        <v>1.8965952080706179</v>
      </c>
      <c r="P64" s="2"/>
      <c r="Q64" s="2"/>
    </row>
    <row r="65" spans="1:17">
      <c r="A65" s="35" t="s">
        <v>66</v>
      </c>
      <c r="B65" s="1800">
        <f>9020+1300+1328+1755+1870+1593+2099</f>
        <v>18965</v>
      </c>
      <c r="C65" s="89">
        <v>7283</v>
      </c>
      <c r="D65" s="228">
        <f>2516+1712+2842+3851+4245</f>
        <v>15166</v>
      </c>
      <c r="E65" s="1802">
        <f t="shared" si="17"/>
        <v>4245</v>
      </c>
      <c r="F65" s="1848">
        <v>0</v>
      </c>
      <c r="G65" s="1848">
        <v>0</v>
      </c>
      <c r="H65" s="1803">
        <v>2109</v>
      </c>
      <c r="I65" s="1803">
        <v>2136</v>
      </c>
      <c r="J65" s="1848">
        <v>0</v>
      </c>
      <c r="K65" s="168">
        <v>3337</v>
      </c>
      <c r="L65" s="168">
        <f>2107+42</f>
        <v>2149</v>
      </c>
      <c r="M65" s="175">
        <v>0</v>
      </c>
      <c r="N65" s="166"/>
      <c r="O65" s="1795">
        <f t="shared" si="18"/>
        <v>2.0823836331182206</v>
      </c>
      <c r="P65" s="2"/>
      <c r="Q65" s="2"/>
    </row>
    <row r="66" spans="1:17">
      <c r="A66" s="226" t="s">
        <v>204</v>
      </c>
      <c r="B66" s="1846"/>
      <c r="C66" s="1056"/>
      <c r="D66" s="1847"/>
      <c r="E66" s="1802">
        <f t="shared" si="17"/>
        <v>0</v>
      </c>
      <c r="F66" s="1901"/>
      <c r="G66" s="1900"/>
      <c r="H66" s="1803"/>
      <c r="I66" s="1803"/>
      <c r="J66" s="1803"/>
      <c r="K66" s="51"/>
      <c r="L66" s="51"/>
      <c r="M66" s="51"/>
      <c r="N66" s="166"/>
      <c r="O66" s="1795"/>
      <c r="P66" s="2"/>
      <c r="Q66" s="2"/>
    </row>
    <row r="67" spans="1:17">
      <c r="A67" s="35" t="s">
        <v>205</v>
      </c>
      <c r="B67" s="1800">
        <v>8152</v>
      </c>
      <c r="C67" s="89">
        <v>3009</v>
      </c>
      <c r="D67" s="1902">
        <f>634+656+529+487+500</f>
        <v>2806</v>
      </c>
      <c r="E67" s="1802">
        <f t="shared" si="17"/>
        <v>500</v>
      </c>
      <c r="F67" s="1848">
        <v>0</v>
      </c>
      <c r="G67" s="1848">
        <v>0</v>
      </c>
      <c r="H67" s="1903">
        <v>281</v>
      </c>
      <c r="I67" s="1903">
        <v>219</v>
      </c>
      <c r="J67" s="1903">
        <v>0</v>
      </c>
      <c r="K67" s="194">
        <v>500</v>
      </c>
      <c r="L67" s="194">
        <f>281</f>
        <v>281</v>
      </c>
      <c r="M67" s="194">
        <v>0</v>
      </c>
      <c r="N67" s="195"/>
      <c r="O67" s="1795">
        <f t="shared" si="18"/>
        <v>0.93253572615486868</v>
      </c>
      <c r="P67" s="2"/>
      <c r="Q67" s="2"/>
    </row>
    <row r="68" spans="1:17">
      <c r="A68" s="147" t="s">
        <v>206</v>
      </c>
      <c r="B68" s="1861"/>
      <c r="C68" s="119"/>
      <c r="D68" s="1904"/>
      <c r="E68" s="1802">
        <f t="shared" si="17"/>
        <v>0</v>
      </c>
      <c r="F68" s="1813"/>
      <c r="G68" s="1905"/>
      <c r="H68" s="1859"/>
      <c r="I68" s="1859"/>
      <c r="J68" s="1859"/>
      <c r="K68" s="51"/>
      <c r="L68" s="51"/>
      <c r="M68" s="51"/>
      <c r="N68" s="166"/>
      <c r="O68" s="1795"/>
      <c r="P68" s="2"/>
      <c r="Q68" s="2"/>
    </row>
    <row r="69" spans="1:17" ht="15" thickBot="1">
      <c r="A69" s="35" t="s">
        <v>70</v>
      </c>
      <c r="B69" s="413">
        <v>11424</v>
      </c>
      <c r="C69" s="119">
        <v>3346</v>
      </c>
      <c r="D69" s="1906">
        <f>78+56+390+214</f>
        <v>738</v>
      </c>
      <c r="E69" s="1907">
        <f t="shared" si="17"/>
        <v>0</v>
      </c>
      <c r="F69" s="1848">
        <v>0</v>
      </c>
      <c r="G69" s="1848">
        <v>0</v>
      </c>
      <c r="H69" s="1848">
        <v>0</v>
      </c>
      <c r="I69" s="1848">
        <v>0</v>
      </c>
      <c r="J69" s="1848">
        <v>0</v>
      </c>
      <c r="K69" s="168"/>
      <c r="L69" s="168"/>
      <c r="M69" s="175"/>
      <c r="N69" s="166"/>
      <c r="O69" s="1795">
        <f>+D69/C69</f>
        <v>0.22056186491332935</v>
      </c>
      <c r="P69" s="2"/>
      <c r="Q69" s="152"/>
    </row>
    <row r="70" spans="1:17" ht="15" thickBot="1">
      <c r="A70" s="235" t="s">
        <v>71</v>
      </c>
      <c r="B70" s="1908">
        <f t="shared" ref="B70:N70" si="19">B6+B28+B33+B38+B52+B61</f>
        <v>27092360</v>
      </c>
      <c r="C70" s="1908">
        <f t="shared" si="19"/>
        <v>10535305</v>
      </c>
      <c r="D70" s="1909">
        <f t="shared" si="19"/>
        <v>11636528</v>
      </c>
      <c r="E70" s="1910">
        <f t="shared" si="19"/>
        <v>2425271</v>
      </c>
      <c r="F70" s="1908">
        <f t="shared" si="19"/>
        <v>855646</v>
      </c>
      <c r="G70" s="1908">
        <f t="shared" si="19"/>
        <v>842393</v>
      </c>
      <c r="H70" s="1908">
        <f t="shared" si="19"/>
        <v>141613</v>
      </c>
      <c r="I70" s="1908">
        <f t="shared" si="19"/>
        <v>194890</v>
      </c>
      <c r="J70" s="1908">
        <f t="shared" si="19"/>
        <v>123052</v>
      </c>
      <c r="K70" s="1908">
        <f t="shared" si="19"/>
        <v>367302</v>
      </c>
      <c r="L70" s="1908">
        <f t="shared" si="19"/>
        <v>347870</v>
      </c>
      <c r="M70" s="1908">
        <f t="shared" si="19"/>
        <v>11014</v>
      </c>
      <c r="N70" s="1911">
        <f t="shared" si="19"/>
        <v>148937</v>
      </c>
      <c r="O70" s="1795">
        <f>+D70/C70</f>
        <v>1.1045269216221079</v>
      </c>
      <c r="P70" s="266"/>
      <c r="Q70" s="266"/>
    </row>
    <row r="71" spans="1:17">
      <c r="A71" s="2"/>
      <c r="B71" s="241"/>
      <c r="C71" s="241"/>
      <c r="D71" s="241"/>
      <c r="E71" s="242"/>
      <c r="F71" s="3"/>
      <c r="G71" s="3"/>
      <c r="H71" s="3"/>
      <c r="I71" s="3"/>
      <c r="J71" s="3"/>
      <c r="K71" s="3"/>
      <c r="L71" s="3"/>
      <c r="M71" s="3"/>
      <c r="N71" s="3"/>
      <c r="O71" s="2"/>
      <c r="P71" s="2"/>
      <c r="Q71" s="2"/>
    </row>
    <row r="72" spans="1:17">
      <c r="A72" s="2"/>
      <c r="B72" s="2"/>
      <c r="C72" s="2"/>
      <c r="D72" s="2"/>
      <c r="E72" s="3"/>
      <c r="F72" s="3"/>
      <c r="G72" s="3"/>
      <c r="H72" s="3"/>
      <c r="I72" s="3"/>
      <c r="J72" s="3"/>
      <c r="K72" s="3"/>
      <c r="L72" s="3"/>
      <c r="M72" s="3"/>
      <c r="N72" s="3"/>
      <c r="O72" s="2"/>
      <c r="P72" s="2"/>
      <c r="Q72" s="2"/>
    </row>
    <row r="73" spans="1:17" ht="83.4">
      <c r="A73" s="2"/>
      <c r="B73" s="243" t="s">
        <v>207</v>
      </c>
      <c r="C73" s="243"/>
      <c r="D73" s="1912" t="s">
        <v>74</v>
      </c>
      <c r="E73" s="245" t="s">
        <v>75</v>
      </c>
      <c r="F73" s="245" t="s">
        <v>76</v>
      </c>
      <c r="G73" s="245" t="s">
        <v>77</v>
      </c>
      <c r="H73" s="245" t="s">
        <v>78</v>
      </c>
      <c r="I73" s="245" t="s">
        <v>79</v>
      </c>
      <c r="J73" s="245" t="s">
        <v>80</v>
      </c>
      <c r="K73" s="245" t="s">
        <v>81</v>
      </c>
      <c r="L73" s="245" t="s">
        <v>82</v>
      </c>
      <c r="M73" s="245" t="s">
        <v>83</v>
      </c>
      <c r="N73" s="245" t="s">
        <v>84</v>
      </c>
      <c r="O73" s="267" t="s">
        <v>85</v>
      </c>
      <c r="P73" s="268"/>
      <c r="Q73" s="2"/>
    </row>
    <row r="74" spans="1:17">
      <c r="A74" s="2"/>
      <c r="B74" s="246" t="s">
        <v>87</v>
      </c>
      <c r="C74" s="246"/>
      <c r="D74" s="247">
        <v>2555400</v>
      </c>
      <c r="E74" s="248">
        <v>1909599</v>
      </c>
      <c r="F74" s="168">
        <v>2299020</v>
      </c>
      <c r="G74" s="248">
        <v>2445375</v>
      </c>
      <c r="H74" s="248">
        <v>2425271</v>
      </c>
      <c r="I74" s="92"/>
      <c r="J74" s="248"/>
      <c r="K74" s="168"/>
      <c r="L74" s="168"/>
      <c r="M74" s="269"/>
      <c r="N74" s="252"/>
      <c r="O74" s="270"/>
      <c r="P74" s="152"/>
      <c r="Q74" s="2"/>
    </row>
    <row r="75" spans="1:17">
      <c r="A75" s="2"/>
      <c r="B75" s="249" t="s">
        <v>88</v>
      </c>
      <c r="C75" s="249"/>
      <c r="D75" s="249"/>
      <c r="E75" s="250">
        <f t="shared" ref="E75:N75" si="20">IF(D74&gt;0,E74/D74,0)*100</f>
        <v>74.727987790561173</v>
      </c>
      <c r="F75" s="250">
        <f t="shared" si="20"/>
        <v>120.39281545497249</v>
      </c>
      <c r="G75" s="250">
        <f t="shared" si="20"/>
        <v>106.36597332776574</v>
      </c>
      <c r="H75" s="250">
        <f t="shared" si="20"/>
        <v>99.177876603792868</v>
      </c>
      <c r="I75" s="250">
        <f t="shared" si="20"/>
        <v>0</v>
      </c>
      <c r="J75" s="250">
        <f t="shared" si="20"/>
        <v>0</v>
      </c>
      <c r="K75" s="250">
        <f t="shared" si="20"/>
        <v>0</v>
      </c>
      <c r="L75" s="250">
        <f t="shared" si="20"/>
        <v>0</v>
      </c>
      <c r="M75" s="250">
        <f t="shared" si="20"/>
        <v>0</v>
      </c>
      <c r="N75" s="250">
        <f t="shared" si="20"/>
        <v>0</v>
      </c>
      <c r="O75" s="271"/>
      <c r="P75" s="272"/>
      <c r="Q75" s="2"/>
    </row>
    <row r="76" spans="1:17">
      <c r="A76" s="2"/>
      <c r="B76" s="251"/>
      <c r="C76" s="251"/>
      <c r="D76" s="251"/>
      <c r="E76" s="252"/>
      <c r="F76" s="253"/>
      <c r="G76" s="3" t="s">
        <v>115</v>
      </c>
      <c r="H76" s="3"/>
      <c r="I76" s="3"/>
      <c r="J76" s="3"/>
      <c r="K76" s="3"/>
      <c r="L76" s="3"/>
      <c r="M76" s="3"/>
      <c r="N76" s="3"/>
      <c r="O76" s="152"/>
      <c r="P76" s="2"/>
    </row>
    <row r="77" spans="1:17">
      <c r="A77" s="1442" t="s">
        <v>208</v>
      </c>
      <c r="B77" s="152"/>
      <c r="C77" s="152"/>
      <c r="D77" s="152"/>
      <c r="E77" s="3"/>
      <c r="F77" s="3"/>
      <c r="G77" s="3"/>
      <c r="H77" s="3"/>
      <c r="I77" s="3"/>
      <c r="J77" s="3"/>
      <c r="K77" s="3"/>
      <c r="L77" s="3"/>
      <c r="M77" s="3"/>
      <c r="N77" s="3"/>
      <c r="O77" s="152"/>
      <c r="P77" s="2"/>
      <c r="Q77" s="3"/>
    </row>
    <row r="78" spans="1:17">
      <c r="A78" s="2" t="s">
        <v>90</v>
      </c>
      <c r="B78" s="152"/>
      <c r="C78" s="152"/>
      <c r="D78" s="152"/>
      <c r="E78" s="3"/>
      <c r="F78" s="3"/>
      <c r="G78" s="3"/>
      <c r="H78" s="3"/>
      <c r="I78" s="3"/>
      <c r="J78" s="3"/>
      <c r="K78" s="3"/>
      <c r="L78" s="3"/>
      <c r="M78" s="3"/>
      <c r="N78" s="3"/>
      <c r="O78" s="152"/>
      <c r="P78" s="2"/>
      <c r="Q78" s="3"/>
    </row>
    <row r="79" spans="1:17">
      <c r="A79" s="1442" t="s">
        <v>209</v>
      </c>
      <c r="B79" s="152"/>
      <c r="C79" s="152"/>
      <c r="D79" s="152"/>
      <c r="E79" s="3"/>
      <c r="F79" s="3"/>
      <c r="G79" s="3"/>
      <c r="H79" s="3"/>
      <c r="I79" s="3"/>
      <c r="J79" s="3"/>
      <c r="K79" s="3"/>
      <c r="L79" s="3"/>
      <c r="M79" s="3"/>
      <c r="N79" s="3"/>
      <c r="O79" s="152"/>
      <c r="P79" s="2"/>
      <c r="Q79" s="3"/>
    </row>
    <row r="80" spans="1:17">
      <c r="A80" s="1443" t="s">
        <v>92</v>
      </c>
      <c r="B80" s="152"/>
      <c r="C80" s="152"/>
      <c r="D80" s="152"/>
      <c r="E80" s="3"/>
      <c r="F80" s="3"/>
      <c r="G80" s="3"/>
      <c r="H80" s="3"/>
      <c r="J80" s="3"/>
      <c r="K80" s="3"/>
      <c r="L80" s="3"/>
      <c r="M80" s="3"/>
      <c r="N80" s="3"/>
      <c r="O80" s="152"/>
      <c r="P80" s="2"/>
      <c r="Q80" s="281"/>
    </row>
    <row r="81" spans="1:17">
      <c r="A81" s="2" t="s">
        <v>93</v>
      </c>
      <c r="B81" s="2"/>
      <c r="C81" s="2"/>
      <c r="D81" s="2"/>
      <c r="E81" s="3"/>
      <c r="F81" s="3"/>
      <c r="G81" s="3"/>
      <c r="H81" s="3"/>
      <c r="K81" s="3"/>
      <c r="M81" s="3"/>
      <c r="N81" s="3"/>
      <c r="O81" s="152"/>
      <c r="P81" s="2"/>
    </row>
    <row r="82" spans="1:17">
      <c r="A82" s="2" t="s">
        <v>94</v>
      </c>
      <c r="B82" s="2"/>
      <c r="C82" s="2"/>
      <c r="D82" s="2"/>
      <c r="E82" s="3"/>
      <c r="F82" s="3"/>
      <c r="G82" s="3"/>
      <c r="H82" s="3"/>
      <c r="K82" s="3"/>
      <c r="M82" s="3"/>
      <c r="N82" s="3"/>
      <c r="O82" s="273"/>
      <c r="P82" s="2"/>
    </row>
    <row r="83" spans="1:17">
      <c r="A83" s="2" t="s">
        <v>95</v>
      </c>
      <c r="B83" s="2"/>
      <c r="C83" s="2"/>
      <c r="D83" s="2"/>
      <c r="E83" s="3"/>
      <c r="F83" s="3"/>
      <c r="G83" s="3"/>
      <c r="H83" s="3"/>
      <c r="K83" s="3"/>
      <c r="L83" s="3"/>
      <c r="M83" s="3"/>
      <c r="N83" s="3"/>
      <c r="O83" s="152"/>
      <c r="P83" s="2"/>
    </row>
    <row r="86" spans="1:17">
      <c r="K86" s="280"/>
    </row>
    <row r="87" spans="1:17">
      <c r="A87" s="263"/>
      <c r="B87" s="263"/>
      <c r="C87" s="263"/>
      <c r="D87" s="264"/>
      <c r="E87" s="264"/>
      <c r="F87" s="264"/>
      <c r="G87" s="264"/>
      <c r="O87" s="265"/>
      <c r="P87" s="265"/>
    </row>
    <row r="88" spans="1:17">
      <c r="D88" s="265"/>
      <c r="L88" s="3"/>
      <c r="O88" s="265"/>
      <c r="P88" s="265"/>
      <c r="Q88" s="265"/>
    </row>
    <row r="89" spans="1:17">
      <c r="D89" s="265"/>
      <c r="L89" s="3"/>
      <c r="O89" s="265"/>
      <c r="P89" s="265"/>
      <c r="Q89" s="265"/>
    </row>
    <row r="90" spans="1:17">
      <c r="D90" s="265"/>
      <c r="L90" s="3"/>
      <c r="O90" s="265"/>
      <c r="P90" s="265"/>
      <c r="Q90" s="265"/>
    </row>
    <row r="91" spans="1:17">
      <c r="D91" s="265"/>
      <c r="L91" s="3"/>
      <c r="O91" s="265"/>
      <c r="P91" s="265"/>
      <c r="Q91" s="265"/>
    </row>
    <row r="92" spans="1:17">
      <c r="D92" s="265"/>
      <c r="O92" s="265"/>
      <c r="P92" s="265"/>
      <c r="Q92" s="265"/>
    </row>
    <row r="93" spans="1:17">
      <c r="D93" s="265"/>
      <c r="O93" s="265"/>
      <c r="P93" s="265"/>
      <c r="Q93" s="265"/>
    </row>
    <row r="94" spans="1:17">
      <c r="D94" s="265"/>
      <c r="O94" s="265"/>
      <c r="P94" s="265"/>
      <c r="Q94" s="265"/>
    </row>
    <row r="95" spans="1:17">
      <c r="A95" s="263"/>
      <c r="B95" s="263"/>
      <c r="C95" s="263"/>
      <c r="D95" s="264"/>
      <c r="E95" s="264"/>
      <c r="F95" s="264"/>
      <c r="G95" s="264"/>
      <c r="O95" s="265"/>
      <c r="P95" s="265"/>
      <c r="Q95" s="265"/>
    </row>
    <row r="96" spans="1:17">
      <c r="D96" s="265"/>
      <c r="O96" s="265"/>
      <c r="P96" s="265"/>
      <c r="Q96" s="265"/>
    </row>
    <row r="97" spans="4:17">
      <c r="D97" s="265"/>
      <c r="O97" s="265"/>
      <c r="P97" s="265"/>
      <c r="Q97" s="265"/>
    </row>
    <row r="98" spans="4:17">
      <c r="D98" s="265"/>
      <c r="O98" s="265"/>
      <c r="P98" s="265"/>
      <c r="Q98" s="265"/>
    </row>
    <row r="99" spans="4:17">
      <c r="D99" s="265"/>
      <c r="O99" s="265"/>
      <c r="P99" s="265"/>
      <c r="Q99" s="265"/>
    </row>
    <row r="100" spans="4:17">
      <c r="D100" s="265"/>
      <c r="O100" s="265"/>
      <c r="P100" s="265"/>
      <c r="Q100" s="265"/>
    </row>
    <row r="101" spans="4:17">
      <c r="D101" s="265"/>
      <c r="O101" s="265"/>
      <c r="P101" s="265"/>
      <c r="Q101" s="265"/>
    </row>
    <row r="102" spans="4:17">
      <c r="D102" s="265"/>
      <c r="O102" s="265"/>
      <c r="P102" s="265"/>
      <c r="Q102" s="265"/>
    </row>
    <row r="103" spans="4:17">
      <c r="E103" s="264"/>
      <c r="O103" s="265"/>
      <c r="P103" s="265"/>
      <c r="Q103" s="265"/>
    </row>
  </sheetData>
  <mergeCells count="7">
    <mergeCell ref="A1:O1"/>
    <mergeCell ref="A3:A4"/>
    <mergeCell ref="B3:B4"/>
    <mergeCell ref="C3:C4"/>
    <mergeCell ref="D3:D4"/>
    <mergeCell ref="E3:N3"/>
    <mergeCell ref="O3:O4"/>
  </mergeCells>
  <conditionalFormatting sqref="O6:O70">
    <cfRule type="cellIs" dxfId="3" priority="1" operator="between">
      <formula>0.01</formula>
      <formula>0.99</formula>
    </cfRule>
    <cfRule type="expression" dxfId="2" priority="2">
      <formula>AND($O6&gt;100%,$O6&lt;100%)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643AF-774B-4F92-8E34-2DED688C23A3}">
  <dimension ref="A1:Q103"/>
  <sheetViews>
    <sheetView tabSelected="1" topLeftCell="A5" workbookViewId="0">
      <selection activeCell="M15" sqref="M15"/>
    </sheetView>
  </sheetViews>
  <sheetFormatPr defaultColWidth="9" defaultRowHeight="14.4"/>
  <cols>
    <col min="1" max="1" width="33.88671875" customWidth="1"/>
    <col min="2" max="4" width="12.6640625" customWidth="1"/>
    <col min="5" max="14" width="12.109375" customWidth="1"/>
    <col min="15" max="15" width="9.6640625" customWidth="1"/>
  </cols>
  <sheetData>
    <row r="1" spans="1:17" ht="15.6">
      <c r="A1" s="1780" t="s">
        <v>251</v>
      </c>
      <c r="B1" s="1780"/>
      <c r="C1" s="1780"/>
      <c r="D1" s="1780"/>
      <c r="E1" s="1780"/>
      <c r="F1" s="1780"/>
      <c r="G1" s="1780"/>
      <c r="H1" s="1780"/>
      <c r="I1" s="1780"/>
      <c r="J1" s="1780"/>
      <c r="K1" s="1780"/>
      <c r="L1" s="1780"/>
      <c r="M1" s="1780"/>
      <c r="N1" s="1780"/>
      <c r="O1" s="1780"/>
      <c r="P1" s="151"/>
      <c r="Q1" s="221"/>
    </row>
    <row r="2" spans="1:17" ht="15" thickBot="1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152"/>
      <c r="P2" s="2"/>
    </row>
    <row r="3" spans="1:17" ht="27" customHeight="1">
      <c r="A3" s="1784" t="s">
        <v>1</v>
      </c>
      <c r="B3" s="1786" t="s">
        <v>217</v>
      </c>
      <c r="C3" s="1786" t="s">
        <v>252</v>
      </c>
      <c r="D3" s="1788" t="s">
        <v>253</v>
      </c>
      <c r="E3" s="1781" t="s">
        <v>254</v>
      </c>
      <c r="F3" s="1782"/>
      <c r="G3" s="1782"/>
      <c r="H3" s="1782"/>
      <c r="I3" s="1782"/>
      <c r="J3" s="1782"/>
      <c r="K3" s="1782"/>
      <c r="L3" s="1782"/>
      <c r="M3" s="1782"/>
      <c r="N3" s="1783"/>
      <c r="O3" s="1790" t="s">
        <v>255</v>
      </c>
      <c r="P3" s="154"/>
    </row>
    <row r="4" spans="1:17" ht="28.2" thickBot="1">
      <c r="A4" s="1785"/>
      <c r="B4" s="1787"/>
      <c r="C4" s="1787"/>
      <c r="D4" s="1789"/>
      <c r="E4" s="6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155" t="s">
        <v>12</v>
      </c>
      <c r="K4" s="156" t="s">
        <v>13</v>
      </c>
      <c r="L4" s="156" t="s">
        <v>14</v>
      </c>
      <c r="M4" s="157" t="s">
        <v>15</v>
      </c>
      <c r="N4" s="158" t="s">
        <v>16</v>
      </c>
      <c r="O4" s="1791"/>
      <c r="P4" s="154"/>
    </row>
    <row r="5" spans="1:17" ht="15.6">
      <c r="A5" s="8"/>
      <c r="B5" s="9"/>
      <c r="C5" s="9"/>
      <c r="D5" s="10"/>
      <c r="E5" s="11"/>
      <c r="F5" s="12"/>
      <c r="G5" s="12"/>
      <c r="H5" s="12"/>
      <c r="I5" s="12"/>
      <c r="J5" s="160"/>
      <c r="K5" s="12"/>
      <c r="L5" s="12"/>
      <c r="M5" s="160"/>
      <c r="N5" s="161"/>
      <c r="O5" s="162"/>
      <c r="P5" s="154"/>
    </row>
    <row r="6" spans="1:17">
      <c r="A6" s="13" t="s">
        <v>222</v>
      </c>
      <c r="B6" s="1792">
        <f t="shared" ref="B6:N6" si="0">SUM(B7:B26)</f>
        <v>8323043</v>
      </c>
      <c r="C6" s="1792">
        <f t="shared" si="0"/>
        <v>3851771</v>
      </c>
      <c r="D6" s="1792">
        <f t="shared" si="0"/>
        <v>4251666</v>
      </c>
      <c r="E6" s="1793">
        <f t="shared" si="0"/>
        <v>723834.8</v>
      </c>
      <c r="F6" s="1792">
        <f t="shared" si="0"/>
        <v>191857</v>
      </c>
      <c r="G6" s="1792">
        <f t="shared" si="0"/>
        <v>194711</v>
      </c>
      <c r="H6" s="1792">
        <f t="shared" si="0"/>
        <v>35205.4</v>
      </c>
      <c r="I6" s="1792">
        <f t="shared" si="0"/>
        <v>36166.400000000001</v>
      </c>
      <c r="J6" s="1792">
        <f t="shared" si="0"/>
        <v>4659</v>
      </c>
      <c r="K6" s="1792">
        <f t="shared" si="0"/>
        <v>66806</v>
      </c>
      <c r="L6" s="1792">
        <f t="shared" si="0"/>
        <v>68477</v>
      </c>
      <c r="M6" s="1792">
        <f t="shared" si="0"/>
        <v>4031</v>
      </c>
      <c r="N6" s="1794">
        <f t="shared" si="0"/>
        <v>13223</v>
      </c>
      <c r="O6" s="1795">
        <f t="shared" ref="O6:O11" si="1">+D6/C6</f>
        <v>1.1038210734750327</v>
      </c>
      <c r="P6" s="165"/>
      <c r="Q6" s="197"/>
    </row>
    <row r="7" spans="1:17">
      <c r="A7" s="18" t="s">
        <v>178</v>
      </c>
      <c r="B7" s="1796">
        <v>0</v>
      </c>
      <c r="C7" s="19"/>
      <c r="D7" s="1797">
        <v>0</v>
      </c>
      <c r="E7" s="1798">
        <v>0</v>
      </c>
      <c r="F7" s="1799">
        <v>0</v>
      </c>
      <c r="G7" s="1799">
        <v>0</v>
      </c>
      <c r="H7" s="1799">
        <v>0</v>
      </c>
      <c r="I7" s="1799">
        <v>0</v>
      </c>
      <c r="J7" s="1799">
        <v>0</v>
      </c>
      <c r="K7" s="51"/>
      <c r="L7" s="51"/>
      <c r="M7" s="51"/>
      <c r="N7" s="166"/>
      <c r="O7" s="1795"/>
      <c r="P7" s="165"/>
      <c r="Q7" s="2"/>
    </row>
    <row r="8" spans="1:17">
      <c r="A8" s="1448" t="s">
        <v>250</v>
      </c>
      <c r="B8" s="1800"/>
      <c r="C8" s="393"/>
      <c r="D8" s="1797">
        <v>0</v>
      </c>
      <c r="E8" s="1798">
        <v>0</v>
      </c>
      <c r="F8" s="1799">
        <v>0</v>
      </c>
      <c r="G8" s="1799">
        <v>0</v>
      </c>
      <c r="H8" s="1799">
        <v>0</v>
      </c>
      <c r="I8" s="1799">
        <v>0</v>
      </c>
      <c r="J8" s="1799">
        <v>0</v>
      </c>
      <c r="K8" s="168"/>
      <c r="L8" s="168"/>
      <c r="M8" s="168"/>
      <c r="N8" s="169"/>
      <c r="O8" s="1795"/>
      <c r="P8" s="170"/>
      <c r="Q8" s="2"/>
    </row>
    <row r="9" spans="1:17">
      <c r="A9" s="18" t="s">
        <v>180</v>
      </c>
      <c r="B9" s="1800">
        <f>195272+119565+111251+124577+111240+113765+121727+107555+127919+124121+129654</f>
        <v>1386646</v>
      </c>
      <c r="C9" s="89">
        <v>661905</v>
      </c>
      <c r="D9" s="1801">
        <f>129474+89046+106923+132055+117406+118019</f>
        <v>692923</v>
      </c>
      <c r="E9" s="1802">
        <f t="shared" ref="E9:E14" si="2">SUM(F9:J9)</f>
        <v>118019</v>
      </c>
      <c r="F9" s="1803">
        <v>40763</v>
      </c>
      <c r="G9" s="1803">
        <v>41088</v>
      </c>
      <c r="H9" s="1803">
        <v>18378</v>
      </c>
      <c r="I9" s="1803">
        <v>17790</v>
      </c>
      <c r="J9" s="1804"/>
      <c r="K9" s="51"/>
      <c r="L9" s="51"/>
      <c r="M9" s="51"/>
      <c r="N9" s="166"/>
      <c r="O9" s="1795">
        <f t="shared" si="1"/>
        <v>1.046861709761975</v>
      </c>
      <c r="P9" s="172"/>
      <c r="Q9" s="222"/>
    </row>
    <row r="10" spans="1:17">
      <c r="A10" s="25" t="s">
        <v>181</v>
      </c>
      <c r="B10" s="1805">
        <f>194433+49476</f>
        <v>243909</v>
      </c>
      <c r="C10" s="1806">
        <v>32952</v>
      </c>
      <c r="D10" s="1807">
        <f>55403+31061+41447+44980+59665+72859</f>
        <v>305415</v>
      </c>
      <c r="E10" s="1808">
        <f t="shared" si="2"/>
        <v>72859</v>
      </c>
      <c r="F10" s="1809">
        <v>35316</v>
      </c>
      <c r="G10" s="1809">
        <v>33877</v>
      </c>
      <c r="H10" s="1810">
        <v>0</v>
      </c>
      <c r="I10" s="1810">
        <v>0</v>
      </c>
      <c r="J10" s="1809">
        <v>3666</v>
      </c>
      <c r="K10" s="173">
        <v>11879</v>
      </c>
      <c r="L10" s="173">
        <f>16538+1231</f>
        <v>17769</v>
      </c>
      <c r="M10" s="173">
        <v>1195</v>
      </c>
      <c r="N10" s="1811">
        <v>1280</v>
      </c>
      <c r="O10" s="1795"/>
      <c r="P10" s="172"/>
      <c r="Q10" s="222"/>
    </row>
    <row r="11" spans="1:17">
      <c r="A11" s="18" t="s">
        <v>21</v>
      </c>
      <c r="B11" s="393">
        <f>131015+78250+105874+111968+99207+123596+111773+110146+91651+118422+115294+111602</f>
        <v>1308798</v>
      </c>
      <c r="C11" s="89">
        <v>649910</v>
      </c>
      <c r="D11" s="1812">
        <f>123477+92455+106019+117303+109112+104342</f>
        <v>652708</v>
      </c>
      <c r="E11" s="1808">
        <f t="shared" si="2"/>
        <v>104342</v>
      </c>
      <c r="F11" s="1813">
        <v>47021</v>
      </c>
      <c r="G11" s="1813">
        <v>57318</v>
      </c>
      <c r="H11" s="1810">
        <v>0</v>
      </c>
      <c r="I11" s="1810">
        <v>0</v>
      </c>
      <c r="J11" s="1810">
        <v>3</v>
      </c>
      <c r="K11" s="168">
        <v>12642</v>
      </c>
      <c r="L11" s="168">
        <f>16612+6953</f>
        <v>23565</v>
      </c>
      <c r="M11" s="175"/>
      <c r="N11" s="166"/>
      <c r="O11" s="1795">
        <f t="shared" si="1"/>
        <v>1.0043052114908217</v>
      </c>
      <c r="P11" s="170"/>
      <c r="Q11" s="222"/>
    </row>
    <row r="12" spans="1:17">
      <c r="A12" s="18" t="s">
        <v>22</v>
      </c>
      <c r="B12" s="1800"/>
      <c r="C12" s="89"/>
      <c r="D12" s="1814"/>
      <c r="E12" s="1802">
        <f t="shared" si="2"/>
        <v>0</v>
      </c>
      <c r="F12" s="1803"/>
      <c r="G12" s="1803"/>
      <c r="H12" s="1803"/>
      <c r="I12" s="1803"/>
      <c r="J12" s="227"/>
      <c r="K12" s="168"/>
      <c r="L12" s="168"/>
      <c r="M12" s="168"/>
      <c r="N12" s="169"/>
      <c r="O12" s="1795"/>
      <c r="P12" s="172"/>
      <c r="Q12" s="222"/>
    </row>
    <row r="13" spans="1:17">
      <c r="A13" s="18" t="s">
        <v>182</v>
      </c>
      <c r="B13" s="1800">
        <f>74332+41587+36538+49878+32546+31277+34151+28168+37725+30539+35982</f>
        <v>432723</v>
      </c>
      <c r="C13" s="89">
        <v>234881</v>
      </c>
      <c r="D13" s="1814">
        <f>36880+26026+37227+40163+36676+35981</f>
        <v>212953</v>
      </c>
      <c r="E13" s="1802">
        <f t="shared" si="2"/>
        <v>35981</v>
      </c>
      <c r="F13" s="1815">
        <v>17487</v>
      </c>
      <c r="G13" s="1815">
        <v>17225</v>
      </c>
      <c r="H13" s="1815">
        <v>833</v>
      </c>
      <c r="I13" s="1815">
        <v>436</v>
      </c>
      <c r="J13" s="1815">
        <v>0</v>
      </c>
      <c r="K13" s="1816">
        <v>10749</v>
      </c>
      <c r="L13" s="1816">
        <f>475+7922+605+94</f>
        <v>9096</v>
      </c>
      <c r="M13" s="175">
        <v>0</v>
      </c>
      <c r="N13" s="175">
        <v>0</v>
      </c>
      <c r="O13" s="1795">
        <f t="shared" ref="O13:O25" si="3">+D13/C13</f>
        <v>0.90664208684397629</v>
      </c>
      <c r="P13" s="170"/>
      <c r="Q13" s="222"/>
    </row>
    <row r="14" spans="1:17">
      <c r="A14" s="35" t="s">
        <v>25</v>
      </c>
      <c r="B14" s="1800">
        <f>1255391+108887+133144</f>
        <v>1497422</v>
      </c>
      <c r="C14" s="89">
        <v>744224</v>
      </c>
      <c r="D14" s="1801">
        <f>121167+93579+112818+116687+117872+107506</f>
        <v>669629</v>
      </c>
      <c r="E14" s="1802">
        <f t="shared" si="2"/>
        <v>107505.79999999999</v>
      </c>
      <c r="F14" s="1817">
        <v>51270</v>
      </c>
      <c r="G14" s="1817">
        <v>45203</v>
      </c>
      <c r="H14" s="1817">
        <v>4867.3999999999996</v>
      </c>
      <c r="I14" s="1817">
        <v>5175.3999999999996</v>
      </c>
      <c r="J14" s="1809">
        <v>990</v>
      </c>
      <c r="K14" s="176">
        <v>26064</v>
      </c>
      <c r="L14" s="176">
        <f>4814+8520+2114+820+117</f>
        <v>16385</v>
      </c>
      <c r="M14" s="176">
        <v>2836</v>
      </c>
      <c r="N14" s="177">
        <v>11943</v>
      </c>
      <c r="O14" s="1795">
        <f t="shared" si="3"/>
        <v>0.89976808057789048</v>
      </c>
      <c r="P14" s="170"/>
      <c r="Q14" s="222"/>
    </row>
    <row r="15" spans="1:17">
      <c r="A15" s="18" t="s">
        <v>26</v>
      </c>
      <c r="B15" s="1800"/>
      <c r="C15" s="89"/>
      <c r="D15" s="1801"/>
      <c r="E15" s="1802"/>
      <c r="F15" s="1803"/>
      <c r="G15" s="1803"/>
      <c r="H15" s="1803"/>
      <c r="I15" s="1803"/>
      <c r="J15" s="227"/>
      <c r="K15" s="51"/>
      <c r="L15" s="168"/>
      <c r="M15" s="168"/>
      <c r="N15" s="169"/>
      <c r="O15" s="1795"/>
      <c r="P15" s="178"/>
      <c r="Q15" s="222"/>
    </row>
    <row r="16" spans="1:17">
      <c r="A16" s="18" t="s">
        <v>27</v>
      </c>
      <c r="B16" s="1800">
        <v>0</v>
      </c>
      <c r="C16" s="89"/>
      <c r="D16" s="1801"/>
      <c r="E16" s="1802"/>
      <c r="F16" s="1803"/>
      <c r="G16" s="1803"/>
      <c r="H16" s="1803"/>
      <c r="I16" s="1803"/>
      <c r="J16" s="227"/>
      <c r="K16" s="51"/>
      <c r="L16" s="51"/>
      <c r="M16" s="168"/>
      <c r="N16" s="169"/>
      <c r="O16" s="1795"/>
      <c r="P16" s="178"/>
      <c r="Q16" s="222"/>
    </row>
    <row r="17" spans="1:17" ht="15" thickBot="1">
      <c r="A17" s="37" t="s">
        <v>28</v>
      </c>
      <c r="B17" s="1818">
        <f>19907+16036+17100+18000+13965+16816+21546+15500+19650+16189+17500</f>
        <v>192209</v>
      </c>
      <c r="C17" s="1819">
        <v>85008</v>
      </c>
      <c r="D17" s="1820">
        <f>23800+13403+20181+20068+20579+21658</f>
        <v>119689</v>
      </c>
      <c r="E17" s="1821">
        <v>21658</v>
      </c>
      <c r="F17" s="1822"/>
      <c r="G17" s="1822"/>
      <c r="H17" s="1822"/>
      <c r="I17" s="1822"/>
      <c r="J17" s="1822"/>
      <c r="K17" s="179"/>
      <c r="L17" s="179"/>
      <c r="M17" s="179"/>
      <c r="N17" s="180"/>
      <c r="O17" s="1823">
        <f t="shared" si="3"/>
        <v>1.4079733672124977</v>
      </c>
      <c r="P17" s="182"/>
      <c r="Q17" s="223"/>
    </row>
    <row r="18" spans="1:17">
      <c r="A18" s="42" t="s">
        <v>29</v>
      </c>
      <c r="B18" s="1824">
        <v>685261</v>
      </c>
      <c r="C18" s="1825">
        <v>312596</v>
      </c>
      <c r="D18" s="1826">
        <f>33488+56615+52928+57205+52042+44226</f>
        <v>296504</v>
      </c>
      <c r="E18" s="1827">
        <v>44226</v>
      </c>
      <c r="F18" s="46"/>
      <c r="G18" s="46"/>
      <c r="H18" s="46"/>
      <c r="I18" s="46"/>
      <c r="J18" s="46"/>
      <c r="K18" s="46"/>
      <c r="L18" s="46"/>
      <c r="M18" s="46"/>
      <c r="N18" s="183"/>
      <c r="O18" s="1828">
        <f t="shared" si="3"/>
        <v>0.94852141422155112</v>
      </c>
      <c r="P18" s="185"/>
      <c r="Q18" s="185"/>
    </row>
    <row r="19" spans="1:17">
      <c r="A19" s="47" t="s">
        <v>30</v>
      </c>
      <c r="B19" s="1829">
        <v>250606</v>
      </c>
      <c r="C19" s="1830">
        <v>128551</v>
      </c>
      <c r="D19" s="1831">
        <f>18293+22696+22549+22603+20356+22647</f>
        <v>129144</v>
      </c>
      <c r="E19" s="1832">
        <v>22647</v>
      </c>
      <c r="F19" s="51"/>
      <c r="G19" s="51"/>
      <c r="H19" s="51"/>
      <c r="I19" s="51"/>
      <c r="J19" s="51"/>
      <c r="K19" s="51"/>
      <c r="L19" s="51"/>
      <c r="M19" s="51"/>
      <c r="N19" s="166"/>
      <c r="O19" s="1795">
        <f t="shared" si="3"/>
        <v>1.0046129551695435</v>
      </c>
      <c r="P19" s="186"/>
      <c r="Q19" s="152"/>
    </row>
    <row r="20" spans="1:17">
      <c r="A20" s="47" t="s">
        <v>31</v>
      </c>
      <c r="B20" s="1829">
        <v>66447</v>
      </c>
      <c r="C20" s="1830">
        <v>33066</v>
      </c>
      <c r="D20" s="1831">
        <f>4583+5222+5122+4437+4747+3333</f>
        <v>27444</v>
      </c>
      <c r="E20" s="1832">
        <v>3333</v>
      </c>
      <c r="F20" s="51"/>
      <c r="G20" s="51"/>
      <c r="H20" s="51"/>
      <c r="I20" s="51"/>
      <c r="J20" s="51"/>
      <c r="K20" s="51"/>
      <c r="L20" s="51"/>
      <c r="M20" s="51"/>
      <c r="N20" s="166"/>
      <c r="O20" s="1795">
        <f t="shared" si="3"/>
        <v>0.82997641081473417</v>
      </c>
      <c r="P20" s="187"/>
      <c r="Q20" s="2"/>
    </row>
    <row r="21" spans="1:17">
      <c r="A21" s="47" t="s">
        <v>32</v>
      </c>
      <c r="B21" s="1829">
        <v>450014</v>
      </c>
      <c r="C21" s="1830">
        <v>230930</v>
      </c>
      <c r="D21" s="1831">
        <f>22615+31008+29908+32514+35701+33677</f>
        <v>185423</v>
      </c>
      <c r="E21" s="1832">
        <v>33677</v>
      </c>
      <c r="F21" s="51"/>
      <c r="G21" s="51"/>
      <c r="H21" s="51"/>
      <c r="I21" s="51"/>
      <c r="J21" s="51"/>
      <c r="K21" s="51"/>
      <c r="L21" s="51"/>
      <c r="M21" s="51"/>
      <c r="N21" s="166"/>
      <c r="O21" s="1795">
        <f t="shared" si="3"/>
        <v>0.80294028493482872</v>
      </c>
      <c r="P21" s="187"/>
      <c r="Q21" s="2"/>
    </row>
    <row r="22" spans="1:17">
      <c r="A22" s="47" t="s">
        <v>33</v>
      </c>
      <c r="B22" s="1829">
        <v>144643</v>
      </c>
      <c r="C22" s="1830">
        <v>76807</v>
      </c>
      <c r="D22" s="1831">
        <f>9227+13630+12419+10791+7328+10000</f>
        <v>63395</v>
      </c>
      <c r="E22" s="1832">
        <v>10000</v>
      </c>
      <c r="F22" s="51"/>
      <c r="G22" s="51"/>
      <c r="H22" s="51"/>
      <c r="I22" s="51"/>
      <c r="J22" s="51"/>
      <c r="K22" s="51"/>
      <c r="L22" s="51"/>
      <c r="M22" s="51"/>
      <c r="N22" s="166"/>
      <c r="O22" s="1795">
        <f t="shared" si="3"/>
        <v>0.8253804991732524</v>
      </c>
      <c r="P22" s="187"/>
      <c r="Q22" s="2"/>
    </row>
    <row r="23" spans="1:17">
      <c r="A23" s="47" t="s">
        <v>34</v>
      </c>
      <c r="B23" s="1829">
        <v>418181</v>
      </c>
      <c r="C23" s="1830">
        <v>156747</v>
      </c>
      <c r="D23" s="1831">
        <f>28224+52313+51566+43573+42922+39364</f>
        <v>257962</v>
      </c>
      <c r="E23" s="1832">
        <v>39364</v>
      </c>
      <c r="F23" s="51"/>
      <c r="G23" s="51"/>
      <c r="H23" s="51"/>
      <c r="I23" s="51"/>
      <c r="J23" s="51"/>
      <c r="K23" s="51"/>
      <c r="L23" s="51"/>
      <c r="M23" s="51"/>
      <c r="N23" s="166"/>
      <c r="O23" s="1795">
        <f t="shared" si="3"/>
        <v>1.6457220871850817</v>
      </c>
      <c r="P23" s="187"/>
      <c r="Q23" s="2"/>
    </row>
    <row r="24" spans="1:17">
      <c r="A24" s="53" t="s">
        <v>35</v>
      </c>
      <c r="B24" s="1829">
        <v>154824</v>
      </c>
      <c r="C24" s="1830">
        <v>89796</v>
      </c>
      <c r="D24" s="1831">
        <f>7472+11209+10455+11084+11970+10954</f>
        <v>63144</v>
      </c>
      <c r="E24" s="1832">
        <v>10954</v>
      </c>
      <c r="F24" s="51"/>
      <c r="G24" s="51"/>
      <c r="H24" s="51"/>
      <c r="I24" s="51"/>
      <c r="J24" s="51"/>
      <c r="K24" s="51"/>
      <c r="L24" s="51"/>
      <c r="M24" s="51"/>
      <c r="N24" s="166"/>
      <c r="O24" s="1795">
        <f t="shared" si="3"/>
        <v>0.703193906187358</v>
      </c>
      <c r="P24" s="187"/>
      <c r="Q24" s="2"/>
    </row>
    <row r="25" spans="1:17">
      <c r="A25" s="53" t="s">
        <v>184</v>
      </c>
      <c r="B25" s="1829">
        <v>820504</v>
      </c>
      <c r="C25" s="1830">
        <v>281880</v>
      </c>
      <c r="D25" s="1833">
        <f>64416+76783+76675+76451+72032+75377</f>
        <v>441734</v>
      </c>
      <c r="E25" s="1834">
        <v>75377</v>
      </c>
      <c r="F25" s="51"/>
      <c r="G25" s="51"/>
      <c r="H25" s="51"/>
      <c r="I25" s="51"/>
      <c r="J25" s="51"/>
      <c r="K25" s="51"/>
      <c r="L25" s="51"/>
      <c r="M25" s="51"/>
      <c r="N25" s="166"/>
      <c r="O25" s="1795">
        <f t="shared" si="3"/>
        <v>1.5670994749538811</v>
      </c>
      <c r="P25" s="187"/>
      <c r="Q25" s="2"/>
    </row>
    <row r="26" spans="1:17">
      <c r="A26" s="56" t="s">
        <v>142</v>
      </c>
      <c r="B26" s="1835">
        <f>225080+20763+25013</f>
        <v>270856</v>
      </c>
      <c r="C26" s="1836">
        <v>132518</v>
      </c>
      <c r="D26" s="1837">
        <f>21847+15575+21563+26783+23939+23892</f>
        <v>133599</v>
      </c>
      <c r="E26" s="1838">
        <f t="shared" ref="E26:E30" si="4">SUM(F26:J26)</f>
        <v>23892</v>
      </c>
      <c r="F26" s="1839">
        <v>0</v>
      </c>
      <c r="G26" s="1839">
        <v>0</v>
      </c>
      <c r="H26" s="1840">
        <v>11127</v>
      </c>
      <c r="I26" s="1840">
        <v>12765</v>
      </c>
      <c r="J26" s="1841">
        <v>0</v>
      </c>
      <c r="K26" s="1842">
        <v>5472</v>
      </c>
      <c r="L26" s="1842">
        <f>482+1180</f>
        <v>1662</v>
      </c>
      <c r="M26" s="1843"/>
      <c r="N26" s="1844"/>
      <c r="O26" s="1795" t="e">
        <f>+D26/C27</f>
        <v>#DIV/0!</v>
      </c>
      <c r="P26" s="187"/>
      <c r="Q26" s="2"/>
    </row>
    <row r="27" spans="1:17">
      <c r="A27" s="68"/>
      <c r="B27" s="69"/>
      <c r="C27" s="1160"/>
      <c r="D27" s="70"/>
      <c r="E27" s="71"/>
      <c r="F27" s="51"/>
      <c r="G27" s="51"/>
      <c r="H27" s="51"/>
      <c r="I27" s="51"/>
      <c r="J27" s="51"/>
      <c r="K27" s="51"/>
      <c r="L27" s="51"/>
      <c r="M27" s="51"/>
      <c r="N27" s="166"/>
      <c r="O27" s="1795"/>
      <c r="P27" s="187"/>
      <c r="Q27" s="2"/>
    </row>
    <row r="28" spans="1:17">
      <c r="A28" s="72" t="s">
        <v>223</v>
      </c>
      <c r="B28" s="1845">
        <f t="shared" ref="B28:N28" si="5">SUM(B29:B31)</f>
        <v>115478</v>
      </c>
      <c r="C28" s="1845">
        <f t="shared" si="5"/>
        <v>27337</v>
      </c>
      <c r="D28" s="1845">
        <f t="shared" si="5"/>
        <v>75573</v>
      </c>
      <c r="E28" s="1845">
        <f t="shared" si="5"/>
        <v>13279</v>
      </c>
      <c r="F28" s="1845">
        <f t="shared" si="5"/>
        <v>0</v>
      </c>
      <c r="G28" s="1845">
        <f t="shared" si="5"/>
        <v>0</v>
      </c>
      <c r="H28" s="1845">
        <f t="shared" si="5"/>
        <v>6765</v>
      </c>
      <c r="I28" s="1845">
        <f t="shared" si="5"/>
        <v>6514</v>
      </c>
      <c r="J28" s="1845">
        <f t="shared" si="5"/>
        <v>0</v>
      </c>
      <c r="K28" s="1845">
        <f t="shared" si="5"/>
        <v>7089</v>
      </c>
      <c r="L28" s="1845">
        <f t="shared" si="5"/>
        <v>2857</v>
      </c>
      <c r="M28" s="1845">
        <f t="shared" si="5"/>
        <v>0</v>
      </c>
      <c r="N28" s="1845">
        <f t="shared" si="5"/>
        <v>6865</v>
      </c>
      <c r="O28" s="1795">
        <f t="shared" ref="O28:O31" si="6">+D28/C28</f>
        <v>2.764495006767385</v>
      </c>
      <c r="P28" s="192"/>
      <c r="Q28" s="197"/>
    </row>
    <row r="29" spans="1:17">
      <c r="A29" s="18" t="s">
        <v>186</v>
      </c>
      <c r="B29" s="1846">
        <f>51295+3304</f>
        <v>54599</v>
      </c>
      <c r="C29" s="270">
        <v>27337</v>
      </c>
      <c r="D29" s="1847">
        <f>4330+4738+5566+5588+5050+6414</f>
        <v>31686</v>
      </c>
      <c r="E29" s="1802">
        <f t="shared" si="4"/>
        <v>6414</v>
      </c>
      <c r="F29" s="1848">
        <v>0</v>
      </c>
      <c r="G29" s="1848">
        <v>0</v>
      </c>
      <c r="H29" s="1849">
        <v>2930</v>
      </c>
      <c r="I29" s="1849">
        <v>3484</v>
      </c>
      <c r="J29" s="1848">
        <v>0</v>
      </c>
      <c r="K29" s="168">
        <v>3354</v>
      </c>
      <c r="L29" s="168">
        <f>717+8</f>
        <v>725</v>
      </c>
      <c r="M29" s="175">
        <v>0</v>
      </c>
      <c r="N29" s="1811">
        <v>0</v>
      </c>
      <c r="O29" s="1795">
        <f t="shared" si="6"/>
        <v>1.1590884149687237</v>
      </c>
      <c r="P29" s="193"/>
      <c r="Q29" s="2"/>
    </row>
    <row r="30" spans="1:17">
      <c r="A30" s="18" t="s">
        <v>149</v>
      </c>
      <c r="B30" s="1846">
        <f>47524+6447+6908</f>
        <v>60879</v>
      </c>
      <c r="C30" s="78"/>
      <c r="D30" s="1847">
        <f>7369+6670+5687+8761+6339+6865</f>
        <v>41691</v>
      </c>
      <c r="E30" s="1808">
        <f t="shared" si="4"/>
        <v>6865</v>
      </c>
      <c r="F30" s="1848">
        <v>0</v>
      </c>
      <c r="G30" s="1848">
        <v>0</v>
      </c>
      <c r="H30" s="1849">
        <v>3835</v>
      </c>
      <c r="I30" s="1849">
        <v>3030</v>
      </c>
      <c r="J30" s="1848">
        <v>0</v>
      </c>
      <c r="K30" s="168">
        <v>3735</v>
      </c>
      <c r="L30" s="168">
        <f>2132</f>
        <v>2132</v>
      </c>
      <c r="M30" s="175">
        <v>0</v>
      </c>
      <c r="N30" s="169">
        <v>6865</v>
      </c>
      <c r="O30" s="1795" t="e">
        <f t="shared" si="6"/>
        <v>#DIV/0!</v>
      </c>
      <c r="P30" s="193"/>
      <c r="Q30" s="2"/>
    </row>
    <row r="31" spans="1:17">
      <c r="A31" s="18" t="s">
        <v>244</v>
      </c>
      <c r="B31" s="1846"/>
      <c r="C31" s="78"/>
      <c r="D31" s="1847">
        <v>2196</v>
      </c>
      <c r="E31" s="1850">
        <v>0</v>
      </c>
      <c r="F31" s="1848">
        <v>0</v>
      </c>
      <c r="G31" s="1848">
        <v>0</v>
      </c>
      <c r="H31" s="1848">
        <v>0</v>
      </c>
      <c r="I31" s="1848">
        <v>0</v>
      </c>
      <c r="J31" s="1848"/>
      <c r="K31" s="168"/>
      <c r="L31" s="168"/>
      <c r="M31" s="175"/>
      <c r="N31" s="169"/>
      <c r="O31" s="1795" t="e">
        <f t="shared" si="6"/>
        <v>#DIV/0!</v>
      </c>
      <c r="P31" s="193"/>
      <c r="Q31" s="2"/>
    </row>
    <row r="32" spans="1:17">
      <c r="A32" s="18"/>
      <c r="B32" s="1846"/>
      <c r="C32" s="78"/>
      <c r="D32" s="1847"/>
      <c r="E32" s="1808"/>
      <c r="F32" s="1848"/>
      <c r="G32" s="1848"/>
      <c r="H32" s="1849"/>
      <c r="I32" s="1849"/>
      <c r="J32" s="1848"/>
      <c r="K32" s="168"/>
      <c r="L32" s="168"/>
      <c r="M32" s="51"/>
      <c r="N32" s="169"/>
      <c r="O32" s="1795"/>
      <c r="P32" s="193"/>
      <c r="Q32" s="2"/>
    </row>
    <row r="33" spans="1:17">
      <c r="A33" s="72" t="s">
        <v>224</v>
      </c>
      <c r="B33" s="73">
        <f t="shared" ref="B33:N33" si="7">SUM(B34:B36)</f>
        <v>1031853</v>
      </c>
      <c r="C33" s="73">
        <f t="shared" si="7"/>
        <v>493722</v>
      </c>
      <c r="D33" s="73">
        <f t="shared" si="7"/>
        <v>562354</v>
      </c>
      <c r="E33" s="73">
        <f t="shared" si="7"/>
        <v>84223</v>
      </c>
      <c r="F33" s="73">
        <f t="shared" si="7"/>
        <v>32848</v>
      </c>
      <c r="G33" s="73">
        <f t="shared" si="7"/>
        <v>36547</v>
      </c>
      <c r="H33" s="73">
        <f t="shared" si="7"/>
        <v>8874</v>
      </c>
      <c r="I33" s="73">
        <f t="shared" si="7"/>
        <v>5954</v>
      </c>
      <c r="J33" s="73">
        <f t="shared" si="7"/>
        <v>0</v>
      </c>
      <c r="K33" s="73">
        <f t="shared" si="7"/>
        <v>17605</v>
      </c>
      <c r="L33" s="73">
        <f t="shared" si="7"/>
        <v>16059</v>
      </c>
      <c r="M33" s="73">
        <f t="shared" si="7"/>
        <v>0</v>
      </c>
      <c r="N33" s="73">
        <f t="shared" si="7"/>
        <v>0</v>
      </c>
      <c r="O33" s="1795">
        <f>+D33/C33</f>
        <v>1.1390094020521671</v>
      </c>
      <c r="P33" s="193"/>
      <c r="Q33" s="2"/>
    </row>
    <row r="34" spans="1:17">
      <c r="A34" s="80" t="s">
        <v>188</v>
      </c>
      <c r="B34" s="1846">
        <f>122864+65834+68474+77377+68757+73572+78703+65592+72568+68867+84388</f>
        <v>846996</v>
      </c>
      <c r="C34" s="78">
        <v>403306</v>
      </c>
      <c r="D34" s="1851">
        <f>85261+65541+78006+78867+74414+70883</f>
        <v>452972</v>
      </c>
      <c r="E34" s="1802">
        <f>SUM(F34:J34)</f>
        <v>70883</v>
      </c>
      <c r="F34" s="1852">
        <v>27855</v>
      </c>
      <c r="G34" s="1852">
        <v>30280</v>
      </c>
      <c r="H34" s="1852">
        <v>7004</v>
      </c>
      <c r="I34" s="1852">
        <v>5744</v>
      </c>
      <c r="J34" s="1848">
        <v>0</v>
      </c>
      <c r="K34" s="51">
        <v>14739</v>
      </c>
      <c r="L34" s="51">
        <f>2068+4495+1965+4039</f>
        <v>12567</v>
      </c>
      <c r="M34" s="175">
        <v>0</v>
      </c>
      <c r="N34" s="1811">
        <v>0</v>
      </c>
      <c r="O34" s="1795">
        <f>+D34/C34</f>
        <v>1.1231471884871538</v>
      </c>
      <c r="P34" s="2"/>
      <c r="Q34" s="2"/>
    </row>
    <row r="35" spans="1:17">
      <c r="A35" s="80" t="s">
        <v>189</v>
      </c>
      <c r="B35" s="1853">
        <f>35860+15843+15535+12262+10916+12135+12744+11821+20642+15465+21634</f>
        <v>184857</v>
      </c>
      <c r="C35" s="1854">
        <v>90416</v>
      </c>
      <c r="D35" s="1855">
        <f>23007+21398+17021+20210+14406+13340</f>
        <v>109382</v>
      </c>
      <c r="E35" s="1802">
        <f>SUM(F35:J35)</f>
        <v>13340</v>
      </c>
      <c r="F35" s="1856">
        <v>4993</v>
      </c>
      <c r="G35" s="1852">
        <v>6267</v>
      </c>
      <c r="H35" s="1852">
        <v>1870</v>
      </c>
      <c r="I35" s="1852">
        <v>210</v>
      </c>
      <c r="J35" s="1848">
        <v>0</v>
      </c>
      <c r="K35" s="51">
        <v>2866</v>
      </c>
      <c r="L35" s="51">
        <f>1610+12+1763+107</f>
        <v>3492</v>
      </c>
      <c r="M35" s="175">
        <v>0</v>
      </c>
      <c r="N35" s="1811">
        <v>0</v>
      </c>
      <c r="O35" s="1795">
        <f>+D35/C35</f>
        <v>1.2097637586267918</v>
      </c>
      <c r="P35" s="2"/>
      <c r="Q35" s="2"/>
    </row>
    <row r="36" spans="1:17">
      <c r="A36" s="80" t="s">
        <v>215</v>
      </c>
      <c r="B36" s="1796">
        <v>0</v>
      </c>
      <c r="C36" s="89">
        <v>0</v>
      </c>
      <c r="D36" s="1797">
        <v>0</v>
      </c>
      <c r="E36" s="1798">
        <v>0</v>
      </c>
      <c r="F36" s="1799"/>
      <c r="G36" s="1799"/>
      <c r="H36" s="1799"/>
      <c r="I36" s="1799"/>
      <c r="J36" s="1857"/>
      <c r="K36" s="168"/>
      <c r="L36" s="168"/>
      <c r="M36" s="168"/>
      <c r="N36" s="169"/>
      <c r="O36" s="1795" t="e">
        <f>+D36/C36</f>
        <v>#DIV/0!</v>
      </c>
      <c r="P36" s="2"/>
      <c r="Q36" s="2"/>
    </row>
    <row r="37" spans="1:17">
      <c r="A37" s="87"/>
      <c r="B37" s="88"/>
      <c r="C37" s="89"/>
      <c r="D37" s="90"/>
      <c r="E37" s="91"/>
      <c r="F37" s="92"/>
      <c r="G37" s="92"/>
      <c r="H37" s="92"/>
      <c r="I37" s="92"/>
      <c r="J37" s="92"/>
      <c r="K37" s="194"/>
      <c r="L37" s="194"/>
      <c r="M37" s="194"/>
      <c r="N37" s="195"/>
      <c r="O37" s="1795"/>
      <c r="P37" s="2"/>
      <c r="Q37" s="2"/>
    </row>
    <row r="38" spans="1:17" ht="28.2">
      <c r="A38" s="93" t="s">
        <v>225</v>
      </c>
      <c r="B38" s="1792">
        <f t="shared" ref="B38:N38" si="8">SUM(B39:B50)</f>
        <v>9947095</v>
      </c>
      <c r="C38" s="1792">
        <f t="shared" si="8"/>
        <v>4755675</v>
      </c>
      <c r="D38" s="1792">
        <f t="shared" si="8"/>
        <v>5142042</v>
      </c>
      <c r="E38" s="1793">
        <f t="shared" si="8"/>
        <v>883205</v>
      </c>
      <c r="F38" s="1792">
        <f t="shared" si="8"/>
        <v>345431</v>
      </c>
      <c r="G38" s="1792">
        <f t="shared" si="8"/>
        <v>302394</v>
      </c>
      <c r="H38" s="1792">
        <f t="shared" si="8"/>
        <v>83846</v>
      </c>
      <c r="I38" s="1792">
        <f t="shared" si="8"/>
        <v>150553</v>
      </c>
      <c r="J38" s="1792">
        <f t="shared" si="8"/>
        <v>981</v>
      </c>
      <c r="K38" s="1792">
        <f t="shared" si="8"/>
        <v>200819</v>
      </c>
      <c r="L38" s="1792">
        <f t="shared" si="8"/>
        <v>126466</v>
      </c>
      <c r="M38" s="1792">
        <f t="shared" si="8"/>
        <v>2127</v>
      </c>
      <c r="N38" s="1794">
        <f t="shared" si="8"/>
        <v>58762</v>
      </c>
      <c r="O38" s="1795">
        <f t="shared" ref="O38:O46" si="9">+D38/C38</f>
        <v>1.0812433566212998</v>
      </c>
      <c r="P38" s="197"/>
      <c r="Q38" s="197"/>
    </row>
    <row r="39" spans="1:17">
      <c r="A39" s="18" t="s">
        <v>191</v>
      </c>
      <c r="B39" s="1800">
        <f>141659+76024+81669+80656+83401+82771+90144+86739+86664+97258+14937</f>
        <v>921922</v>
      </c>
      <c r="C39" s="89">
        <v>463409</v>
      </c>
      <c r="D39" s="1801">
        <f>95005+67426+73618+88536+80950+80494</f>
        <v>486029</v>
      </c>
      <c r="E39" s="1802">
        <f t="shared" ref="E39:E50" si="10">SUM(F39:J39)</f>
        <v>80494</v>
      </c>
      <c r="F39" s="1848">
        <v>0</v>
      </c>
      <c r="G39" s="1848">
        <v>0</v>
      </c>
      <c r="H39" s="1803">
        <v>27149</v>
      </c>
      <c r="I39" s="1803">
        <v>53345</v>
      </c>
      <c r="J39" s="1848">
        <v>0</v>
      </c>
      <c r="K39" s="198">
        <v>1216</v>
      </c>
      <c r="L39" s="198">
        <f>18963+23</f>
        <v>18986</v>
      </c>
      <c r="M39" s="175">
        <v>0</v>
      </c>
      <c r="N39" s="166"/>
      <c r="O39" s="1795">
        <f t="shared" si="9"/>
        <v>1.0488121724006223</v>
      </c>
      <c r="P39" s="2"/>
      <c r="Q39" s="2"/>
    </row>
    <row r="40" spans="1:17">
      <c r="A40" s="18" t="s">
        <v>44</v>
      </c>
      <c r="B40" s="393">
        <f>104618+64282+60352+64355+61155+69820+67741+61649+65796+65459+67411</f>
        <v>752638</v>
      </c>
      <c r="C40" s="89">
        <v>354762</v>
      </c>
      <c r="D40" s="1858">
        <f>66996+43362+56012+60518+56234+55632</f>
        <v>338754</v>
      </c>
      <c r="E40" s="1802">
        <f t="shared" si="10"/>
        <v>55632</v>
      </c>
      <c r="F40" s="1848">
        <v>0</v>
      </c>
      <c r="G40" s="1848">
        <v>0</v>
      </c>
      <c r="H40" s="1859">
        <v>8193</v>
      </c>
      <c r="I40" s="1859">
        <v>47439</v>
      </c>
      <c r="J40" s="1848">
        <v>0</v>
      </c>
      <c r="K40" s="168">
        <v>1376</v>
      </c>
      <c r="L40" s="199">
        <f>7824+2</f>
        <v>7826</v>
      </c>
      <c r="M40" s="175">
        <v>0</v>
      </c>
      <c r="N40" s="200">
        <v>55632</v>
      </c>
      <c r="O40" s="1795">
        <f t="shared" si="9"/>
        <v>0.95487679063710318</v>
      </c>
      <c r="P40" s="2"/>
      <c r="Q40" s="2"/>
    </row>
    <row r="41" spans="1:17">
      <c r="A41" s="18" t="s">
        <v>128</v>
      </c>
      <c r="B41" s="393">
        <f>169980+39843+31052+30774</f>
        <v>271649</v>
      </c>
      <c r="C41" s="1860">
        <v>35609</v>
      </c>
      <c r="D41" s="1858">
        <f>50797+24532+39516+64348+40437+45536</f>
        <v>265166</v>
      </c>
      <c r="E41" s="1802">
        <f t="shared" si="10"/>
        <v>45536</v>
      </c>
      <c r="F41" s="1859">
        <v>24745</v>
      </c>
      <c r="G41" s="1859">
        <v>20791</v>
      </c>
      <c r="H41" s="1848">
        <v>0</v>
      </c>
      <c r="I41" s="1848">
        <v>0</v>
      </c>
      <c r="J41" s="1848">
        <v>0</v>
      </c>
      <c r="K41" s="201">
        <v>10940</v>
      </c>
      <c r="L41" s="51"/>
      <c r="M41" s="175"/>
      <c r="N41" s="166"/>
      <c r="O41" s="1795">
        <f t="shared" si="9"/>
        <v>7.4466005785054339</v>
      </c>
      <c r="P41" s="202"/>
      <c r="Q41" s="2"/>
    </row>
    <row r="42" spans="1:17">
      <c r="A42" s="80" t="s">
        <v>192</v>
      </c>
      <c r="B42" s="1853">
        <f>35539+25020+25012+26281+22284+23157+20948+19597+31370+25185+26111</f>
        <v>280504</v>
      </c>
      <c r="C42" s="1860">
        <v>134136</v>
      </c>
      <c r="D42" s="1855">
        <f>28107+13396+22563+21351+18671+21646</f>
        <v>125734</v>
      </c>
      <c r="E42" s="1802">
        <f t="shared" si="10"/>
        <v>21646</v>
      </c>
      <c r="F42" s="1848">
        <v>22</v>
      </c>
      <c r="G42" s="1848">
        <v>40</v>
      </c>
      <c r="H42" s="1803">
        <v>10786</v>
      </c>
      <c r="I42" s="1803">
        <v>10798</v>
      </c>
      <c r="J42" s="1848">
        <v>0</v>
      </c>
      <c r="K42" s="203">
        <v>4116</v>
      </c>
      <c r="L42" s="168">
        <f>22+3212+2968</f>
        <v>6202</v>
      </c>
      <c r="M42" s="168">
        <v>1790</v>
      </c>
      <c r="N42" s="166"/>
      <c r="O42" s="1795">
        <f t="shared" si="9"/>
        <v>0.93736208027673407</v>
      </c>
      <c r="P42" s="2"/>
      <c r="Q42" s="2"/>
    </row>
    <row r="43" spans="1:17">
      <c r="A43" s="80" t="s">
        <v>193</v>
      </c>
      <c r="B43" s="1861">
        <f>42541+28883+28001+23533+23137+31624+30682+26896+34161+37632+33122</f>
        <v>340212</v>
      </c>
      <c r="C43" s="1862">
        <v>146095</v>
      </c>
      <c r="D43" s="1863">
        <f>37371+20452+35221+34801+31816+31215</f>
        <v>190876</v>
      </c>
      <c r="E43" s="1802">
        <f t="shared" si="10"/>
        <v>31215</v>
      </c>
      <c r="F43" s="1848">
        <v>0</v>
      </c>
      <c r="G43" s="1848">
        <v>0</v>
      </c>
      <c r="H43" s="33">
        <v>15076</v>
      </c>
      <c r="I43" s="33">
        <v>16139</v>
      </c>
      <c r="J43" s="1848">
        <v>0</v>
      </c>
      <c r="K43" s="168">
        <v>10241</v>
      </c>
      <c r="L43" s="168">
        <f>2248+1990</f>
        <v>4238</v>
      </c>
      <c r="M43" s="168">
        <v>337</v>
      </c>
      <c r="N43" s="1811">
        <v>0</v>
      </c>
      <c r="O43" s="1795">
        <f t="shared" si="9"/>
        <v>1.3065197303124678</v>
      </c>
      <c r="P43" s="2"/>
      <c r="Q43" s="2"/>
    </row>
    <row r="44" spans="1:17">
      <c r="A44" s="80" t="s">
        <v>194</v>
      </c>
      <c r="B44" s="1864">
        <f>265227+22270+28401</f>
        <v>315898</v>
      </c>
      <c r="C44" s="1865">
        <v>151910</v>
      </c>
      <c r="D44" s="1866">
        <f>25361+15365+21112+27016+26735+26772</f>
        <v>142361</v>
      </c>
      <c r="E44" s="1802">
        <f t="shared" si="10"/>
        <v>26772</v>
      </c>
      <c r="F44" s="1803">
        <v>9389</v>
      </c>
      <c r="G44" s="1803">
        <v>17363</v>
      </c>
      <c r="H44" s="1848">
        <v>0</v>
      </c>
      <c r="I44" s="1848">
        <v>0</v>
      </c>
      <c r="J44" s="1803">
        <v>20</v>
      </c>
      <c r="K44" s="168">
        <v>7770</v>
      </c>
      <c r="L44" s="168">
        <f>563+6379</f>
        <v>6942</v>
      </c>
      <c r="M44" s="175">
        <v>0</v>
      </c>
      <c r="N44" s="169">
        <v>17</v>
      </c>
      <c r="O44" s="1795">
        <f t="shared" si="9"/>
        <v>0.93714041208610366</v>
      </c>
      <c r="P44" s="2"/>
      <c r="Q44" s="2"/>
    </row>
    <row r="45" spans="1:17">
      <c r="A45" s="80" t="s">
        <v>195</v>
      </c>
      <c r="B45" s="1861">
        <f>890002+542749+505450+501865+511958+508971+512557+491530+514214+487223+539325</f>
        <v>6005844</v>
      </c>
      <c r="C45" s="1862">
        <v>2952024</v>
      </c>
      <c r="D45" s="1863">
        <f>383857+521467+509543+530254+535905+514328</f>
        <v>2995354</v>
      </c>
      <c r="E45" s="1802">
        <f t="shared" si="10"/>
        <v>514328</v>
      </c>
      <c r="F45" s="1803">
        <v>280564</v>
      </c>
      <c r="G45" s="1803">
        <v>233764</v>
      </c>
      <c r="H45" s="1848">
        <v>0</v>
      </c>
      <c r="I45" s="1848">
        <v>0</v>
      </c>
      <c r="J45" s="1848">
        <v>0</v>
      </c>
      <c r="K45" s="51">
        <v>141102</v>
      </c>
      <c r="L45" s="51">
        <f>23873+37711</f>
        <v>61584</v>
      </c>
      <c r="M45" s="175">
        <v>0</v>
      </c>
      <c r="N45" s="1811"/>
      <c r="O45" s="1795">
        <f t="shared" si="9"/>
        <v>1.0146780649479814</v>
      </c>
      <c r="P45" s="2"/>
      <c r="Q45" s="2"/>
    </row>
    <row r="46" spans="1:17">
      <c r="A46" s="80" t="s">
        <v>49</v>
      </c>
      <c r="B46" s="1867">
        <f>400483+31413+46888</f>
        <v>478784</v>
      </c>
      <c r="C46" s="1862">
        <v>240830</v>
      </c>
      <c r="D46" s="1868">
        <f>40143+28372+35851+44309+41487+48814</f>
        <v>238976</v>
      </c>
      <c r="E46" s="1802">
        <f t="shared" si="10"/>
        <v>48814</v>
      </c>
      <c r="F46" s="1869">
        <v>1203</v>
      </c>
      <c r="G46" s="1869">
        <v>2137</v>
      </c>
      <c r="H46" s="1869">
        <v>22642</v>
      </c>
      <c r="I46" s="1869">
        <v>22832</v>
      </c>
      <c r="J46" s="1848">
        <v>0</v>
      </c>
      <c r="K46" s="199">
        <v>10648</v>
      </c>
      <c r="L46" s="199">
        <f>109+4528+3767</f>
        <v>8404</v>
      </c>
      <c r="M46" s="175"/>
      <c r="N46" s="166"/>
      <c r="O46" s="1795">
        <f t="shared" si="9"/>
        <v>0.99230162355188312</v>
      </c>
      <c r="P46" s="2"/>
      <c r="Q46" s="2"/>
    </row>
    <row r="47" spans="1:17">
      <c r="A47" s="80" t="s">
        <v>50</v>
      </c>
      <c r="B47" s="78"/>
      <c r="C47" s="1056"/>
      <c r="D47" s="1870"/>
      <c r="E47" s="1802">
        <f t="shared" si="10"/>
        <v>0</v>
      </c>
      <c r="F47" s="1871"/>
      <c r="G47" s="1871"/>
      <c r="H47" s="1871"/>
      <c r="I47" s="1871"/>
      <c r="J47" s="1871"/>
      <c r="K47" s="199"/>
      <c r="L47" s="199"/>
      <c r="M47" s="199"/>
      <c r="N47" s="200"/>
      <c r="O47" s="1795"/>
      <c r="P47" s="202"/>
      <c r="Q47" s="2"/>
    </row>
    <row r="48" spans="1:17">
      <c r="A48" s="80" t="s">
        <v>51</v>
      </c>
      <c r="B48" s="413">
        <f>2723+257+332</f>
        <v>3312</v>
      </c>
      <c r="C48" s="119">
        <v>1543</v>
      </c>
      <c r="D48" s="1872">
        <f>276+354+363+370+484+257</f>
        <v>2104</v>
      </c>
      <c r="E48" s="1802">
        <f t="shared" si="10"/>
        <v>257</v>
      </c>
      <c r="F48" s="1871">
        <v>103</v>
      </c>
      <c r="G48" s="1871">
        <v>154</v>
      </c>
      <c r="H48" s="1848">
        <v>0</v>
      </c>
      <c r="I48" s="1848">
        <v>0</v>
      </c>
      <c r="J48" s="1848">
        <v>0</v>
      </c>
      <c r="K48" s="199">
        <v>257</v>
      </c>
      <c r="L48" s="199">
        <f>103</f>
        <v>103</v>
      </c>
      <c r="M48" s="175"/>
      <c r="N48" s="166"/>
      <c r="O48" s="1795">
        <f t="shared" ref="O48:O50" si="11">+D48/C48</f>
        <v>1.3635774465327284</v>
      </c>
      <c r="P48" s="2"/>
      <c r="Q48" s="2"/>
    </row>
    <row r="49" spans="1:17" ht="15" thickBot="1">
      <c r="A49" s="107" t="s">
        <v>196</v>
      </c>
      <c r="B49" s="1873">
        <f>11927+1325+3997</f>
        <v>17249</v>
      </c>
      <c r="C49" s="1874">
        <v>6391</v>
      </c>
      <c r="D49" s="1875">
        <f>1216+1972+989+2329+1285+1022</f>
        <v>8813</v>
      </c>
      <c r="E49" s="1821">
        <f t="shared" si="10"/>
        <v>1022</v>
      </c>
      <c r="F49" s="1876">
        <v>138</v>
      </c>
      <c r="G49" s="1876">
        <v>884</v>
      </c>
      <c r="H49" s="1877">
        <v>0</v>
      </c>
      <c r="I49" s="1877">
        <v>0</v>
      </c>
      <c r="J49" s="1877">
        <v>0</v>
      </c>
      <c r="K49" s="204">
        <v>166</v>
      </c>
      <c r="L49" s="205">
        <f>4</f>
        <v>4</v>
      </c>
      <c r="M49" s="206">
        <v>0</v>
      </c>
      <c r="N49" s="207">
        <v>1022</v>
      </c>
      <c r="O49" s="1795">
        <f t="shared" si="11"/>
        <v>1.3789704271631982</v>
      </c>
      <c r="P49" s="2"/>
      <c r="Q49" s="2"/>
    </row>
    <row r="50" spans="1:17">
      <c r="A50" s="112" t="s">
        <v>197</v>
      </c>
      <c r="B50" s="1878">
        <f>46498+25145+53554+45477+47222+51070+47167+41808+32662+49246+57773+61461</f>
        <v>559083</v>
      </c>
      <c r="C50" s="1879">
        <v>268966</v>
      </c>
      <c r="D50" s="1880">
        <f>68492+57011+55849+59065+49969+57489</f>
        <v>347875</v>
      </c>
      <c r="E50" s="1881">
        <f t="shared" si="10"/>
        <v>57489</v>
      </c>
      <c r="F50" s="1882">
        <v>29267</v>
      </c>
      <c r="G50" s="1882">
        <v>27261</v>
      </c>
      <c r="H50" s="1883">
        <v>0</v>
      </c>
      <c r="I50" s="1883">
        <v>0</v>
      </c>
      <c r="J50" s="1884">
        <v>961</v>
      </c>
      <c r="K50" s="209">
        <v>12987</v>
      </c>
      <c r="L50" s="209">
        <f>7772+3695+710</f>
        <v>12177</v>
      </c>
      <c r="M50" s="210">
        <v>0</v>
      </c>
      <c r="N50" s="211">
        <v>2091</v>
      </c>
      <c r="O50" s="1795">
        <f t="shared" si="11"/>
        <v>1.2933790888067638</v>
      </c>
      <c r="P50" s="3"/>
      <c r="Q50" s="2"/>
    </row>
    <row r="51" spans="1:17">
      <c r="A51" s="87"/>
      <c r="B51" s="118"/>
      <c r="C51" s="119"/>
      <c r="D51" s="118"/>
      <c r="E51" s="120"/>
      <c r="F51" s="121"/>
      <c r="G51" s="121"/>
      <c r="H51" s="121"/>
      <c r="I51" s="121"/>
      <c r="J51" s="121"/>
      <c r="K51" s="212"/>
      <c r="L51" s="212"/>
      <c r="M51" s="212"/>
      <c r="N51" s="213"/>
      <c r="O51" s="1795"/>
      <c r="P51" s="214"/>
      <c r="Q51" s="2"/>
    </row>
    <row r="52" spans="1:17">
      <c r="A52" s="13" t="s">
        <v>226</v>
      </c>
      <c r="B52" s="1792">
        <f t="shared" ref="B52:N52" si="12">SUM(B53:B59)</f>
        <v>7605205</v>
      </c>
      <c r="C52" s="1792">
        <f t="shared" si="12"/>
        <v>3627773</v>
      </c>
      <c r="D52" s="1792">
        <f t="shared" si="12"/>
        <v>3962966</v>
      </c>
      <c r="E52" s="1793">
        <f t="shared" si="12"/>
        <v>690333</v>
      </c>
      <c r="F52" s="1792">
        <f t="shared" si="12"/>
        <v>245721</v>
      </c>
      <c r="G52" s="1792">
        <f t="shared" si="12"/>
        <v>325928</v>
      </c>
      <c r="H52" s="1792">
        <f t="shared" si="12"/>
        <v>4036</v>
      </c>
      <c r="I52" s="1792">
        <f t="shared" si="12"/>
        <v>2563</v>
      </c>
      <c r="J52" s="1792">
        <f t="shared" si="12"/>
        <v>112085</v>
      </c>
      <c r="K52" s="1792">
        <f t="shared" si="12"/>
        <v>76387</v>
      </c>
      <c r="L52" s="1792">
        <f t="shared" si="12"/>
        <v>136071</v>
      </c>
      <c r="M52" s="1792">
        <f t="shared" si="12"/>
        <v>5242</v>
      </c>
      <c r="N52" s="1794">
        <f t="shared" si="12"/>
        <v>154398</v>
      </c>
      <c r="O52" s="1795">
        <f t="shared" ref="O52:O57" si="13">+D52/C52</f>
        <v>1.0923963544576796</v>
      </c>
      <c r="P52" s="197"/>
      <c r="Q52" s="197"/>
    </row>
    <row r="53" spans="1:17">
      <c r="A53" s="80" t="s">
        <v>55</v>
      </c>
      <c r="B53" s="1800"/>
      <c r="C53" s="19"/>
      <c r="D53" s="1801"/>
      <c r="E53" s="1802">
        <v>0</v>
      </c>
      <c r="F53" s="1803"/>
      <c r="G53" s="1803"/>
      <c r="H53" s="1803"/>
      <c r="I53" s="1803"/>
      <c r="J53" s="1803"/>
      <c r="K53" s="51"/>
      <c r="L53" s="51"/>
      <c r="M53" s="51"/>
      <c r="N53" s="166"/>
      <c r="O53" s="1795"/>
      <c r="P53" s="2"/>
      <c r="Q53" s="2"/>
    </row>
    <row r="54" spans="1:17">
      <c r="A54" s="123" t="s">
        <v>56</v>
      </c>
      <c r="B54" s="1846">
        <f>209453+123222+177525+182527+179497+190574+195216+216952+167184+207469+198525+199975</f>
        <v>2248119</v>
      </c>
      <c r="C54" s="1056">
        <v>1062798</v>
      </c>
      <c r="D54" s="1851">
        <f>194209+180798+166048+177722+187781+204545</f>
        <v>1111103</v>
      </c>
      <c r="E54" s="1885">
        <f t="shared" ref="E54:E59" si="14">SUM(F54:J54)</f>
        <v>204545</v>
      </c>
      <c r="F54" s="1803">
        <v>77890</v>
      </c>
      <c r="G54" s="1886">
        <v>107516</v>
      </c>
      <c r="H54" s="1886">
        <v>4036</v>
      </c>
      <c r="I54" s="1803">
        <v>2563</v>
      </c>
      <c r="J54" s="1803">
        <v>12540</v>
      </c>
      <c r="K54" s="168">
        <v>21353</v>
      </c>
      <c r="L54" s="168">
        <f>50808+1609+8+1204+4759</f>
        <v>58388</v>
      </c>
      <c r="M54" s="215"/>
      <c r="N54" s="216"/>
      <c r="O54" s="1795">
        <f t="shared" si="13"/>
        <v>1.0454507818042562</v>
      </c>
      <c r="P54" s="217"/>
      <c r="Q54" s="2"/>
    </row>
    <row r="55" spans="1:17">
      <c r="A55" s="80" t="s">
        <v>199</v>
      </c>
      <c r="B55" s="1853">
        <f>104773+79448+108729+100750+114908+101767+109538+102101+96227+101348+80712+95735</f>
        <v>1196036</v>
      </c>
      <c r="C55" s="126">
        <v>610375</v>
      </c>
      <c r="D55" s="1855">
        <f>105063+90489+93101+75747+106617+92573</f>
        <v>563590</v>
      </c>
      <c r="E55" s="1802">
        <f t="shared" si="14"/>
        <v>92573</v>
      </c>
      <c r="F55" s="1887">
        <v>38378</v>
      </c>
      <c r="G55" s="1859">
        <v>41801</v>
      </c>
      <c r="H55" s="1848">
        <v>0</v>
      </c>
      <c r="I55" s="1848">
        <v>0</v>
      </c>
      <c r="J55" s="1859">
        <v>12394</v>
      </c>
      <c r="K55" s="51">
        <v>7357</v>
      </c>
      <c r="L55" s="51">
        <f>21946+3381+1536</f>
        <v>26863</v>
      </c>
      <c r="M55" s="175">
        <v>0</v>
      </c>
      <c r="N55" s="166"/>
      <c r="O55" s="1795">
        <f t="shared" si="13"/>
        <v>0.92335039934466512</v>
      </c>
      <c r="P55" s="218"/>
      <c r="Q55" s="2"/>
    </row>
    <row r="56" spans="1:17">
      <c r="A56" s="35" t="s">
        <v>58</v>
      </c>
      <c r="B56" s="1861">
        <f>90832+90726+97425+112194+114431+98379+101821+103316+100021+117218+109359+112333</f>
        <v>1248055</v>
      </c>
      <c r="C56" s="105">
        <v>603987</v>
      </c>
      <c r="D56" s="1863">
        <f>211807+105341+97079+112636+111919</f>
        <v>638782</v>
      </c>
      <c r="E56" s="1802">
        <f t="shared" si="14"/>
        <v>111919</v>
      </c>
      <c r="F56" s="1803">
        <v>32864</v>
      </c>
      <c r="G56" s="1803">
        <v>56735</v>
      </c>
      <c r="H56" s="1848">
        <v>0</v>
      </c>
      <c r="I56" s="1848">
        <v>0</v>
      </c>
      <c r="J56" s="1803">
        <v>22320</v>
      </c>
      <c r="K56" s="168">
        <v>11169</v>
      </c>
      <c r="L56" s="168">
        <f>8751+5177+5243</f>
        <v>19171</v>
      </c>
      <c r="M56" s="51">
        <v>3555</v>
      </c>
      <c r="N56" s="166">
        <v>74209</v>
      </c>
      <c r="O56" s="1795">
        <f t="shared" si="13"/>
        <v>1.0576088558197445</v>
      </c>
      <c r="P56" s="2"/>
      <c r="Q56" s="2"/>
    </row>
    <row r="57" spans="1:17">
      <c r="A57" s="35" t="s">
        <v>59</v>
      </c>
      <c r="B57" s="1861">
        <f>85962+38994+58375+82416+99455+86639+82659+105881+73454+94153+96038+77922</f>
        <v>981948</v>
      </c>
      <c r="C57" s="105">
        <v>451841</v>
      </c>
      <c r="D57" s="1863">
        <f>98617+85129+85023+104382+82970+93103</f>
        <v>549224</v>
      </c>
      <c r="E57" s="1802">
        <f t="shared" si="14"/>
        <v>93103</v>
      </c>
      <c r="F57" s="1803">
        <v>31324</v>
      </c>
      <c r="G57" s="1803">
        <v>39304</v>
      </c>
      <c r="H57" s="1803">
        <v>0</v>
      </c>
      <c r="I57" s="1859">
        <v>0</v>
      </c>
      <c r="J57" s="1803">
        <v>22475</v>
      </c>
      <c r="K57" s="168">
        <v>16849</v>
      </c>
      <c r="L57" s="168">
        <f>24452+17+7180</f>
        <v>31649</v>
      </c>
      <c r="M57" s="51">
        <v>1687</v>
      </c>
      <c r="N57" s="166">
        <v>80189</v>
      </c>
      <c r="O57" s="1795">
        <f t="shared" si="13"/>
        <v>1.2155249302298818</v>
      </c>
      <c r="P57" s="3"/>
      <c r="Q57" s="2"/>
    </row>
    <row r="58" spans="1:17" ht="15" thickBot="1">
      <c r="A58" s="128" t="s">
        <v>113</v>
      </c>
      <c r="B58" s="1888"/>
      <c r="C58" s="129"/>
      <c r="D58" s="130" t="s">
        <v>233</v>
      </c>
      <c r="E58" s="1889">
        <f t="shared" si="14"/>
        <v>0</v>
      </c>
      <c r="F58" s="132"/>
      <c r="G58" s="132"/>
      <c r="H58" s="132"/>
      <c r="I58" s="132"/>
      <c r="J58" s="132"/>
      <c r="K58" s="179"/>
      <c r="L58" s="179"/>
      <c r="M58" s="179"/>
      <c r="N58" s="180"/>
      <c r="O58" s="1795"/>
      <c r="P58" s="218"/>
      <c r="Q58" s="224"/>
    </row>
    <row r="59" spans="1:17">
      <c r="A59" s="133" t="s">
        <v>61</v>
      </c>
      <c r="B59" s="1890">
        <f>1585050+175956+170041</f>
        <v>1931047</v>
      </c>
      <c r="C59" s="134">
        <v>898772</v>
      </c>
      <c r="D59" s="1891">
        <f>198905+146764+177464+179022+209919+188193</f>
        <v>1100267</v>
      </c>
      <c r="E59" s="1892">
        <f t="shared" si="14"/>
        <v>188193</v>
      </c>
      <c r="F59" s="1893">
        <v>65265</v>
      </c>
      <c r="G59" s="1893">
        <v>80572</v>
      </c>
      <c r="H59" s="1883">
        <v>0</v>
      </c>
      <c r="I59" s="1883">
        <v>0</v>
      </c>
      <c r="J59" s="1884">
        <v>42356</v>
      </c>
      <c r="K59" s="219">
        <v>19659</v>
      </c>
      <c r="L59" s="219"/>
      <c r="M59" s="210"/>
      <c r="N59" s="220"/>
      <c r="O59" s="1795">
        <f t="shared" ref="O59:O62" si="15">+D59/C59</f>
        <v>1.2241892270787251</v>
      </c>
      <c r="P59" s="3"/>
      <c r="Q59" s="3"/>
    </row>
    <row r="60" spans="1:17">
      <c r="A60" s="68"/>
      <c r="B60" s="138"/>
      <c r="C60" s="92"/>
      <c r="D60" s="138"/>
      <c r="E60" s="91"/>
      <c r="F60" s="139"/>
      <c r="G60" s="51"/>
      <c r="H60" s="92"/>
      <c r="I60" s="139"/>
      <c r="J60" s="212"/>
      <c r="K60" s="51"/>
      <c r="L60" s="51"/>
      <c r="M60" s="51"/>
      <c r="N60" s="166"/>
      <c r="O60" s="1795"/>
      <c r="P60" s="3"/>
      <c r="Q60" s="3"/>
    </row>
    <row r="61" spans="1:17">
      <c r="A61" s="140" t="s">
        <v>227</v>
      </c>
      <c r="B61" s="1894">
        <f t="shared" ref="B61:N61" si="16">SUM(B62:B69)</f>
        <v>69686</v>
      </c>
      <c r="C61" s="1894">
        <f t="shared" si="16"/>
        <v>26797</v>
      </c>
      <c r="D61" s="1894">
        <f t="shared" si="16"/>
        <v>45806</v>
      </c>
      <c r="E61" s="1895">
        <f t="shared" si="16"/>
        <v>8945</v>
      </c>
      <c r="F61" s="1894">
        <f t="shared" si="16"/>
        <v>0</v>
      </c>
      <c r="G61" s="1894">
        <f t="shared" si="16"/>
        <v>0</v>
      </c>
      <c r="H61" s="1894">
        <f t="shared" si="16"/>
        <v>4331</v>
      </c>
      <c r="I61" s="1894">
        <f t="shared" si="16"/>
        <v>4614</v>
      </c>
      <c r="J61" s="1894">
        <f t="shared" si="16"/>
        <v>0</v>
      </c>
      <c r="K61" s="1894">
        <f t="shared" si="16"/>
        <v>6665</v>
      </c>
      <c r="L61" s="1894">
        <f t="shared" si="16"/>
        <v>4117</v>
      </c>
      <c r="M61" s="1894">
        <f t="shared" si="16"/>
        <v>0</v>
      </c>
      <c r="N61" s="1896">
        <f t="shared" si="16"/>
        <v>0</v>
      </c>
      <c r="O61" s="1795">
        <f t="shared" si="15"/>
        <v>1.7093704519162594</v>
      </c>
      <c r="P61" s="197"/>
      <c r="Q61" s="225"/>
    </row>
    <row r="62" spans="1:17">
      <c r="A62" s="35" t="s">
        <v>201</v>
      </c>
      <c r="B62" s="1861">
        <f>9380+2012+2071</f>
        <v>13463</v>
      </c>
      <c r="C62" s="119">
        <v>4825</v>
      </c>
      <c r="D62" s="1897">
        <f>2379+1593+2241+2316+2102+2034</f>
        <v>12665</v>
      </c>
      <c r="E62" s="1802">
        <f>SUM(H62:J62)</f>
        <v>2034</v>
      </c>
      <c r="F62" s="1848">
        <v>0</v>
      </c>
      <c r="G62" s="1848">
        <v>0</v>
      </c>
      <c r="H62" s="1898">
        <v>933</v>
      </c>
      <c r="I62" s="1803">
        <v>1101</v>
      </c>
      <c r="J62" s="1848">
        <v>0</v>
      </c>
      <c r="K62" s="51">
        <v>664</v>
      </c>
      <c r="L62" s="51">
        <f>710</f>
        <v>710</v>
      </c>
      <c r="M62" s="175">
        <v>0</v>
      </c>
      <c r="N62" s="1811">
        <v>0</v>
      </c>
      <c r="O62" s="1795">
        <f t="shared" si="15"/>
        <v>2.6248704663212434</v>
      </c>
      <c r="P62" s="2"/>
      <c r="Q62" s="2"/>
    </row>
    <row r="63" spans="1:17">
      <c r="A63" s="147" t="s">
        <v>202</v>
      </c>
      <c r="B63" s="1800"/>
      <c r="C63" s="89"/>
      <c r="D63" s="228"/>
      <c r="E63" s="1802">
        <f t="shared" ref="E63:E69" si="17">SUM(F63:J63)</f>
        <v>0</v>
      </c>
      <c r="F63" s="1899"/>
      <c r="G63" s="1900"/>
      <c r="H63" s="1803"/>
      <c r="I63" s="1803"/>
      <c r="J63" s="1803"/>
      <c r="K63" s="51"/>
      <c r="L63" s="51"/>
      <c r="M63" s="51"/>
      <c r="N63" s="166"/>
      <c r="O63" s="1795"/>
      <c r="P63" s="2"/>
      <c r="Q63" s="2"/>
    </row>
    <row r="64" spans="1:17">
      <c r="A64" s="35" t="s">
        <v>203</v>
      </c>
      <c r="B64" s="1861">
        <f>1143+584+1068+1170+1018+1940+2160+2337+2201+2341+1720</f>
        <v>17682</v>
      </c>
      <c r="C64" s="119">
        <v>4983</v>
      </c>
      <c r="D64" s="1897">
        <f>1586+1377+1324+1261+1972+1816</f>
        <v>9336</v>
      </c>
      <c r="E64" s="1802">
        <f t="shared" si="17"/>
        <v>1816</v>
      </c>
      <c r="F64" s="1848">
        <v>0</v>
      </c>
      <c r="G64" s="1848">
        <v>0</v>
      </c>
      <c r="H64" s="1803">
        <v>867</v>
      </c>
      <c r="I64" s="1803">
        <v>949</v>
      </c>
      <c r="J64" s="1848">
        <v>0</v>
      </c>
      <c r="K64" s="51">
        <v>1642</v>
      </c>
      <c r="L64" s="51">
        <f>687+165</f>
        <v>852</v>
      </c>
      <c r="M64" s="175">
        <v>0</v>
      </c>
      <c r="N64" s="1811"/>
      <c r="O64" s="1795">
        <f t="shared" ref="O64:O65" si="18">+D64/C64</f>
        <v>1.8735701384708008</v>
      </c>
      <c r="P64" s="2"/>
      <c r="Q64" s="2"/>
    </row>
    <row r="65" spans="1:17">
      <c r="A65" s="35" t="s">
        <v>66</v>
      </c>
      <c r="B65" s="1800">
        <f>9020+1300+1328+1755+1870+1593+2099</f>
        <v>18965</v>
      </c>
      <c r="C65" s="89">
        <v>9020</v>
      </c>
      <c r="D65" s="228">
        <f>2516+1712+2842+3851+4245+4566</f>
        <v>19732</v>
      </c>
      <c r="E65" s="1802">
        <f t="shared" si="17"/>
        <v>4566</v>
      </c>
      <c r="F65" s="1848">
        <v>0</v>
      </c>
      <c r="G65" s="1848">
        <v>0</v>
      </c>
      <c r="H65" s="1803">
        <v>2278</v>
      </c>
      <c r="I65" s="1803">
        <v>2288</v>
      </c>
      <c r="J65" s="1848">
        <v>0</v>
      </c>
      <c r="K65" s="168">
        <v>3830</v>
      </c>
      <c r="L65" s="168">
        <f>2114+188</f>
        <v>2302</v>
      </c>
      <c r="M65" s="175">
        <v>0</v>
      </c>
      <c r="N65" s="166"/>
      <c r="O65" s="1795">
        <f t="shared" si="18"/>
        <v>2.1875831485587582</v>
      </c>
      <c r="P65" s="2"/>
      <c r="Q65" s="2"/>
    </row>
    <row r="66" spans="1:17">
      <c r="A66" s="226" t="s">
        <v>204</v>
      </c>
      <c r="B66" s="1846"/>
      <c r="C66" s="1056"/>
      <c r="D66" s="1847"/>
      <c r="E66" s="1802">
        <f t="shared" si="17"/>
        <v>0</v>
      </c>
      <c r="F66" s="1901"/>
      <c r="G66" s="1900"/>
      <c r="H66" s="1803"/>
      <c r="I66" s="1803"/>
      <c r="J66" s="1803"/>
      <c r="K66" s="51"/>
      <c r="L66" s="51"/>
      <c r="M66" s="51"/>
      <c r="N66" s="166"/>
      <c r="O66" s="1795"/>
      <c r="P66" s="2"/>
      <c r="Q66" s="2"/>
    </row>
    <row r="67" spans="1:17">
      <c r="A67" s="35" t="s">
        <v>205</v>
      </c>
      <c r="B67" s="1800">
        <v>8152</v>
      </c>
      <c r="C67" s="89">
        <v>3866</v>
      </c>
      <c r="D67" s="1902">
        <f>634+656+529+487+500+529</f>
        <v>3335</v>
      </c>
      <c r="E67" s="1802">
        <f t="shared" si="17"/>
        <v>529</v>
      </c>
      <c r="F67" s="1848">
        <v>0</v>
      </c>
      <c r="G67" s="1848">
        <v>0</v>
      </c>
      <c r="H67" s="1903">
        <v>253</v>
      </c>
      <c r="I67" s="1903">
        <v>276</v>
      </c>
      <c r="J67" s="1903">
        <v>0</v>
      </c>
      <c r="K67" s="194">
        <v>529</v>
      </c>
      <c r="L67" s="194">
        <f>253</f>
        <v>253</v>
      </c>
      <c r="M67" s="194">
        <v>0</v>
      </c>
      <c r="N67" s="195"/>
      <c r="O67" s="1795">
        <f>+D67/C67</f>
        <v>0.86264873254009311</v>
      </c>
      <c r="P67" s="2"/>
      <c r="Q67" s="2"/>
    </row>
    <row r="68" spans="1:17">
      <c r="A68" s="147" t="s">
        <v>206</v>
      </c>
      <c r="B68" s="1861"/>
      <c r="C68" s="119"/>
      <c r="D68" s="1904"/>
      <c r="E68" s="1802">
        <f t="shared" si="17"/>
        <v>0</v>
      </c>
      <c r="F68" s="1813"/>
      <c r="G68" s="1905"/>
      <c r="H68" s="1859"/>
      <c r="I68" s="1859"/>
      <c r="J68" s="1859"/>
      <c r="K68" s="51"/>
      <c r="L68" s="51"/>
      <c r="M68" s="51"/>
      <c r="N68" s="166"/>
      <c r="O68" s="1795"/>
      <c r="P68" s="2"/>
      <c r="Q68" s="2"/>
    </row>
    <row r="69" spans="1:17" ht="15" thickBot="1">
      <c r="A69" s="35" t="s">
        <v>70</v>
      </c>
      <c r="B69" s="413">
        <v>11424</v>
      </c>
      <c r="C69" s="119">
        <v>4103</v>
      </c>
      <c r="D69" s="1906">
        <f>78+56+390+214</f>
        <v>738</v>
      </c>
      <c r="E69" s="1907">
        <f t="shared" si="17"/>
        <v>0</v>
      </c>
      <c r="F69" s="1848">
        <v>0</v>
      </c>
      <c r="G69" s="1848">
        <v>0</v>
      </c>
      <c r="H69" s="1848">
        <v>0</v>
      </c>
      <c r="I69" s="1848">
        <v>0</v>
      </c>
      <c r="J69" s="1848">
        <v>0</v>
      </c>
      <c r="K69" s="168"/>
      <c r="L69" s="168"/>
      <c r="M69" s="175"/>
      <c r="N69" s="166"/>
      <c r="O69" s="1795">
        <f>+D69/C69</f>
        <v>0.1798683889836705</v>
      </c>
      <c r="P69" s="2"/>
      <c r="Q69" s="152"/>
    </row>
    <row r="70" spans="1:17" ht="15" thickBot="1">
      <c r="A70" s="235" t="s">
        <v>71</v>
      </c>
      <c r="B70" s="1908">
        <f t="shared" ref="B70:N70" si="19">B6+B28+B33+B38+B52+B61</f>
        <v>27092360</v>
      </c>
      <c r="C70" s="1908">
        <f t="shared" si="19"/>
        <v>12783075</v>
      </c>
      <c r="D70" s="1909">
        <f t="shared" si="19"/>
        <v>14040407</v>
      </c>
      <c r="E70" s="1910">
        <f t="shared" si="19"/>
        <v>2403819.7999999998</v>
      </c>
      <c r="F70" s="1908">
        <f t="shared" si="19"/>
        <v>815857</v>
      </c>
      <c r="G70" s="1908">
        <f t="shared" si="19"/>
        <v>859580</v>
      </c>
      <c r="H70" s="1908">
        <f t="shared" si="19"/>
        <v>143057.4</v>
      </c>
      <c r="I70" s="1908">
        <f t="shared" si="19"/>
        <v>206364.4</v>
      </c>
      <c r="J70" s="1908">
        <f t="shared" si="19"/>
        <v>117725</v>
      </c>
      <c r="K70" s="1908">
        <f t="shared" si="19"/>
        <v>375371</v>
      </c>
      <c r="L70" s="1908">
        <f t="shared" si="19"/>
        <v>354047</v>
      </c>
      <c r="M70" s="1908">
        <f t="shared" si="19"/>
        <v>11400</v>
      </c>
      <c r="N70" s="1911">
        <f t="shared" si="19"/>
        <v>233248</v>
      </c>
      <c r="O70" s="1795">
        <f>+D70/C70</f>
        <v>1.0983591193824647</v>
      </c>
      <c r="P70" s="266"/>
      <c r="Q70" s="266"/>
    </row>
    <row r="71" spans="1:17">
      <c r="A71" s="2"/>
      <c r="B71" s="241"/>
      <c r="C71" s="241"/>
      <c r="D71" s="241"/>
      <c r="E71" s="242"/>
      <c r="F71" s="3"/>
      <c r="G71" s="3"/>
      <c r="H71" s="3"/>
      <c r="I71" s="3"/>
      <c r="J71" s="3"/>
      <c r="K71" s="3"/>
      <c r="L71" s="3"/>
      <c r="M71" s="3"/>
      <c r="N71" s="3"/>
      <c r="O71" s="2"/>
      <c r="P71" s="2"/>
      <c r="Q71" s="2"/>
    </row>
    <row r="72" spans="1:17">
      <c r="A72" s="2"/>
      <c r="B72" s="2"/>
      <c r="C72" s="2"/>
      <c r="D72" s="2"/>
      <c r="E72" s="3"/>
      <c r="F72" s="3"/>
      <c r="G72" s="3"/>
      <c r="H72" s="3"/>
      <c r="I72" s="3"/>
      <c r="J72" s="3"/>
      <c r="K72" s="3"/>
      <c r="L72" s="3"/>
      <c r="M72" s="3"/>
      <c r="N72" s="3"/>
      <c r="O72" s="2"/>
      <c r="P72" s="2"/>
      <c r="Q72" s="2"/>
    </row>
    <row r="73" spans="1:17" ht="55.8">
      <c r="A73" s="2"/>
      <c r="B73" s="243" t="s">
        <v>256</v>
      </c>
      <c r="C73" s="243"/>
      <c r="D73" s="1912" t="s">
        <v>74</v>
      </c>
      <c r="E73" s="245" t="s">
        <v>75</v>
      </c>
      <c r="F73" s="245" t="s">
        <v>76</v>
      </c>
      <c r="G73" s="245" t="s">
        <v>77</v>
      </c>
      <c r="H73" s="245" t="s">
        <v>78</v>
      </c>
      <c r="I73" s="245" t="s">
        <v>79</v>
      </c>
      <c r="J73" s="245" t="s">
        <v>80</v>
      </c>
      <c r="K73" s="245" t="s">
        <v>81</v>
      </c>
      <c r="L73" s="245" t="s">
        <v>82</v>
      </c>
      <c r="M73" s="245" t="s">
        <v>83</v>
      </c>
      <c r="N73" s="245" t="s">
        <v>84</v>
      </c>
      <c r="O73" s="267" t="s">
        <v>85</v>
      </c>
      <c r="P73" s="268"/>
      <c r="Q73" s="2"/>
    </row>
    <row r="74" spans="1:17">
      <c r="A74" s="2"/>
      <c r="B74" s="246" t="s">
        <v>87</v>
      </c>
      <c r="C74" s="246"/>
      <c r="D74" s="247">
        <v>2555400</v>
      </c>
      <c r="E74" s="248">
        <v>1909599</v>
      </c>
      <c r="F74" s="168">
        <v>2299020</v>
      </c>
      <c r="G74" s="248">
        <v>2445375</v>
      </c>
      <c r="H74" s="248">
        <v>2425271</v>
      </c>
      <c r="I74" s="92">
        <v>2403820</v>
      </c>
      <c r="J74" s="248"/>
      <c r="K74" s="168"/>
      <c r="L74" s="168"/>
      <c r="M74" s="269"/>
      <c r="N74" s="252"/>
      <c r="O74" s="270"/>
      <c r="P74" s="152"/>
      <c r="Q74" s="2"/>
    </row>
    <row r="75" spans="1:17">
      <c r="A75" s="2"/>
      <c r="B75" s="249" t="s">
        <v>88</v>
      </c>
      <c r="C75" s="249"/>
      <c r="D75" s="249"/>
      <c r="E75" s="250">
        <f t="shared" ref="E75:N75" si="20">IF(D74&gt;0,E74/D74,0)*100</f>
        <v>74.727987790561173</v>
      </c>
      <c r="F75" s="250">
        <f t="shared" si="20"/>
        <v>120.39281545497249</v>
      </c>
      <c r="G75" s="250">
        <f t="shared" si="20"/>
        <v>106.36597332776574</v>
      </c>
      <c r="H75" s="250">
        <f t="shared" si="20"/>
        <v>99.177876603792868</v>
      </c>
      <c r="I75" s="250">
        <f t="shared" si="20"/>
        <v>99.115521523161746</v>
      </c>
      <c r="J75" s="250">
        <f t="shared" si="20"/>
        <v>0</v>
      </c>
      <c r="K75" s="250">
        <f t="shared" si="20"/>
        <v>0</v>
      </c>
      <c r="L75" s="250">
        <f t="shared" si="20"/>
        <v>0</v>
      </c>
      <c r="M75" s="250">
        <f t="shared" si="20"/>
        <v>0</v>
      </c>
      <c r="N75" s="250">
        <f t="shared" si="20"/>
        <v>0</v>
      </c>
      <c r="O75" s="271"/>
      <c r="P75" s="272"/>
      <c r="Q75" s="2"/>
    </row>
    <row r="76" spans="1:17">
      <c r="A76" s="2"/>
      <c r="B76" s="251"/>
      <c r="C76" s="251"/>
      <c r="D76" s="251"/>
      <c r="E76" s="252"/>
      <c r="F76" s="253"/>
      <c r="G76" s="3" t="s">
        <v>115</v>
      </c>
      <c r="H76" s="3"/>
      <c r="I76" s="3"/>
      <c r="J76" s="3"/>
      <c r="K76" s="3"/>
      <c r="L76" s="3"/>
      <c r="M76" s="3"/>
      <c r="N76" s="3"/>
      <c r="O76" s="152"/>
      <c r="P76" s="2"/>
    </row>
    <row r="77" spans="1:17">
      <c r="A77" s="1442" t="s">
        <v>208</v>
      </c>
      <c r="B77" s="152"/>
      <c r="C77" s="152"/>
      <c r="D77" s="152"/>
      <c r="E77" s="3"/>
      <c r="F77" s="3"/>
      <c r="G77" s="3"/>
      <c r="H77" s="3"/>
      <c r="I77" s="3"/>
      <c r="J77" s="3"/>
      <c r="K77" s="3"/>
      <c r="L77" s="3"/>
      <c r="M77" s="3"/>
      <c r="N77" s="3"/>
      <c r="O77" s="152"/>
      <c r="P77" s="2"/>
      <c r="Q77" s="3"/>
    </row>
    <row r="78" spans="1:17">
      <c r="A78" s="2" t="s">
        <v>90</v>
      </c>
      <c r="B78" s="152"/>
      <c r="C78" s="152"/>
      <c r="D78" s="152"/>
      <c r="E78" s="3"/>
      <c r="F78" s="3"/>
      <c r="G78" s="3"/>
      <c r="H78" s="3"/>
      <c r="I78" s="3"/>
      <c r="J78" s="3"/>
      <c r="K78" s="3"/>
      <c r="L78" s="3"/>
      <c r="M78" s="3"/>
      <c r="N78" s="3"/>
      <c r="O78" s="152"/>
      <c r="P78" s="2"/>
      <c r="Q78" s="3"/>
    </row>
    <row r="79" spans="1:17">
      <c r="A79" s="1442" t="s">
        <v>209</v>
      </c>
      <c r="B79" s="152"/>
      <c r="C79" s="152"/>
      <c r="D79" s="152"/>
      <c r="E79" s="3"/>
      <c r="F79" s="3"/>
      <c r="G79" s="3"/>
      <c r="H79" s="3"/>
      <c r="I79" s="3"/>
      <c r="J79" s="3"/>
      <c r="K79" s="3"/>
      <c r="L79" s="3"/>
      <c r="M79" s="3"/>
      <c r="N79" s="3"/>
      <c r="O79" s="152"/>
      <c r="P79" s="2"/>
      <c r="Q79" s="3"/>
    </row>
    <row r="80" spans="1:17">
      <c r="A80" s="1443" t="s">
        <v>92</v>
      </c>
      <c r="B80" s="152"/>
      <c r="C80" s="152"/>
      <c r="D80" s="152"/>
      <c r="E80" s="3"/>
      <c r="F80" s="3"/>
      <c r="G80" s="3"/>
      <c r="H80" s="3"/>
      <c r="J80" s="3"/>
      <c r="K80" s="3"/>
      <c r="L80" s="3"/>
      <c r="M80" s="3"/>
      <c r="N80" s="3"/>
      <c r="O80" s="152"/>
      <c r="P80" s="2"/>
      <c r="Q80" s="281"/>
    </row>
    <row r="81" spans="1:17">
      <c r="A81" s="2" t="s">
        <v>93</v>
      </c>
      <c r="B81" s="2"/>
      <c r="C81" s="2"/>
      <c r="D81" s="2"/>
      <c r="E81" s="3"/>
      <c r="F81" s="3"/>
      <c r="G81" s="3"/>
      <c r="H81" s="3"/>
      <c r="K81" s="3"/>
      <c r="M81" s="3"/>
      <c r="N81" s="3"/>
      <c r="O81" s="152"/>
      <c r="P81" s="2"/>
    </row>
    <row r="82" spans="1:17">
      <c r="A82" s="2" t="s">
        <v>94</v>
      </c>
      <c r="B82" s="2"/>
      <c r="C82" s="2"/>
      <c r="D82" s="2"/>
      <c r="E82" s="3"/>
      <c r="F82" s="3"/>
      <c r="G82" s="3"/>
      <c r="H82" s="3"/>
      <c r="K82" s="3"/>
      <c r="M82" s="3"/>
      <c r="N82" s="3"/>
      <c r="O82" s="273"/>
      <c r="P82" s="2"/>
    </row>
    <row r="83" spans="1:17">
      <c r="A83" s="2" t="s">
        <v>95</v>
      </c>
      <c r="B83" s="2"/>
      <c r="C83" s="2"/>
      <c r="D83" s="2"/>
      <c r="E83" s="3"/>
      <c r="F83" s="3"/>
      <c r="G83" s="3"/>
      <c r="H83" s="3"/>
      <c r="K83" s="3"/>
      <c r="L83" s="3"/>
      <c r="M83" s="3"/>
      <c r="N83" s="3"/>
      <c r="O83" s="152"/>
      <c r="P83" s="2"/>
    </row>
    <row r="86" spans="1:17">
      <c r="K86" s="280"/>
    </row>
    <row r="87" spans="1:17">
      <c r="A87" s="263"/>
      <c r="B87" s="263"/>
      <c r="C87" s="263"/>
      <c r="D87" s="264"/>
      <c r="E87" s="264"/>
      <c r="F87" s="264"/>
      <c r="G87" s="264"/>
      <c r="O87" s="265"/>
      <c r="P87" s="265"/>
    </row>
    <row r="88" spans="1:17">
      <c r="D88" s="265"/>
      <c r="L88" s="3"/>
      <c r="O88" s="265"/>
      <c r="P88" s="265"/>
      <c r="Q88" s="265"/>
    </row>
    <row r="89" spans="1:17">
      <c r="D89" s="265"/>
      <c r="L89" s="3"/>
      <c r="O89" s="265"/>
      <c r="P89" s="265"/>
      <c r="Q89" s="265"/>
    </row>
    <row r="90" spans="1:17">
      <c r="D90" s="265"/>
      <c r="L90" s="3"/>
      <c r="O90" s="265"/>
      <c r="P90" s="265"/>
      <c r="Q90" s="265"/>
    </row>
    <row r="91" spans="1:17">
      <c r="D91" s="265"/>
      <c r="L91" s="3"/>
      <c r="O91" s="265"/>
      <c r="P91" s="265"/>
      <c r="Q91" s="265"/>
    </row>
    <row r="92" spans="1:17">
      <c r="D92" s="265"/>
      <c r="O92" s="265"/>
      <c r="P92" s="265"/>
      <c r="Q92" s="265"/>
    </row>
    <row r="93" spans="1:17">
      <c r="D93" s="265"/>
      <c r="O93" s="265"/>
      <c r="P93" s="265"/>
      <c r="Q93" s="265"/>
    </row>
    <row r="94" spans="1:17">
      <c r="D94" s="265"/>
      <c r="O94" s="265"/>
      <c r="P94" s="265"/>
      <c r="Q94" s="265"/>
    </row>
    <row r="95" spans="1:17">
      <c r="A95" s="263"/>
      <c r="B95" s="263"/>
      <c r="C95" s="263"/>
      <c r="D95" s="264"/>
      <c r="E95" s="264"/>
      <c r="F95" s="264"/>
      <c r="G95" s="264"/>
      <c r="O95" s="265"/>
      <c r="P95" s="265"/>
      <c r="Q95" s="265"/>
    </row>
    <row r="96" spans="1:17">
      <c r="D96" s="265"/>
      <c r="O96" s="265"/>
      <c r="P96" s="265"/>
      <c r="Q96" s="265"/>
    </row>
    <row r="97" spans="4:17">
      <c r="D97" s="265"/>
      <c r="O97" s="265"/>
      <c r="P97" s="265"/>
      <c r="Q97" s="265"/>
    </row>
    <row r="98" spans="4:17">
      <c r="D98" s="265"/>
      <c r="O98" s="265"/>
      <c r="P98" s="265"/>
      <c r="Q98" s="265"/>
    </row>
    <row r="99" spans="4:17">
      <c r="D99" s="265"/>
      <c r="O99" s="265"/>
      <c r="P99" s="265"/>
      <c r="Q99" s="265"/>
    </row>
    <row r="100" spans="4:17">
      <c r="D100" s="265"/>
      <c r="O100" s="265"/>
      <c r="P100" s="265"/>
      <c r="Q100" s="265"/>
    </row>
    <row r="101" spans="4:17">
      <c r="D101" s="265"/>
      <c r="O101" s="265"/>
      <c r="P101" s="265"/>
      <c r="Q101" s="265"/>
    </row>
    <row r="102" spans="4:17">
      <c r="D102" s="265"/>
      <c r="O102" s="265"/>
      <c r="P102" s="265"/>
      <c r="Q102" s="265"/>
    </row>
    <row r="103" spans="4:17">
      <c r="E103" s="264"/>
      <c r="O103" s="265"/>
      <c r="P103" s="265"/>
      <c r="Q103" s="265"/>
    </row>
  </sheetData>
  <mergeCells count="7">
    <mergeCell ref="A1:O1"/>
    <mergeCell ref="A3:A4"/>
    <mergeCell ref="B3:B4"/>
    <mergeCell ref="C3:C4"/>
    <mergeCell ref="D3:D4"/>
    <mergeCell ref="E3:N3"/>
    <mergeCell ref="O3:O4"/>
  </mergeCells>
  <conditionalFormatting sqref="O6:O70">
    <cfRule type="cellIs" dxfId="1" priority="1" operator="between">
      <formula>0.01</formula>
      <formula>0.99</formula>
    </cfRule>
    <cfRule type="expression" dxfId="0" priority="2">
      <formula>AND($O6&gt;100%,$O6&lt;100%)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T01-2025</vt:lpstr>
      <vt:lpstr>T02-2025</vt:lpstr>
      <vt:lpstr>T03-2025</vt:lpstr>
      <vt:lpstr>T04-2025</vt:lpstr>
      <vt:lpstr>T05-2025</vt:lpstr>
      <vt:lpstr>T06-2025</vt:lpstr>
      <vt:lpstr>T7-2025</vt:lpstr>
      <vt:lpstr>T8-2025</vt:lpstr>
      <vt:lpstr>T9-2025</vt:lpstr>
      <vt:lpstr>T10-2025</vt:lpstr>
      <vt:lpstr>T11-2025</vt:lpstr>
      <vt:lpstr>T12-2025</vt:lpstr>
      <vt:lpstr>T1-2026</vt:lpstr>
      <vt:lpstr>T2-2026</vt:lpstr>
      <vt:lpstr>T3-2026</vt:lpstr>
      <vt:lpstr>T4-2026</vt:lpstr>
      <vt:lpstr>T5-2026</vt:lpstr>
      <vt:lpstr>T6-2026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PC-Lieu</dc:creator>
  <cp:lastModifiedBy>Tri Le Bros Partners</cp:lastModifiedBy>
  <cp:lastPrinted>2025-10-14T00:42:00Z</cp:lastPrinted>
  <dcterms:created xsi:type="dcterms:W3CDTF">2025-02-04T03:34:00Z</dcterms:created>
  <dcterms:modified xsi:type="dcterms:W3CDTF">2026-08-14T08:00:00Z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