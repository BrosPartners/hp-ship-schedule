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BP\Bros Partners\Tickers\GMD\Số liệu tháng\"/>
    </mc:Choice>
  </mc:AlternateContent>
  <xr:revisionPtr revIDLastSave="0" documentId="13_ncr:1_{8B1B797B-1D77-4970-8920-C2D836806587}" xr6:coauthVersionLast="47" xr6:coauthVersionMax="47" xr10:uidLastSave="{00000000-0000-0000-0000-000000000000}"/>
  <bookViews>
    <workbookView xWindow="-108" yWindow="-108" windowWidth="23256" windowHeight="12456" tabRatio="935" activeTab="9" xr2:uid="{00000000-000D-0000-FFFF-FFFF00000000}"/>
  </bookViews>
  <sheets>
    <sheet name="T01-2024" sheetId="1" r:id="rId1"/>
    <sheet name="T02-2024" sheetId="2" r:id="rId2"/>
    <sheet name="T03-2024" sheetId="3" r:id="rId3"/>
    <sheet name="T04-2024" sheetId="4" r:id="rId4"/>
    <sheet name="T05-2024" sheetId="5" r:id="rId5"/>
    <sheet name="T06-2024" sheetId="7" r:id="rId6"/>
    <sheet name="T07-2024" sheetId="8" r:id="rId7"/>
    <sheet name="T08-2024" sheetId="6" r:id="rId8"/>
    <sheet name="T9-2024" sheetId="9" r:id="rId9"/>
    <sheet name="T10-2024" sheetId="10" r:id="rId10"/>
    <sheet name="T11-2024" sheetId="11" r:id="rId11"/>
    <sheet name="T12-2024" sheetId="12" r:id="rId12"/>
    <sheet name="Sheet1" sheetId="13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0" l="1"/>
  <c r="D47" i="5"/>
  <c r="T73" i="12"/>
  <c r="AF23" i="13"/>
  <c r="AG23" i="13" s="1"/>
  <c r="AT5" i="13"/>
  <c r="AF5" i="13"/>
  <c r="R5" i="13"/>
  <c r="D5" i="13"/>
  <c r="AB21" i="13"/>
  <c r="AA21" i="13"/>
  <c r="Z21" i="13"/>
  <c r="Y21" i="13"/>
  <c r="X21" i="13"/>
  <c r="W21" i="13"/>
  <c r="V21" i="13"/>
  <c r="U21" i="13"/>
  <c r="T21" i="13"/>
  <c r="AT35" i="13"/>
  <c r="Y35" i="13"/>
  <c r="R35" i="13"/>
  <c r="AN35" i="13"/>
  <c r="AF35" i="13"/>
  <c r="L35" i="13"/>
  <c r="K35" i="13"/>
  <c r="D35" i="13"/>
  <c r="AT34" i="13"/>
  <c r="Z34" i="13"/>
  <c r="Y34" i="13"/>
  <c r="R34" i="13"/>
  <c r="AN34" i="13"/>
  <c r="AF34" i="13"/>
  <c r="L34" i="13"/>
  <c r="K34" i="13"/>
  <c r="D34" i="13"/>
  <c r="BD31" i="13"/>
  <c r="BC31" i="13"/>
  <c r="BB31" i="13"/>
  <c r="BA31" i="13"/>
  <c r="AZ31" i="13"/>
  <c r="AY31" i="13"/>
  <c r="AX31" i="13"/>
  <c r="AW31" i="13"/>
  <c r="AV31" i="13"/>
  <c r="AT31" i="13"/>
  <c r="AU31" i="13" s="1"/>
  <c r="BD30" i="13"/>
  <c r="BC30" i="13"/>
  <c r="BB30" i="13"/>
  <c r="BA30" i="13"/>
  <c r="AZ30" i="13"/>
  <c r="AY30" i="13"/>
  <c r="AX30" i="13"/>
  <c r="AW30" i="13"/>
  <c r="AV30" i="13"/>
  <c r="AT30" i="13"/>
  <c r="AU30" i="13" s="1"/>
  <c r="BD29" i="13"/>
  <c r="BC29" i="13"/>
  <c r="BB29" i="13"/>
  <c r="BA29" i="13"/>
  <c r="AZ29" i="13"/>
  <c r="AY29" i="13"/>
  <c r="AX29" i="13"/>
  <c r="AW29" i="13"/>
  <c r="AV29" i="13"/>
  <c r="AT29" i="13"/>
  <c r="AU29" i="13" s="1"/>
  <c r="BD28" i="13"/>
  <c r="BC28" i="13"/>
  <c r="BB28" i="13"/>
  <c r="BA28" i="13"/>
  <c r="AZ28" i="13"/>
  <c r="AY28" i="13"/>
  <c r="AX28" i="13"/>
  <c r="AW28" i="13"/>
  <c r="AV28" i="13"/>
  <c r="AT28" i="13"/>
  <c r="AU28" i="13" s="1"/>
  <c r="BD27" i="13"/>
  <c r="BC27" i="13"/>
  <c r="BB27" i="13"/>
  <c r="BA27" i="13"/>
  <c r="AZ27" i="13"/>
  <c r="AY27" i="13"/>
  <c r="AX27" i="13"/>
  <c r="AW27" i="13"/>
  <c r="AV27" i="13"/>
  <c r="AT27" i="13"/>
  <c r="AU27" i="13" s="1"/>
  <c r="BD26" i="13"/>
  <c r="BC26" i="13"/>
  <c r="BB26" i="13"/>
  <c r="BA26" i="13"/>
  <c r="AZ26" i="13"/>
  <c r="AY26" i="13"/>
  <c r="AX26" i="13"/>
  <c r="AW26" i="13"/>
  <c r="AV26" i="13"/>
  <c r="AT26" i="13"/>
  <c r="AU26" i="13" s="1"/>
  <c r="BD25" i="13"/>
  <c r="BC25" i="13"/>
  <c r="BB25" i="13"/>
  <c r="BA25" i="13"/>
  <c r="AZ25" i="13"/>
  <c r="AY25" i="13"/>
  <c r="AX25" i="13"/>
  <c r="AW25" i="13"/>
  <c r="AV25" i="13"/>
  <c r="AT25" i="13"/>
  <c r="AU25" i="13" s="1"/>
  <c r="BD24" i="13"/>
  <c r="BC24" i="13"/>
  <c r="BB24" i="13"/>
  <c r="BA24" i="13"/>
  <c r="AZ24" i="13"/>
  <c r="AY24" i="13"/>
  <c r="AX24" i="13"/>
  <c r="AW24" i="13"/>
  <c r="AV24" i="13"/>
  <c r="AT24" i="13"/>
  <c r="AU24" i="13" s="1"/>
  <c r="BD23" i="13"/>
  <c r="BC23" i="13"/>
  <c r="BB23" i="13"/>
  <c r="BA23" i="13"/>
  <c r="AZ23" i="13"/>
  <c r="AY23" i="13"/>
  <c r="AX23" i="13"/>
  <c r="AW23" i="13"/>
  <c r="AV23" i="13"/>
  <c r="AT23" i="13"/>
  <c r="AU23" i="13" s="1"/>
  <c r="BD22" i="13"/>
  <c r="BC22" i="13"/>
  <c r="BB22" i="13"/>
  <c r="BA22" i="13"/>
  <c r="AZ22" i="13"/>
  <c r="AY22" i="13"/>
  <c r="AX22" i="13"/>
  <c r="AW22" i="13"/>
  <c r="AV22" i="13"/>
  <c r="AT22" i="13"/>
  <c r="AU22" i="13" s="1"/>
  <c r="BD21" i="13"/>
  <c r="BC21" i="13"/>
  <c r="BB21" i="13"/>
  <c r="BA21" i="13"/>
  <c r="AZ21" i="13"/>
  <c r="AY21" i="13"/>
  <c r="AX21" i="13"/>
  <c r="AW21" i="13"/>
  <c r="AV21" i="13"/>
  <c r="AT21" i="13"/>
  <c r="AU21" i="13" s="1"/>
  <c r="BD20" i="13"/>
  <c r="BC20" i="13"/>
  <c r="BB20" i="13"/>
  <c r="BA20" i="13"/>
  <c r="AZ20" i="13"/>
  <c r="AY20" i="13"/>
  <c r="AX20" i="13"/>
  <c r="AW20" i="13"/>
  <c r="AV20" i="13"/>
  <c r="AT20" i="13"/>
  <c r="AP31" i="13"/>
  <c r="AO31" i="13"/>
  <c r="AN31" i="13"/>
  <c r="AM31" i="13"/>
  <c r="AL31" i="13"/>
  <c r="AK31" i="13"/>
  <c r="AJ31" i="13"/>
  <c r="AI31" i="13"/>
  <c r="AH31" i="13"/>
  <c r="AF31" i="13"/>
  <c r="AG31" i="13" s="1"/>
  <c r="AP30" i="13"/>
  <c r="AO30" i="13"/>
  <c r="AN30" i="13"/>
  <c r="AM30" i="13"/>
  <c r="AL30" i="13"/>
  <c r="AK30" i="13"/>
  <c r="AJ30" i="13"/>
  <c r="AI30" i="13"/>
  <c r="AH30" i="13"/>
  <c r="AF30" i="13"/>
  <c r="AG30" i="13" s="1"/>
  <c r="AP29" i="13"/>
  <c r="AO29" i="13"/>
  <c r="AN29" i="13"/>
  <c r="AM29" i="13"/>
  <c r="AL29" i="13"/>
  <c r="AK29" i="13"/>
  <c r="AJ29" i="13"/>
  <c r="AI29" i="13"/>
  <c r="AH29" i="13"/>
  <c r="AF29" i="13"/>
  <c r="AG29" i="13" s="1"/>
  <c r="AP28" i="13"/>
  <c r="AO28" i="13"/>
  <c r="AN28" i="13"/>
  <c r="AM28" i="13"/>
  <c r="AL28" i="13"/>
  <c r="AK28" i="13"/>
  <c r="AJ28" i="13"/>
  <c r="AI28" i="13"/>
  <c r="AH28" i="13"/>
  <c r="AF28" i="13"/>
  <c r="AG28" i="13" s="1"/>
  <c r="AP27" i="13"/>
  <c r="AO27" i="13"/>
  <c r="AN27" i="13"/>
  <c r="AM27" i="13"/>
  <c r="AL27" i="13"/>
  <c r="AK27" i="13"/>
  <c r="AJ27" i="13"/>
  <c r="AI27" i="13"/>
  <c r="AH27" i="13"/>
  <c r="AF27" i="13"/>
  <c r="AG27" i="13" s="1"/>
  <c r="AP26" i="13"/>
  <c r="AO26" i="13"/>
  <c r="AN26" i="13"/>
  <c r="AM26" i="13"/>
  <c r="AL26" i="13"/>
  <c r="AK26" i="13"/>
  <c r="AJ26" i="13"/>
  <c r="AI26" i="13"/>
  <c r="AH26" i="13"/>
  <c r="AF26" i="13"/>
  <c r="AG26" i="13" s="1"/>
  <c r="AP25" i="13"/>
  <c r="AO25" i="13"/>
  <c r="AN25" i="13"/>
  <c r="AM25" i="13"/>
  <c r="AL25" i="13"/>
  <c r="AK25" i="13"/>
  <c r="AJ25" i="13"/>
  <c r="AI25" i="13"/>
  <c r="AH25" i="13"/>
  <c r="AF25" i="13"/>
  <c r="AG25" i="13" s="1"/>
  <c r="AP24" i="13"/>
  <c r="AO24" i="13"/>
  <c r="AN24" i="13"/>
  <c r="AM24" i="13"/>
  <c r="AL24" i="13"/>
  <c r="AK24" i="13"/>
  <c r="AJ24" i="13"/>
  <c r="AI24" i="13"/>
  <c r="AH24" i="13"/>
  <c r="AF24" i="13"/>
  <c r="AG24" i="13" s="1"/>
  <c r="AP23" i="13"/>
  <c r="AO23" i="13"/>
  <c r="AN23" i="13"/>
  <c r="AM23" i="13"/>
  <c r="AL23" i="13"/>
  <c r="AK23" i="13"/>
  <c r="AJ23" i="13"/>
  <c r="AI23" i="13"/>
  <c r="AH23" i="13"/>
  <c r="AP22" i="13"/>
  <c r="AO22" i="13"/>
  <c r="AN22" i="13"/>
  <c r="AM22" i="13"/>
  <c r="AL22" i="13"/>
  <c r="AK22" i="13"/>
  <c r="AJ22" i="13"/>
  <c r="AI22" i="13"/>
  <c r="AH22" i="13"/>
  <c r="AF22" i="13"/>
  <c r="AG22" i="13" s="1"/>
  <c r="AP21" i="13"/>
  <c r="AO21" i="13"/>
  <c r="AN21" i="13"/>
  <c r="AM21" i="13"/>
  <c r="AL21" i="13"/>
  <c r="AK21" i="13"/>
  <c r="AJ21" i="13"/>
  <c r="AI21" i="13"/>
  <c r="AH21" i="13"/>
  <c r="AF21" i="13"/>
  <c r="AG21" i="13" s="1"/>
  <c r="AP20" i="13"/>
  <c r="AO20" i="13"/>
  <c r="AN20" i="13"/>
  <c r="AM20" i="13"/>
  <c r="AL20" i="13"/>
  <c r="AK20" i="13"/>
  <c r="AJ20" i="13"/>
  <c r="AI20" i="13"/>
  <c r="AH20" i="13"/>
  <c r="AF20" i="13"/>
  <c r="AB31" i="13"/>
  <c r="AA31" i="13"/>
  <c r="Z31" i="13"/>
  <c r="Y31" i="13"/>
  <c r="X31" i="13"/>
  <c r="W31" i="13"/>
  <c r="V31" i="13"/>
  <c r="U31" i="13"/>
  <c r="T31" i="13"/>
  <c r="R31" i="13"/>
  <c r="S31" i="13" s="1"/>
  <c r="AB30" i="13"/>
  <c r="AA30" i="13"/>
  <c r="Z30" i="13"/>
  <c r="Y30" i="13"/>
  <c r="X30" i="13"/>
  <c r="W30" i="13"/>
  <c r="V30" i="13"/>
  <c r="U30" i="13"/>
  <c r="T30" i="13"/>
  <c r="R30" i="13"/>
  <c r="S30" i="13" s="1"/>
  <c r="AB29" i="13"/>
  <c r="AA29" i="13"/>
  <c r="Z29" i="13"/>
  <c r="Y29" i="13"/>
  <c r="X29" i="13"/>
  <c r="W29" i="13"/>
  <c r="V29" i="13"/>
  <c r="U29" i="13"/>
  <c r="T29" i="13"/>
  <c r="R29" i="13"/>
  <c r="S29" i="13" s="1"/>
  <c r="AB28" i="13"/>
  <c r="AA28" i="13"/>
  <c r="Z28" i="13"/>
  <c r="Y28" i="13"/>
  <c r="X28" i="13"/>
  <c r="W28" i="13"/>
  <c r="V28" i="13"/>
  <c r="U28" i="13"/>
  <c r="T28" i="13"/>
  <c r="R28" i="13"/>
  <c r="S28" i="13" s="1"/>
  <c r="AB27" i="13"/>
  <c r="AA27" i="13"/>
  <c r="Z27" i="13"/>
  <c r="Y27" i="13"/>
  <c r="X27" i="13"/>
  <c r="W27" i="13"/>
  <c r="V27" i="13"/>
  <c r="U27" i="13"/>
  <c r="T27" i="13"/>
  <c r="R27" i="13"/>
  <c r="S27" i="13" s="1"/>
  <c r="AB26" i="13"/>
  <c r="AA26" i="13"/>
  <c r="Z26" i="13"/>
  <c r="Y26" i="13"/>
  <c r="X26" i="13"/>
  <c r="W26" i="13"/>
  <c r="V26" i="13"/>
  <c r="U26" i="13"/>
  <c r="T26" i="13"/>
  <c r="R26" i="13"/>
  <c r="S26" i="13" s="1"/>
  <c r="AB25" i="13"/>
  <c r="AA25" i="13"/>
  <c r="Z25" i="13"/>
  <c r="Y25" i="13"/>
  <c r="X25" i="13"/>
  <c r="W25" i="13"/>
  <c r="V25" i="13"/>
  <c r="U25" i="13"/>
  <c r="T25" i="13"/>
  <c r="R25" i="13"/>
  <c r="S25" i="13" s="1"/>
  <c r="AB24" i="13"/>
  <c r="AA24" i="13"/>
  <c r="Z24" i="13"/>
  <c r="Y24" i="13"/>
  <c r="X24" i="13"/>
  <c r="W24" i="13"/>
  <c r="V24" i="13"/>
  <c r="U24" i="13"/>
  <c r="T24" i="13"/>
  <c r="R24" i="13"/>
  <c r="S24" i="13" s="1"/>
  <c r="AB23" i="13"/>
  <c r="AA23" i="13"/>
  <c r="Z23" i="13"/>
  <c r="Y23" i="13"/>
  <c r="X23" i="13"/>
  <c r="W23" i="13"/>
  <c r="V23" i="13"/>
  <c r="U23" i="13"/>
  <c r="T23" i="13"/>
  <c r="R23" i="13"/>
  <c r="S23" i="13" s="1"/>
  <c r="AB22" i="13"/>
  <c r="AA22" i="13"/>
  <c r="Z22" i="13"/>
  <c r="Y22" i="13"/>
  <c r="X22" i="13"/>
  <c r="W22" i="13"/>
  <c r="V22" i="13"/>
  <c r="U22" i="13"/>
  <c r="T22" i="13"/>
  <c r="R22" i="13"/>
  <c r="S22" i="13" s="1"/>
  <c r="R21" i="13"/>
  <c r="S21" i="13" s="1"/>
  <c r="AB20" i="13"/>
  <c r="AA20" i="13"/>
  <c r="Z20" i="13"/>
  <c r="Y20" i="13"/>
  <c r="X20" i="13"/>
  <c r="W20" i="13"/>
  <c r="V20" i="13"/>
  <c r="U20" i="13"/>
  <c r="T20" i="13"/>
  <c r="R20" i="13"/>
  <c r="S20" i="13" s="1"/>
  <c r="L31" i="13"/>
  <c r="K31" i="13"/>
  <c r="D31" i="13"/>
  <c r="E31" i="13" s="1"/>
  <c r="L30" i="13"/>
  <c r="D30" i="13"/>
  <c r="E30" i="13" s="1"/>
  <c r="D29" i="13"/>
  <c r="E29" i="13" s="1"/>
  <c r="L29" i="13"/>
  <c r="K29" i="13"/>
  <c r="L28" i="13"/>
  <c r="K28" i="13"/>
  <c r="D28" i="13"/>
  <c r="E28" i="13" s="1"/>
  <c r="L27" i="13"/>
  <c r="D27" i="13"/>
  <c r="E27" i="13" s="1"/>
  <c r="L26" i="13"/>
  <c r="K26" i="13"/>
  <c r="D26" i="13"/>
  <c r="E26" i="13" s="1"/>
  <c r="L25" i="13"/>
  <c r="K25" i="13"/>
  <c r="D25" i="13"/>
  <c r="E25" i="13" s="1"/>
  <c r="L24" i="13"/>
  <c r="K24" i="13"/>
  <c r="D24" i="13"/>
  <c r="E24" i="13" s="1"/>
  <c r="L23" i="13"/>
  <c r="K23" i="13"/>
  <c r="D23" i="13"/>
  <c r="E23" i="13" s="1"/>
  <c r="L22" i="13"/>
  <c r="D22" i="13"/>
  <c r="E22" i="13" s="1"/>
  <c r="L21" i="13"/>
  <c r="K21" i="13"/>
  <c r="D21" i="13"/>
  <c r="E21" i="13" s="1"/>
  <c r="M20" i="13"/>
  <c r="L20" i="13"/>
  <c r="K20" i="13"/>
  <c r="D20" i="13"/>
  <c r="E20" i="13" s="1"/>
  <c r="AG34" i="13" l="1"/>
  <c r="E34" i="13"/>
  <c r="AG35" i="13"/>
  <c r="AU34" i="13"/>
  <c r="E35" i="13"/>
  <c r="AG20" i="13"/>
  <c r="S35" i="13"/>
  <c r="AU35" i="13"/>
  <c r="S34" i="13"/>
  <c r="AU20" i="13"/>
  <c r="AT33" i="13"/>
  <c r="AU33" i="13" s="1"/>
  <c r="D33" i="13"/>
  <c r="E33" i="13" s="1"/>
  <c r="R33" i="13"/>
  <c r="S33" i="13" s="1"/>
  <c r="D19" i="13"/>
  <c r="E19" i="13" s="1"/>
  <c r="AF19" i="13"/>
  <c r="AG19" i="13" s="1"/>
  <c r="AF33" i="13"/>
  <c r="AG33" i="13" s="1"/>
  <c r="AT19" i="13"/>
  <c r="AU19" i="13" s="1"/>
  <c r="R19" i="13"/>
  <c r="S19" i="13" s="1"/>
  <c r="D68" i="12" l="1"/>
  <c r="C68" i="12"/>
  <c r="B68" i="12"/>
  <c r="E67" i="12"/>
  <c r="C67" i="12"/>
  <c r="B67" i="12"/>
  <c r="E54" i="7"/>
  <c r="E47" i="7"/>
  <c r="E67" i="7"/>
  <c r="E54" i="5"/>
  <c r="D67" i="5"/>
  <c r="C67" i="5"/>
  <c r="B67" i="5"/>
  <c r="C47" i="5"/>
  <c r="C65" i="3"/>
  <c r="B65" i="3"/>
  <c r="E52" i="3"/>
  <c r="E45" i="3"/>
  <c r="F45" i="3"/>
  <c r="D45" i="3"/>
  <c r="D65" i="3"/>
  <c r="C45" i="3"/>
  <c r="B45" i="3"/>
  <c r="C65" i="2"/>
  <c r="B65" i="2"/>
  <c r="E52" i="2"/>
  <c r="E45" i="2"/>
  <c r="C45" i="2"/>
  <c r="B45" i="2"/>
  <c r="C65" i="1"/>
  <c r="B65" i="1"/>
  <c r="D65" i="1"/>
  <c r="E52" i="1"/>
  <c r="E45" i="1"/>
  <c r="E65" i="1"/>
  <c r="G45" i="1"/>
  <c r="G65" i="1"/>
  <c r="F45" i="1"/>
  <c r="F65" i="1"/>
  <c r="D45" i="1"/>
  <c r="C45" i="1"/>
  <c r="B45" i="1"/>
  <c r="C47" i="12"/>
  <c r="B47" i="12"/>
  <c r="C47" i="10"/>
  <c r="C67" i="10"/>
  <c r="E54" i="10"/>
  <c r="E54" i="9"/>
  <c r="E54" i="6"/>
  <c r="E47" i="6"/>
  <c r="D47" i="6"/>
  <c r="C47" i="6"/>
  <c r="C67" i="6"/>
  <c r="B47" i="6"/>
  <c r="B67" i="6"/>
  <c r="C67" i="8"/>
  <c r="B67" i="8"/>
  <c r="G47" i="8"/>
  <c r="F47" i="8"/>
  <c r="E47" i="8"/>
  <c r="D47" i="8"/>
  <c r="C47" i="8"/>
  <c r="B47" i="8"/>
  <c r="E53" i="4"/>
  <c r="E54" i="4"/>
  <c r="D47" i="4"/>
  <c r="C47" i="4"/>
  <c r="B47" i="4"/>
  <c r="E55" i="1"/>
  <c r="D55" i="1"/>
  <c r="C55" i="1"/>
  <c r="B55" i="1"/>
  <c r="G67" i="7"/>
  <c r="F67" i="7"/>
  <c r="D67" i="7"/>
  <c r="C67" i="7"/>
  <c r="B67" i="7"/>
  <c r="G47" i="7"/>
  <c r="F47" i="7"/>
  <c r="C47" i="7"/>
  <c r="B47" i="7"/>
  <c r="E54" i="11"/>
  <c r="B47" i="10"/>
  <c r="E53" i="9"/>
  <c r="E6" i="6"/>
  <c r="D6" i="6"/>
  <c r="D67" i="6"/>
  <c r="E67" i="6"/>
  <c r="F47" i="6"/>
  <c r="G47" i="5"/>
  <c r="F47" i="5"/>
  <c r="E47" i="5"/>
  <c r="E67" i="5"/>
  <c r="B47" i="5"/>
  <c r="G47" i="4"/>
  <c r="F47" i="4"/>
  <c r="F67" i="4"/>
  <c r="E47" i="4"/>
  <c r="D47" i="3"/>
  <c r="D52" i="2"/>
  <c r="D45" i="2"/>
  <c r="D47" i="11"/>
  <c r="E53" i="11"/>
  <c r="E47" i="12"/>
  <c r="D54" i="12"/>
  <c r="D18" i="12"/>
  <c r="D15" i="12"/>
  <c r="D63" i="12"/>
  <c r="L31" i="12"/>
  <c r="K31" i="12"/>
  <c r="D31" i="12"/>
  <c r="O31" i="12"/>
  <c r="L60" i="12"/>
  <c r="K60" i="12"/>
  <c r="D60" i="12"/>
  <c r="O60" i="12"/>
  <c r="L58" i="12"/>
  <c r="L57" i="12"/>
  <c r="K58" i="12"/>
  <c r="K57" i="12"/>
  <c r="D58" i="12"/>
  <c r="L12" i="12"/>
  <c r="K12" i="12"/>
  <c r="D12" i="12"/>
  <c r="D45" i="12"/>
  <c r="D52" i="12"/>
  <c r="O52" i="12"/>
  <c r="L52" i="12"/>
  <c r="K52" i="12"/>
  <c r="L38" i="12"/>
  <c r="K38" i="12"/>
  <c r="D38" i="12"/>
  <c r="O38" i="12"/>
  <c r="D42" i="12"/>
  <c r="O42" i="12"/>
  <c r="L29" i="12"/>
  <c r="K29" i="12"/>
  <c r="D29" i="12"/>
  <c r="D65" i="12"/>
  <c r="L65" i="12"/>
  <c r="D51" i="12"/>
  <c r="L51" i="12"/>
  <c r="D49" i="12"/>
  <c r="O49" i="12"/>
  <c r="D49" i="11"/>
  <c r="L49" i="11"/>
  <c r="L49" i="12"/>
  <c r="L47" i="12"/>
  <c r="D40" i="12"/>
  <c r="D41" i="12"/>
  <c r="L40" i="12"/>
  <c r="L41" i="12"/>
  <c r="D10" i="12"/>
  <c r="L10" i="12"/>
  <c r="L39" i="12"/>
  <c r="K39" i="12"/>
  <c r="D39" i="12"/>
  <c r="I39" i="12"/>
  <c r="E39" i="12"/>
  <c r="L36" i="12"/>
  <c r="K36" i="12"/>
  <c r="D36" i="12"/>
  <c r="O36" i="12"/>
  <c r="L14" i="12"/>
  <c r="K14" i="12"/>
  <c r="D14" i="12"/>
  <c r="D61" i="12"/>
  <c r="L61" i="12"/>
  <c r="D35" i="12"/>
  <c r="L35" i="12"/>
  <c r="D30" i="12"/>
  <c r="O30" i="12"/>
  <c r="L30" i="12"/>
  <c r="D9" i="12"/>
  <c r="O9" i="12"/>
  <c r="D44" i="12"/>
  <c r="O44" i="12"/>
  <c r="L44" i="12"/>
  <c r="D17" i="12"/>
  <c r="L17" i="12"/>
  <c r="D53" i="12"/>
  <c r="L53" i="12"/>
  <c r="D37" i="12"/>
  <c r="L37" i="12"/>
  <c r="C65" i="12"/>
  <c r="C61" i="12"/>
  <c r="C60" i="12"/>
  <c r="C58" i="12"/>
  <c r="C53" i="12"/>
  <c r="C52" i="12"/>
  <c r="C51" i="12"/>
  <c r="C49" i="12"/>
  <c r="C44" i="12"/>
  <c r="C43" i="12"/>
  <c r="C42" i="12"/>
  <c r="C41" i="12"/>
  <c r="C40" i="12"/>
  <c r="C39" i="12"/>
  <c r="C38" i="12"/>
  <c r="C37" i="12"/>
  <c r="C36" i="12"/>
  <c r="C35" i="12"/>
  <c r="C31" i="12"/>
  <c r="C29" i="12"/>
  <c r="C28" i="12"/>
  <c r="C26" i="12"/>
  <c r="C17" i="12"/>
  <c r="C16" i="12"/>
  <c r="C15" i="12"/>
  <c r="C14" i="12"/>
  <c r="O14" i="12"/>
  <c r="C9" i="12"/>
  <c r="C6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P91" i="12"/>
  <c r="P90" i="12"/>
  <c r="P89" i="12"/>
  <c r="P88" i="12"/>
  <c r="P87" i="12"/>
  <c r="P86" i="12"/>
  <c r="P85" i="12"/>
  <c r="O73" i="12"/>
  <c r="N73" i="12"/>
  <c r="M73" i="12"/>
  <c r="L73" i="12"/>
  <c r="K73" i="12"/>
  <c r="J73" i="12"/>
  <c r="I73" i="12"/>
  <c r="H73" i="12"/>
  <c r="G73" i="12"/>
  <c r="F73" i="12"/>
  <c r="E73" i="12"/>
  <c r="P72" i="12"/>
  <c r="E65" i="12"/>
  <c r="B65" i="12"/>
  <c r="E64" i="12"/>
  <c r="O63" i="12"/>
  <c r="E62" i="12"/>
  <c r="B62" i="12"/>
  <c r="E61" i="12"/>
  <c r="B61" i="12"/>
  <c r="E60" i="12"/>
  <c r="B60" i="12"/>
  <c r="E59" i="12"/>
  <c r="E58" i="12"/>
  <c r="B58" i="12"/>
  <c r="N57" i="12"/>
  <c r="M57" i="12"/>
  <c r="I57" i="12"/>
  <c r="H57" i="12"/>
  <c r="O54" i="12"/>
  <c r="E53" i="12"/>
  <c r="B53" i="12"/>
  <c r="E52" i="12"/>
  <c r="B52" i="12"/>
  <c r="E51" i="12"/>
  <c r="O51" i="12"/>
  <c r="B51" i="12"/>
  <c r="K47" i="12"/>
  <c r="E49" i="12"/>
  <c r="B49" i="12"/>
  <c r="E48" i="12"/>
  <c r="N47" i="12"/>
  <c r="M47" i="12"/>
  <c r="J47" i="12"/>
  <c r="I47" i="12"/>
  <c r="H47" i="12"/>
  <c r="G47" i="12"/>
  <c r="F47" i="12"/>
  <c r="D47" i="12"/>
  <c r="E45" i="12"/>
  <c r="O45" i="12"/>
  <c r="E44" i="12"/>
  <c r="B44" i="12"/>
  <c r="B43" i="12"/>
  <c r="E42" i="12"/>
  <c r="B42" i="12"/>
  <c r="E41" i="12"/>
  <c r="B41" i="12"/>
  <c r="E40" i="12"/>
  <c r="O40" i="12"/>
  <c r="B40" i="12"/>
  <c r="B39" i="12"/>
  <c r="E38" i="12"/>
  <c r="B38" i="12"/>
  <c r="E37" i="12"/>
  <c r="B37" i="12"/>
  <c r="E36" i="12"/>
  <c r="B36" i="12"/>
  <c r="E35" i="12"/>
  <c r="B35" i="12"/>
  <c r="E31" i="12"/>
  <c r="B31" i="12"/>
  <c r="E30" i="12"/>
  <c r="E29" i="12"/>
  <c r="D28" i="12"/>
  <c r="B29" i="12"/>
  <c r="B28" i="12"/>
  <c r="E26" i="12"/>
  <c r="B26" i="12"/>
  <c r="D24" i="12"/>
  <c r="D23" i="12"/>
  <c r="D22" i="12"/>
  <c r="D21" i="12"/>
  <c r="D20" i="12"/>
  <c r="D19" i="12"/>
  <c r="O18" i="12"/>
  <c r="O17" i="12"/>
  <c r="E17" i="12"/>
  <c r="B17" i="12"/>
  <c r="D16" i="12"/>
  <c r="O16" i="12"/>
  <c r="B16" i="12"/>
  <c r="E15" i="12"/>
  <c r="B15" i="12"/>
  <c r="E14" i="12"/>
  <c r="B14" i="12"/>
  <c r="O13" i="12"/>
  <c r="L6" i="12"/>
  <c r="K6" i="12"/>
  <c r="E12" i="12"/>
  <c r="O12" i="12"/>
  <c r="E11" i="12"/>
  <c r="O10" i="12"/>
  <c r="E10" i="12"/>
  <c r="E9" i="12"/>
  <c r="B9" i="12"/>
  <c r="E8" i="12"/>
  <c r="E7" i="12"/>
  <c r="N6" i="12"/>
  <c r="M6" i="12"/>
  <c r="J6" i="12"/>
  <c r="I6" i="12"/>
  <c r="H6" i="12"/>
  <c r="G6" i="12"/>
  <c r="F6" i="12"/>
  <c r="D18" i="11"/>
  <c r="O18" i="11"/>
  <c r="D24" i="11"/>
  <c r="D23" i="11"/>
  <c r="D22" i="11"/>
  <c r="D21" i="11"/>
  <c r="D20" i="11"/>
  <c r="D19" i="11"/>
  <c r="C62" i="12"/>
  <c r="C57" i="12"/>
  <c r="B6" i="12"/>
  <c r="B34" i="12"/>
  <c r="P92" i="12"/>
  <c r="Q92" i="12"/>
  <c r="O65" i="12"/>
  <c r="M67" i="12"/>
  <c r="D26" i="12"/>
  <c r="Q88" i="12"/>
  <c r="O47" i="12"/>
  <c r="D6" i="12"/>
  <c r="C34" i="12"/>
  <c r="O58" i="12"/>
  <c r="G67" i="12"/>
  <c r="E28" i="12"/>
  <c r="E6" i="12"/>
  <c r="N67" i="12"/>
  <c r="O37" i="12"/>
  <c r="O41" i="12"/>
  <c r="O61" i="12"/>
  <c r="O15" i="12"/>
  <c r="O28" i="12"/>
  <c r="O35" i="12"/>
  <c r="O39" i="12"/>
  <c r="O53" i="12"/>
  <c r="E57" i="12"/>
  <c r="B57" i="12"/>
  <c r="I67" i="12"/>
  <c r="J67" i="12"/>
  <c r="F67" i="12"/>
  <c r="E34" i="12"/>
  <c r="H67" i="12"/>
  <c r="L67" i="12"/>
  <c r="Q90" i="12"/>
  <c r="K67" i="12"/>
  <c r="O6" i="12"/>
  <c r="Q87" i="12"/>
  <c r="Q91" i="12"/>
  <c r="O29" i="12"/>
  <c r="D34" i="12"/>
  <c r="O34" i="12"/>
  <c r="D57" i="12"/>
  <c r="L15" i="11"/>
  <c r="K15" i="11"/>
  <c r="D15" i="11"/>
  <c r="L38" i="11"/>
  <c r="K38" i="11"/>
  <c r="D38" i="11"/>
  <c r="D38" i="10"/>
  <c r="E38" i="10"/>
  <c r="L38" i="10"/>
  <c r="K38" i="10"/>
  <c r="L60" i="11"/>
  <c r="K60" i="11"/>
  <c r="D60" i="11"/>
  <c r="L31" i="11"/>
  <c r="K31" i="11"/>
  <c r="D31" i="11"/>
  <c r="L29" i="11"/>
  <c r="K29" i="11"/>
  <c r="D29" i="11"/>
  <c r="L65" i="11"/>
  <c r="K65" i="11"/>
  <c r="D65" i="11"/>
  <c r="L12" i="11"/>
  <c r="K12" i="11"/>
  <c r="D12" i="11"/>
  <c r="L51" i="11"/>
  <c r="K51" i="11"/>
  <c r="D51" i="11"/>
  <c r="D40" i="11"/>
  <c r="L40" i="11"/>
  <c r="K40" i="11"/>
  <c r="L41" i="11"/>
  <c r="K41" i="11"/>
  <c r="D41" i="11"/>
  <c r="D37" i="11"/>
  <c r="D37" i="10"/>
  <c r="L37" i="11"/>
  <c r="K37" i="11"/>
  <c r="L39" i="11"/>
  <c r="K39" i="11"/>
  <c r="D39" i="11"/>
  <c r="L36" i="11"/>
  <c r="K36" i="11"/>
  <c r="D36" i="11"/>
  <c r="L35" i="11"/>
  <c r="K35" i="11"/>
  <c r="D35" i="11"/>
  <c r="K58" i="11"/>
  <c r="D58" i="11"/>
  <c r="D44" i="11"/>
  <c r="D42" i="11"/>
  <c r="L45" i="11"/>
  <c r="K45" i="11"/>
  <c r="D45" i="11"/>
  <c r="D9" i="11"/>
  <c r="E9" i="11"/>
  <c r="D61" i="11"/>
  <c r="L61" i="11"/>
  <c r="K61" i="11"/>
  <c r="D30" i="11"/>
  <c r="L30" i="11"/>
  <c r="K30" i="11"/>
  <c r="D63" i="11"/>
  <c r="L63" i="11"/>
  <c r="D53" i="11"/>
  <c r="L53" i="11"/>
  <c r="D14" i="11"/>
  <c r="L14" i="11"/>
  <c r="L52" i="11"/>
  <c r="D10" i="11"/>
  <c r="L10" i="11"/>
  <c r="D52" i="11"/>
  <c r="D17" i="11"/>
  <c r="L17" i="11"/>
  <c r="C67" i="11"/>
  <c r="Q85" i="12"/>
  <c r="Q86" i="12"/>
  <c r="O57" i="12"/>
  <c r="Q89" i="12"/>
  <c r="E68" i="12"/>
  <c r="D67" i="12"/>
  <c r="O92" i="11"/>
  <c r="N92" i="11"/>
  <c r="M92" i="11"/>
  <c r="L92" i="11"/>
  <c r="K92" i="11"/>
  <c r="J92" i="11"/>
  <c r="I92" i="11"/>
  <c r="H92" i="11"/>
  <c r="G92" i="11"/>
  <c r="F92" i="11"/>
  <c r="E92" i="11"/>
  <c r="D92" i="11"/>
  <c r="P91" i="11"/>
  <c r="P90" i="11"/>
  <c r="P89" i="11"/>
  <c r="P88" i="11"/>
  <c r="P87" i="11"/>
  <c r="P86" i="11"/>
  <c r="P85" i="11"/>
  <c r="O73" i="11"/>
  <c r="N73" i="11"/>
  <c r="M73" i="11"/>
  <c r="L73" i="11"/>
  <c r="K73" i="11"/>
  <c r="J73" i="11"/>
  <c r="I73" i="11"/>
  <c r="H73" i="11"/>
  <c r="G73" i="11"/>
  <c r="F73" i="11"/>
  <c r="E73" i="11"/>
  <c r="P72" i="11"/>
  <c r="E65" i="11"/>
  <c r="O65" i="11"/>
  <c r="B65" i="11"/>
  <c r="E64" i="11"/>
  <c r="E63" i="11"/>
  <c r="O63" i="11"/>
  <c r="E62" i="11"/>
  <c r="B62" i="11"/>
  <c r="E61" i="11"/>
  <c r="O61" i="11"/>
  <c r="B61" i="11"/>
  <c r="E60" i="11"/>
  <c r="O60" i="11"/>
  <c r="B60" i="11"/>
  <c r="E59" i="11"/>
  <c r="E58" i="11"/>
  <c r="O58" i="11"/>
  <c r="B58" i="11"/>
  <c r="N57" i="11"/>
  <c r="M57" i="11"/>
  <c r="L57" i="11"/>
  <c r="K57" i="11"/>
  <c r="I57" i="11"/>
  <c r="H57" i="11"/>
  <c r="D57" i="11"/>
  <c r="O54" i="11"/>
  <c r="O53" i="11"/>
  <c r="B53" i="11"/>
  <c r="E52" i="11"/>
  <c r="O52" i="11"/>
  <c r="B52" i="11"/>
  <c r="E51" i="11"/>
  <c r="O51" i="11"/>
  <c r="B51" i="11"/>
  <c r="B47" i="11"/>
  <c r="L47" i="11"/>
  <c r="E49" i="11"/>
  <c r="B49" i="11"/>
  <c r="E48" i="11"/>
  <c r="N47" i="11"/>
  <c r="M47" i="11"/>
  <c r="K47" i="11"/>
  <c r="J47" i="11"/>
  <c r="I47" i="11"/>
  <c r="E45" i="11"/>
  <c r="O45" i="11"/>
  <c r="E44" i="11"/>
  <c r="O44" i="11"/>
  <c r="B44" i="11"/>
  <c r="B43" i="11"/>
  <c r="O42" i="11"/>
  <c r="E42" i="11"/>
  <c r="B42" i="11"/>
  <c r="E41" i="11"/>
  <c r="O41" i="11"/>
  <c r="B41" i="11"/>
  <c r="O40" i="11"/>
  <c r="E40" i="11"/>
  <c r="B40" i="11"/>
  <c r="E39" i="11"/>
  <c r="O39" i="11"/>
  <c r="B39" i="11"/>
  <c r="E38" i="11"/>
  <c r="O38" i="11"/>
  <c r="B38" i="11"/>
  <c r="E37" i="11"/>
  <c r="O37" i="11"/>
  <c r="B37" i="11"/>
  <c r="E36" i="11"/>
  <c r="O36" i="11"/>
  <c r="B36" i="11"/>
  <c r="E35" i="11"/>
  <c r="D34" i="11"/>
  <c r="B35" i="11"/>
  <c r="E31" i="11"/>
  <c r="O31" i="11"/>
  <c r="B31" i="11"/>
  <c r="L28" i="11"/>
  <c r="E30" i="11"/>
  <c r="O30" i="11"/>
  <c r="E29" i="11"/>
  <c r="D28" i="11"/>
  <c r="O28" i="11"/>
  <c r="B29" i="11"/>
  <c r="B28" i="11"/>
  <c r="N28" i="11"/>
  <c r="M28" i="11"/>
  <c r="K28" i="11"/>
  <c r="J28" i="11"/>
  <c r="I28" i="11"/>
  <c r="H28" i="11"/>
  <c r="G28" i="11"/>
  <c r="F28" i="11"/>
  <c r="E26" i="11"/>
  <c r="D26" i="11"/>
  <c r="B26" i="11"/>
  <c r="E17" i="11"/>
  <c r="O17" i="11"/>
  <c r="B17" i="11"/>
  <c r="D16" i="11"/>
  <c r="O16" i="11"/>
  <c r="B16" i="11"/>
  <c r="E15" i="11"/>
  <c r="O15" i="11"/>
  <c r="B15" i="11"/>
  <c r="E14" i="11"/>
  <c r="O14" i="11"/>
  <c r="B14" i="11"/>
  <c r="O13" i="11"/>
  <c r="E12" i="11"/>
  <c r="O12" i="11"/>
  <c r="E11" i="11"/>
  <c r="L6" i="11"/>
  <c r="E10" i="11"/>
  <c r="O10" i="11"/>
  <c r="O9" i="11"/>
  <c r="B9" i="11"/>
  <c r="E8" i="11"/>
  <c r="E7" i="11"/>
  <c r="N6" i="11"/>
  <c r="M6" i="11"/>
  <c r="K6" i="11"/>
  <c r="J6" i="11"/>
  <c r="I6" i="11"/>
  <c r="H6" i="11"/>
  <c r="G6" i="11"/>
  <c r="F6" i="11"/>
  <c r="P72" i="10"/>
  <c r="B6" i="11"/>
  <c r="O67" i="12"/>
  <c r="P92" i="11"/>
  <c r="I67" i="11"/>
  <c r="E34" i="11"/>
  <c r="E28" i="11"/>
  <c r="N67" i="11"/>
  <c r="M67" i="11"/>
  <c r="E57" i="11"/>
  <c r="B34" i="11"/>
  <c r="J67" i="11"/>
  <c r="K67" i="11"/>
  <c r="E6" i="11"/>
  <c r="O57" i="11"/>
  <c r="O47" i="11"/>
  <c r="Q89" i="11"/>
  <c r="L67" i="11"/>
  <c r="O34" i="11"/>
  <c r="B57" i="11"/>
  <c r="B67" i="11"/>
  <c r="B68" i="11"/>
  <c r="Q92" i="11"/>
  <c r="Q90" i="11"/>
  <c r="Q88" i="11"/>
  <c r="Q86" i="11"/>
  <c r="C68" i="11"/>
  <c r="Q87" i="11"/>
  <c r="Q91" i="11"/>
  <c r="O29" i="11"/>
  <c r="O35" i="11"/>
  <c r="D6" i="11"/>
  <c r="O49" i="11"/>
  <c r="Q85" i="11"/>
  <c r="C6" i="10"/>
  <c r="D44" i="10"/>
  <c r="O44" i="10"/>
  <c r="D29" i="10"/>
  <c r="O29" i="10"/>
  <c r="D29" i="9"/>
  <c r="D29" i="6"/>
  <c r="D29" i="8"/>
  <c r="D29" i="7"/>
  <c r="D29" i="4"/>
  <c r="D27" i="3"/>
  <c r="D27" i="2"/>
  <c r="D61" i="10"/>
  <c r="L60" i="10"/>
  <c r="K60" i="10"/>
  <c r="D60" i="10"/>
  <c r="L65" i="10"/>
  <c r="K65" i="10"/>
  <c r="D65" i="10"/>
  <c r="D31" i="10"/>
  <c r="O31" i="10"/>
  <c r="L31" i="10"/>
  <c r="K31" i="10"/>
  <c r="L37" i="10"/>
  <c r="K37" i="10"/>
  <c r="D40" i="10"/>
  <c r="O40" i="10"/>
  <c r="L41" i="10"/>
  <c r="K41" i="10"/>
  <c r="D41" i="10"/>
  <c r="L12" i="10"/>
  <c r="K12" i="10"/>
  <c r="D12" i="10"/>
  <c r="L58" i="10"/>
  <c r="K58" i="10"/>
  <c r="D58" i="10"/>
  <c r="D57" i="10"/>
  <c r="L35" i="10"/>
  <c r="L39" i="10"/>
  <c r="K39" i="10"/>
  <c r="D39" i="10"/>
  <c r="D49" i="10"/>
  <c r="L49" i="10"/>
  <c r="K49" i="10"/>
  <c r="D51" i="10"/>
  <c r="K51" i="10"/>
  <c r="L15" i="10"/>
  <c r="K15" i="10"/>
  <c r="D15" i="10"/>
  <c r="O15" i="10"/>
  <c r="L29" i="10"/>
  <c r="K29" i="10"/>
  <c r="K28" i="10"/>
  <c r="L36" i="10"/>
  <c r="K36" i="10"/>
  <c r="D36" i="10"/>
  <c r="D45" i="10"/>
  <c r="L45" i="10"/>
  <c r="K45" i="10"/>
  <c r="L10" i="10"/>
  <c r="K10" i="10"/>
  <c r="K6" i="10"/>
  <c r="D10" i="10"/>
  <c r="D9" i="10"/>
  <c r="D6" i="10"/>
  <c r="O6" i="10"/>
  <c r="L14" i="10"/>
  <c r="L6" i="10"/>
  <c r="K14" i="10"/>
  <c r="D14" i="10"/>
  <c r="O14" i="10"/>
  <c r="D42" i="10"/>
  <c r="L30" i="10"/>
  <c r="K30" i="10"/>
  <c r="D30" i="10"/>
  <c r="L61" i="10"/>
  <c r="K61" i="10"/>
  <c r="D63" i="10"/>
  <c r="L63" i="10"/>
  <c r="D52" i="10"/>
  <c r="O52" i="10"/>
  <c r="L52" i="10"/>
  <c r="D35" i="10"/>
  <c r="O35" i="10"/>
  <c r="D17" i="10"/>
  <c r="O17" i="10"/>
  <c r="L17" i="10"/>
  <c r="D53" i="10"/>
  <c r="L53" i="10"/>
  <c r="L44" i="10"/>
  <c r="O18" i="10"/>
  <c r="O13" i="10"/>
  <c r="O12" i="10"/>
  <c r="O10" i="10"/>
  <c r="C65" i="10"/>
  <c r="C63" i="10"/>
  <c r="C61" i="10"/>
  <c r="C60" i="10"/>
  <c r="C58" i="10"/>
  <c r="C53" i="10"/>
  <c r="C52" i="10"/>
  <c r="C51" i="10"/>
  <c r="O51" i="10"/>
  <c r="C49" i="10"/>
  <c r="C45" i="10"/>
  <c r="C34" i="10"/>
  <c r="C44" i="10"/>
  <c r="C43" i="10"/>
  <c r="C42" i="10"/>
  <c r="C41" i="10"/>
  <c r="C40" i="10"/>
  <c r="C39" i="10"/>
  <c r="C38" i="10"/>
  <c r="C37" i="10"/>
  <c r="O37" i="10"/>
  <c r="C36" i="10"/>
  <c r="O36" i="10"/>
  <c r="C35" i="10"/>
  <c r="C31" i="10"/>
  <c r="C28" i="10"/>
  <c r="C18" i="10"/>
  <c r="C17" i="10"/>
  <c r="C15" i="10"/>
  <c r="C14" i="10"/>
  <c r="C10" i="10"/>
  <c r="C9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P91" i="10"/>
  <c r="P90" i="10"/>
  <c r="P89" i="10"/>
  <c r="P88" i="10"/>
  <c r="P87" i="10"/>
  <c r="P86" i="10"/>
  <c r="P85" i="10"/>
  <c r="O73" i="10"/>
  <c r="N73" i="10"/>
  <c r="M73" i="10"/>
  <c r="L73" i="10"/>
  <c r="K73" i="10"/>
  <c r="J73" i="10"/>
  <c r="I73" i="10"/>
  <c r="H73" i="10"/>
  <c r="G73" i="10"/>
  <c r="F73" i="10"/>
  <c r="E73" i="10"/>
  <c r="E65" i="10"/>
  <c r="B65" i="10"/>
  <c r="E64" i="10"/>
  <c r="E63" i="10"/>
  <c r="O63" i="10"/>
  <c r="E62" i="10"/>
  <c r="B62" i="10"/>
  <c r="E61" i="10"/>
  <c r="B61" i="10"/>
  <c r="L57" i="10"/>
  <c r="E60" i="10"/>
  <c r="O60" i="10"/>
  <c r="B60" i="10"/>
  <c r="E59" i="10"/>
  <c r="E58" i="10"/>
  <c r="B58" i="10"/>
  <c r="N57" i="10"/>
  <c r="M57" i="10"/>
  <c r="K57" i="10"/>
  <c r="I57" i="10"/>
  <c r="H57" i="10"/>
  <c r="O54" i="10"/>
  <c r="E53" i="10"/>
  <c r="B53" i="10"/>
  <c r="E52" i="10"/>
  <c r="B52" i="10"/>
  <c r="E51" i="10"/>
  <c r="B51" i="10"/>
  <c r="E49" i="10"/>
  <c r="B49" i="10"/>
  <c r="E48" i="10"/>
  <c r="N47" i="10"/>
  <c r="M47" i="10"/>
  <c r="K47" i="10"/>
  <c r="J47" i="10"/>
  <c r="I47" i="10"/>
  <c r="H47" i="10"/>
  <c r="G47" i="10"/>
  <c r="F47" i="10"/>
  <c r="E45" i="10"/>
  <c r="E44" i="10"/>
  <c r="B44" i="10"/>
  <c r="B43" i="10"/>
  <c r="E42" i="10"/>
  <c r="B42" i="10"/>
  <c r="E41" i="10"/>
  <c r="O41" i="10"/>
  <c r="B41" i="10"/>
  <c r="E40" i="10"/>
  <c r="B40" i="10"/>
  <c r="E39" i="10"/>
  <c r="O39" i="10"/>
  <c r="B39" i="10"/>
  <c r="B34" i="10"/>
  <c r="B38" i="10"/>
  <c r="E37" i="10"/>
  <c r="B37" i="10"/>
  <c r="E36" i="10"/>
  <c r="B36" i="10"/>
  <c r="E35" i="10"/>
  <c r="B35" i="10"/>
  <c r="N34" i="10"/>
  <c r="E31" i="10"/>
  <c r="B31" i="10"/>
  <c r="E30" i="10"/>
  <c r="O30" i="10"/>
  <c r="E29" i="10"/>
  <c r="B29" i="10"/>
  <c r="B28" i="10"/>
  <c r="N28" i="10"/>
  <c r="M28" i="10"/>
  <c r="L28" i="10"/>
  <c r="J28" i="10"/>
  <c r="I28" i="10"/>
  <c r="H28" i="10"/>
  <c r="G28" i="10"/>
  <c r="F28" i="10"/>
  <c r="E26" i="10"/>
  <c r="D26" i="10"/>
  <c r="B26" i="10"/>
  <c r="E17" i="10"/>
  <c r="B17" i="10"/>
  <c r="D16" i="10"/>
  <c r="O16" i="10"/>
  <c r="B16" i="10"/>
  <c r="E15" i="10"/>
  <c r="B15" i="10"/>
  <c r="E14" i="10"/>
  <c r="B14" i="10"/>
  <c r="E12" i="10"/>
  <c r="E11" i="10"/>
  <c r="E10" i="10"/>
  <c r="E9" i="10"/>
  <c r="B9" i="10"/>
  <c r="E8" i="10"/>
  <c r="E7" i="10"/>
  <c r="N6" i="10"/>
  <c r="M6" i="10"/>
  <c r="J6" i="10"/>
  <c r="I6" i="10"/>
  <c r="H6" i="10"/>
  <c r="G6" i="10"/>
  <c r="F6" i="10"/>
  <c r="C68" i="6"/>
  <c r="N28" i="9"/>
  <c r="M28" i="9"/>
  <c r="N57" i="9"/>
  <c r="M57" i="9"/>
  <c r="E6" i="10"/>
  <c r="O53" i="10"/>
  <c r="O9" i="10"/>
  <c r="O49" i="10"/>
  <c r="O45" i="10"/>
  <c r="B6" i="10"/>
  <c r="B67" i="10"/>
  <c r="B68" i="10"/>
  <c r="B57" i="10"/>
  <c r="O58" i="10"/>
  <c r="C62" i="10"/>
  <c r="C57" i="10"/>
  <c r="O42" i="10"/>
  <c r="L47" i="10"/>
  <c r="D67" i="11"/>
  <c r="D68" i="11"/>
  <c r="O6" i="11"/>
  <c r="P92" i="10"/>
  <c r="D28" i="10"/>
  <c r="O28" i="10"/>
  <c r="O61" i="10"/>
  <c r="E28" i="10"/>
  <c r="F67" i="10"/>
  <c r="L67" i="10"/>
  <c r="J67" i="10"/>
  <c r="G67" i="10"/>
  <c r="E47" i="10"/>
  <c r="O38" i="10"/>
  <c r="E57" i="10"/>
  <c r="E34" i="10"/>
  <c r="H67" i="10"/>
  <c r="I67" i="10"/>
  <c r="N67" i="10"/>
  <c r="Q91" i="10"/>
  <c r="K67" i="10"/>
  <c r="Q88" i="10"/>
  <c r="Q92" i="10"/>
  <c r="Q89" i="10"/>
  <c r="Q87" i="10"/>
  <c r="Q85" i="10"/>
  <c r="M67" i="10"/>
  <c r="Q86" i="10"/>
  <c r="Q90" i="10"/>
  <c r="D34" i="10"/>
  <c r="O47" i="10"/>
  <c r="O65" i="10"/>
  <c r="N6" i="9"/>
  <c r="M6" i="9"/>
  <c r="J6" i="9"/>
  <c r="I6" i="9"/>
  <c r="H6" i="9"/>
  <c r="G6" i="9"/>
  <c r="F6" i="9"/>
  <c r="J28" i="9"/>
  <c r="I28" i="9"/>
  <c r="H28" i="9"/>
  <c r="G28" i="9"/>
  <c r="F28" i="9"/>
  <c r="N34" i="9"/>
  <c r="M34" i="9"/>
  <c r="J34" i="9"/>
  <c r="I34" i="9"/>
  <c r="H34" i="9"/>
  <c r="G34" i="9"/>
  <c r="F34" i="9"/>
  <c r="I57" i="9"/>
  <c r="H57" i="9"/>
  <c r="L15" i="9"/>
  <c r="K15" i="9"/>
  <c r="D15" i="9"/>
  <c r="E15" i="9"/>
  <c r="L65" i="9"/>
  <c r="K65" i="9"/>
  <c r="D65" i="9"/>
  <c r="D65" i="6"/>
  <c r="L63" i="9"/>
  <c r="K63" i="9"/>
  <c r="D63" i="9"/>
  <c r="L30" i="9"/>
  <c r="K30" i="9"/>
  <c r="D30" i="9"/>
  <c r="D28" i="9"/>
  <c r="L38" i="9"/>
  <c r="K38" i="9"/>
  <c r="D38" i="9"/>
  <c r="D39" i="9"/>
  <c r="L39" i="9"/>
  <c r="K39" i="9"/>
  <c r="L40" i="9"/>
  <c r="K40" i="9"/>
  <c r="D40" i="9"/>
  <c r="L41" i="9"/>
  <c r="K41" i="9"/>
  <c r="D41" i="9"/>
  <c r="D51" i="9"/>
  <c r="L51" i="9"/>
  <c r="K51" i="9"/>
  <c r="D49" i="9"/>
  <c r="L49" i="9"/>
  <c r="K49" i="9"/>
  <c r="K31" i="9"/>
  <c r="D31" i="9"/>
  <c r="L60" i="9"/>
  <c r="K60" i="9"/>
  <c r="D60" i="9"/>
  <c r="D58" i="9"/>
  <c r="E58" i="9"/>
  <c r="D58" i="6"/>
  <c r="D58" i="8"/>
  <c r="D58" i="7"/>
  <c r="K58" i="7"/>
  <c r="K58" i="9"/>
  <c r="D12" i="9"/>
  <c r="L12" i="9"/>
  <c r="K12" i="9"/>
  <c r="L45" i="9"/>
  <c r="K45" i="9"/>
  <c r="D45" i="9"/>
  <c r="D36" i="9"/>
  <c r="L36" i="9"/>
  <c r="K36" i="9"/>
  <c r="K34" i="9"/>
  <c r="L29" i="9"/>
  <c r="L28" i="9"/>
  <c r="K29" i="9"/>
  <c r="K28" i="9"/>
  <c r="L14" i="9"/>
  <c r="K14" i="9"/>
  <c r="D14" i="9"/>
  <c r="L10" i="9"/>
  <c r="K10" i="9"/>
  <c r="D10" i="9"/>
  <c r="D61" i="9"/>
  <c r="L61" i="9"/>
  <c r="D35" i="9"/>
  <c r="L35" i="9"/>
  <c r="L34" i="9"/>
  <c r="D52" i="9"/>
  <c r="L52" i="9"/>
  <c r="D9" i="9"/>
  <c r="O9" i="9"/>
  <c r="D44" i="9"/>
  <c r="L44" i="9"/>
  <c r="D17" i="9"/>
  <c r="L17" i="9"/>
  <c r="D37" i="9"/>
  <c r="L37" i="9"/>
  <c r="D53" i="9"/>
  <c r="L53" i="9"/>
  <c r="D42" i="9"/>
  <c r="C67" i="9"/>
  <c r="C68" i="9"/>
  <c r="K6" i="9"/>
  <c r="L6" i="9"/>
  <c r="O57" i="10"/>
  <c r="C68" i="10"/>
  <c r="K57" i="9"/>
  <c r="L57" i="9"/>
  <c r="O34" i="10"/>
  <c r="D67" i="10"/>
  <c r="O67" i="10" s="1"/>
  <c r="D68" i="10"/>
  <c r="O67" i="11"/>
  <c r="E67" i="10"/>
  <c r="E68" i="10"/>
  <c r="O92" i="9"/>
  <c r="N92" i="9"/>
  <c r="M92" i="9"/>
  <c r="L92" i="9"/>
  <c r="K92" i="9"/>
  <c r="J92" i="9"/>
  <c r="I92" i="9"/>
  <c r="H92" i="9"/>
  <c r="G92" i="9"/>
  <c r="F92" i="9"/>
  <c r="E92" i="9"/>
  <c r="D92" i="9"/>
  <c r="P91" i="9"/>
  <c r="P90" i="9"/>
  <c r="P89" i="9"/>
  <c r="P88" i="9"/>
  <c r="P87" i="9"/>
  <c r="P86" i="9"/>
  <c r="P85" i="9"/>
  <c r="O73" i="9"/>
  <c r="N73" i="9"/>
  <c r="M73" i="9"/>
  <c r="L73" i="9"/>
  <c r="K73" i="9"/>
  <c r="J73" i="9"/>
  <c r="I73" i="9"/>
  <c r="H73" i="9"/>
  <c r="G73" i="9"/>
  <c r="F73" i="9"/>
  <c r="E73" i="9"/>
  <c r="P72" i="9"/>
  <c r="O65" i="9"/>
  <c r="E65" i="9"/>
  <c r="B65" i="9"/>
  <c r="E64" i="9"/>
  <c r="E63" i="9"/>
  <c r="O63" i="9"/>
  <c r="E62" i="9"/>
  <c r="B62" i="9"/>
  <c r="O61" i="9"/>
  <c r="E61" i="9"/>
  <c r="B61" i="9"/>
  <c r="O60" i="9"/>
  <c r="E60" i="9"/>
  <c r="B60" i="9"/>
  <c r="E59" i="9"/>
  <c r="O58" i="9"/>
  <c r="B58" i="9"/>
  <c r="O54" i="9"/>
  <c r="O53" i="9"/>
  <c r="B53" i="9"/>
  <c r="O52" i="9"/>
  <c r="E52" i="9"/>
  <c r="B52" i="9"/>
  <c r="O51" i="9"/>
  <c r="E51" i="9"/>
  <c r="B51" i="9"/>
  <c r="L47" i="9"/>
  <c r="E49" i="9"/>
  <c r="O49" i="9"/>
  <c r="B49" i="9"/>
  <c r="E48" i="9"/>
  <c r="N47" i="9"/>
  <c r="N67" i="9"/>
  <c r="M47" i="9"/>
  <c r="M67" i="9"/>
  <c r="K47" i="9"/>
  <c r="J47" i="9"/>
  <c r="J67" i="9"/>
  <c r="I47" i="9"/>
  <c r="I67" i="9"/>
  <c r="H47" i="9"/>
  <c r="H67" i="9"/>
  <c r="G47" i="9"/>
  <c r="G67" i="9"/>
  <c r="B47" i="9"/>
  <c r="O45" i="9"/>
  <c r="E45" i="9"/>
  <c r="E44" i="9"/>
  <c r="O44" i="9"/>
  <c r="B44" i="9"/>
  <c r="B43" i="9"/>
  <c r="O42" i="9"/>
  <c r="E42" i="9"/>
  <c r="B42" i="9"/>
  <c r="E41" i="9"/>
  <c r="O41" i="9"/>
  <c r="B41" i="9"/>
  <c r="E40" i="9"/>
  <c r="O40" i="9"/>
  <c r="B40" i="9"/>
  <c r="O39" i="9"/>
  <c r="E39" i="9"/>
  <c r="B39" i="9"/>
  <c r="E38" i="9"/>
  <c r="O38" i="9"/>
  <c r="B38" i="9"/>
  <c r="E37" i="9"/>
  <c r="O37" i="9"/>
  <c r="B37" i="9"/>
  <c r="O36" i="9"/>
  <c r="E36" i="9"/>
  <c r="B36" i="9"/>
  <c r="E35" i="9"/>
  <c r="O35" i="9"/>
  <c r="B35" i="9"/>
  <c r="E31" i="9"/>
  <c r="O31" i="9"/>
  <c r="B31" i="9"/>
  <c r="E30" i="9"/>
  <c r="O30" i="9"/>
  <c r="O29" i="9"/>
  <c r="E29" i="9"/>
  <c r="B29" i="9"/>
  <c r="O28" i="9"/>
  <c r="E26" i="9"/>
  <c r="D26" i="9"/>
  <c r="B26" i="9"/>
  <c r="D18" i="9"/>
  <c r="O18" i="9"/>
  <c r="O17" i="9"/>
  <c r="E17" i="9"/>
  <c r="B17" i="9"/>
  <c r="D16" i="9"/>
  <c r="O16" i="9"/>
  <c r="B16" i="9"/>
  <c r="O15" i="9"/>
  <c r="B15" i="9"/>
  <c r="E14" i="9"/>
  <c r="O14" i="9"/>
  <c r="B14" i="9"/>
  <c r="O13" i="9"/>
  <c r="E12" i="9"/>
  <c r="O12" i="9"/>
  <c r="E11" i="9"/>
  <c r="E10" i="9"/>
  <c r="O10" i="9"/>
  <c r="E9" i="9"/>
  <c r="B9" i="9"/>
  <c r="E8" i="9"/>
  <c r="E7" i="9"/>
  <c r="D18" i="6"/>
  <c r="K92" i="6"/>
  <c r="B6" i="9"/>
  <c r="B28" i="9"/>
  <c r="D6" i="9"/>
  <c r="B34" i="9"/>
  <c r="E6" i="9"/>
  <c r="E34" i="9"/>
  <c r="E57" i="9"/>
  <c r="E28" i="9"/>
  <c r="O6" i="9"/>
  <c r="B57" i="9"/>
  <c r="B67" i="9"/>
  <c r="B68" i="9"/>
  <c r="K67" i="9"/>
  <c r="L67" i="9"/>
  <c r="D47" i="9"/>
  <c r="O47" i="9"/>
  <c r="D57" i="9"/>
  <c r="O57" i="9"/>
  <c r="D34" i="9"/>
  <c r="O34" i="9"/>
  <c r="P92" i="9"/>
  <c r="Q92" i="9"/>
  <c r="K58" i="6"/>
  <c r="L15" i="6"/>
  <c r="K15" i="6"/>
  <c r="D15" i="6"/>
  <c r="D37" i="6"/>
  <c r="L37" i="6"/>
  <c r="K37" i="6"/>
  <c r="L29" i="6"/>
  <c r="K29" i="6"/>
  <c r="K65" i="6"/>
  <c r="L38" i="6"/>
  <c r="K38" i="6"/>
  <c r="D38" i="6"/>
  <c r="L31" i="6"/>
  <c r="K31" i="6"/>
  <c r="D31" i="6"/>
  <c r="Q90" i="9"/>
  <c r="Q86" i="9"/>
  <c r="Q91" i="9"/>
  <c r="Q89" i="9"/>
  <c r="Q88" i="9"/>
  <c r="D67" i="9"/>
  <c r="Q87" i="9"/>
  <c r="Q85" i="9"/>
  <c r="L10" i="6"/>
  <c r="K10" i="6"/>
  <c r="D10" i="6"/>
  <c r="O10" i="6"/>
  <c r="L12" i="6"/>
  <c r="K12" i="6"/>
  <c r="D12" i="6"/>
  <c r="O12" i="6"/>
  <c r="O65" i="6"/>
  <c r="O58" i="6"/>
  <c r="O54" i="6"/>
  <c r="O38" i="6"/>
  <c r="O37" i="6"/>
  <c r="O31" i="6"/>
  <c r="O29" i="6"/>
  <c r="O15" i="6"/>
  <c r="O13" i="6"/>
  <c r="L44" i="6"/>
  <c r="K44" i="6"/>
  <c r="D44" i="6"/>
  <c r="O44" i="6"/>
  <c r="D40" i="6"/>
  <c r="O40" i="6"/>
  <c r="D51" i="6"/>
  <c r="O51" i="6"/>
  <c r="E40" i="6"/>
  <c r="D49" i="6"/>
  <c r="O49" i="6"/>
  <c r="L49" i="6"/>
  <c r="K49" i="6"/>
  <c r="L41" i="6"/>
  <c r="K41" i="6"/>
  <c r="D41" i="6"/>
  <c r="O41" i="6"/>
  <c r="L40" i="6"/>
  <c r="K40" i="6"/>
  <c r="D45" i="6"/>
  <c r="O45" i="6"/>
  <c r="L45" i="6"/>
  <c r="D61" i="6"/>
  <c r="O61" i="6"/>
  <c r="L61" i="6"/>
  <c r="D35" i="6"/>
  <c r="O35" i="6"/>
  <c r="L35" i="6"/>
  <c r="D30" i="6"/>
  <c r="O30" i="6"/>
  <c r="L30" i="6"/>
  <c r="D52" i="6"/>
  <c r="O52" i="6"/>
  <c r="L52" i="6"/>
  <c r="D36" i="6"/>
  <c r="O36" i="6"/>
  <c r="L36" i="6"/>
  <c r="D9" i="6"/>
  <c r="O9" i="6"/>
  <c r="D14" i="6"/>
  <c r="O14" i="6"/>
  <c r="L14" i="6"/>
  <c r="D39" i="6"/>
  <c r="O39" i="6"/>
  <c r="L39" i="6"/>
  <c r="D17" i="6"/>
  <c r="O17" i="6"/>
  <c r="L17" i="6"/>
  <c r="D53" i="6"/>
  <c r="O53" i="6"/>
  <c r="L53" i="6"/>
  <c r="D63" i="6"/>
  <c r="O63" i="6"/>
  <c r="L63" i="6"/>
  <c r="D60" i="6"/>
  <c r="O60" i="6"/>
  <c r="L60" i="6"/>
  <c r="D42" i="6"/>
  <c r="O42" i="6"/>
  <c r="O92" i="8"/>
  <c r="N92" i="8"/>
  <c r="M92" i="8"/>
  <c r="L92" i="8"/>
  <c r="K92" i="8"/>
  <c r="J92" i="8"/>
  <c r="I92" i="8"/>
  <c r="H92" i="8"/>
  <c r="G92" i="8"/>
  <c r="F92" i="8"/>
  <c r="E92" i="8"/>
  <c r="D92" i="8"/>
  <c r="P91" i="8"/>
  <c r="P90" i="8"/>
  <c r="P89" i="8"/>
  <c r="P88" i="8"/>
  <c r="P87" i="8"/>
  <c r="P86" i="8"/>
  <c r="P85" i="8"/>
  <c r="O73" i="8"/>
  <c r="N73" i="8"/>
  <c r="M73" i="8"/>
  <c r="L73" i="8"/>
  <c r="K73" i="8"/>
  <c r="J73" i="8"/>
  <c r="I73" i="8"/>
  <c r="H73" i="8"/>
  <c r="G73" i="8"/>
  <c r="F73" i="8"/>
  <c r="E73" i="8"/>
  <c r="P72" i="8"/>
  <c r="C68" i="8"/>
  <c r="L65" i="8"/>
  <c r="K65" i="8"/>
  <c r="E65" i="8"/>
  <c r="D65" i="8"/>
  <c r="O65" i="8"/>
  <c r="B65" i="8"/>
  <c r="O64" i="8"/>
  <c r="E64" i="8"/>
  <c r="O63" i="8"/>
  <c r="E63" i="8"/>
  <c r="D63" i="8"/>
  <c r="E62" i="8"/>
  <c r="B62" i="8"/>
  <c r="L61" i="8"/>
  <c r="K61" i="8"/>
  <c r="E61" i="8"/>
  <c r="D61" i="8"/>
  <c r="O61" i="8"/>
  <c r="B61" i="8"/>
  <c r="L60" i="8"/>
  <c r="L57" i="8"/>
  <c r="K60" i="8"/>
  <c r="K57" i="8"/>
  <c r="E60" i="8"/>
  <c r="D60" i="8"/>
  <c r="O60" i="8"/>
  <c r="B60" i="8"/>
  <c r="E59" i="8"/>
  <c r="L58" i="8"/>
  <c r="K58" i="8"/>
  <c r="E58" i="8"/>
  <c r="O58" i="8"/>
  <c r="B58" i="8"/>
  <c r="N57" i="8"/>
  <c r="M57" i="8"/>
  <c r="J57" i="8"/>
  <c r="I57" i="8"/>
  <c r="H57" i="8"/>
  <c r="G57" i="8"/>
  <c r="F57" i="8"/>
  <c r="O54" i="8"/>
  <c r="L53" i="8"/>
  <c r="E53" i="8"/>
  <c r="D53" i="8"/>
  <c r="O47" i="8"/>
  <c r="B53" i="8"/>
  <c r="O52" i="8"/>
  <c r="L52" i="8"/>
  <c r="E52" i="8"/>
  <c r="D52" i="8"/>
  <c r="B52" i="8"/>
  <c r="L51" i="8"/>
  <c r="K51" i="8"/>
  <c r="E51" i="8"/>
  <c r="D51" i="8"/>
  <c r="O51" i="8"/>
  <c r="B51" i="8"/>
  <c r="L49" i="8"/>
  <c r="L47" i="8"/>
  <c r="K49" i="8"/>
  <c r="K47" i="8"/>
  <c r="E49" i="8"/>
  <c r="D49" i="8"/>
  <c r="O49" i="8"/>
  <c r="B49" i="8"/>
  <c r="E48" i="8"/>
  <c r="N47" i="8"/>
  <c r="M47" i="8"/>
  <c r="J47" i="8"/>
  <c r="I47" i="8"/>
  <c r="H47" i="8"/>
  <c r="L45" i="8"/>
  <c r="K45" i="8"/>
  <c r="E45" i="8"/>
  <c r="D45" i="8"/>
  <c r="O45" i="8"/>
  <c r="L44" i="8"/>
  <c r="E44" i="8"/>
  <c r="D44" i="8"/>
  <c r="O44" i="8"/>
  <c r="B44" i="8"/>
  <c r="B43" i="8"/>
  <c r="E42" i="8"/>
  <c r="D42" i="8"/>
  <c r="O42" i="8"/>
  <c r="B42" i="8"/>
  <c r="L41" i="8"/>
  <c r="K41" i="8"/>
  <c r="E41" i="8"/>
  <c r="D41" i="8"/>
  <c r="O41" i="8"/>
  <c r="B41" i="8"/>
  <c r="L40" i="8"/>
  <c r="K40" i="8"/>
  <c r="E40" i="8"/>
  <c r="D40" i="8"/>
  <c r="O40" i="8"/>
  <c r="B40" i="8"/>
  <c r="L39" i="8"/>
  <c r="K39" i="8"/>
  <c r="E39" i="8"/>
  <c r="D39" i="8"/>
  <c r="O39" i="8"/>
  <c r="B39" i="8"/>
  <c r="L38" i="8"/>
  <c r="K38" i="8"/>
  <c r="E38" i="8"/>
  <c r="D38" i="8"/>
  <c r="O38" i="8"/>
  <c r="B38" i="8"/>
  <c r="L37" i="8"/>
  <c r="K37" i="8"/>
  <c r="K34" i="8"/>
  <c r="E37" i="8"/>
  <c r="D37" i="8"/>
  <c r="O37" i="8"/>
  <c r="B37" i="8"/>
  <c r="O36" i="8"/>
  <c r="L36" i="8"/>
  <c r="E36" i="8"/>
  <c r="D36" i="8"/>
  <c r="B36" i="8"/>
  <c r="L35" i="8"/>
  <c r="E35" i="8"/>
  <c r="E34" i="8"/>
  <c r="D35" i="8"/>
  <c r="O35" i="8"/>
  <c r="B35" i="8"/>
  <c r="N34" i="8"/>
  <c r="M34" i="8"/>
  <c r="J34" i="8"/>
  <c r="I34" i="8"/>
  <c r="H34" i="8"/>
  <c r="G34" i="8"/>
  <c r="F34" i="8"/>
  <c r="E31" i="8"/>
  <c r="D31" i="8"/>
  <c r="C31" i="8"/>
  <c r="B31" i="8"/>
  <c r="L30" i="8"/>
  <c r="K30" i="8"/>
  <c r="E30" i="8"/>
  <c r="E28" i="8"/>
  <c r="D30" i="8"/>
  <c r="L29" i="8"/>
  <c r="K29" i="8"/>
  <c r="E29" i="8"/>
  <c r="O29" i="8"/>
  <c r="B29" i="8"/>
  <c r="B28" i="8"/>
  <c r="N28" i="8"/>
  <c r="K28" i="8"/>
  <c r="J28" i="8"/>
  <c r="I28" i="8"/>
  <c r="I67" i="8"/>
  <c r="H28" i="8"/>
  <c r="G28" i="8"/>
  <c r="F28" i="8"/>
  <c r="E26" i="8"/>
  <c r="C26" i="8"/>
  <c r="B26" i="8"/>
  <c r="D25" i="8"/>
  <c r="D24" i="8"/>
  <c r="D23" i="8"/>
  <c r="D22" i="8"/>
  <c r="D21" i="8"/>
  <c r="D20" i="8"/>
  <c r="D18" i="8"/>
  <c r="O18" i="8"/>
  <c r="L17" i="8"/>
  <c r="E17" i="8"/>
  <c r="D17" i="8"/>
  <c r="O17" i="8"/>
  <c r="B17" i="8"/>
  <c r="D16" i="8"/>
  <c r="B16" i="8"/>
  <c r="E15" i="8"/>
  <c r="D15" i="8"/>
  <c r="O15" i="8"/>
  <c r="B15" i="8"/>
  <c r="L14" i="8"/>
  <c r="K14" i="8"/>
  <c r="E14" i="8"/>
  <c r="D14" i="8"/>
  <c r="O14" i="8"/>
  <c r="B14" i="8"/>
  <c r="O13" i="8"/>
  <c r="E13" i="8"/>
  <c r="L12" i="8"/>
  <c r="K12" i="8"/>
  <c r="E12" i="8"/>
  <c r="D12" i="8"/>
  <c r="O12" i="8"/>
  <c r="E11" i="8"/>
  <c r="L10" i="8"/>
  <c r="K10" i="8"/>
  <c r="E10" i="8"/>
  <c r="D10" i="8"/>
  <c r="E9" i="8"/>
  <c r="D9" i="8"/>
  <c r="O9" i="8"/>
  <c r="B9" i="8"/>
  <c r="E8" i="8"/>
  <c r="E7" i="8"/>
  <c r="N6" i="8"/>
  <c r="N67" i="8"/>
  <c r="M6" i="8"/>
  <c r="J6" i="8"/>
  <c r="J67" i="8"/>
  <c r="I6" i="8"/>
  <c r="H6" i="8"/>
  <c r="G6" i="8"/>
  <c r="F6" i="8"/>
  <c r="B26" i="6"/>
  <c r="E26" i="6"/>
  <c r="O92" i="6"/>
  <c r="N92" i="6"/>
  <c r="M92" i="6"/>
  <c r="L92" i="6"/>
  <c r="J92" i="6"/>
  <c r="I92" i="6"/>
  <c r="H92" i="6"/>
  <c r="G92" i="6"/>
  <c r="F92" i="6"/>
  <c r="E92" i="6"/>
  <c r="D92" i="6"/>
  <c r="P91" i="6"/>
  <c r="B6" i="8"/>
  <c r="K6" i="8"/>
  <c r="K67" i="8"/>
  <c r="D26" i="8"/>
  <c r="O31" i="8"/>
  <c r="E6" i="8"/>
  <c r="E67" i="8"/>
  <c r="E68" i="8"/>
  <c r="E57" i="8"/>
  <c r="B34" i="8"/>
  <c r="F67" i="8"/>
  <c r="D6" i="8"/>
  <c r="O6" i="8"/>
  <c r="L6" i="8"/>
  <c r="L67" i="8"/>
  <c r="L28" i="8"/>
  <c r="L34" i="8"/>
  <c r="M67" i="8"/>
  <c r="G67" i="8"/>
  <c r="D28" i="8"/>
  <c r="O28" i="8"/>
  <c r="B57" i="8"/>
  <c r="P92" i="8"/>
  <c r="Q92" i="8"/>
  <c r="H67" i="8"/>
  <c r="D68" i="9"/>
  <c r="O67" i="9"/>
  <c r="Q89" i="8"/>
  <c r="Q86" i="8"/>
  <c r="Q90" i="8"/>
  <c r="O30" i="8"/>
  <c r="O53" i="8"/>
  <c r="D57" i="8"/>
  <c r="O57" i="8"/>
  <c r="Q85" i="8"/>
  <c r="O10" i="8"/>
  <c r="D34" i="8"/>
  <c r="O34" i="8"/>
  <c r="O18" i="6"/>
  <c r="E36" i="7"/>
  <c r="D36" i="7"/>
  <c r="D36" i="5"/>
  <c r="D36" i="4"/>
  <c r="L36" i="7"/>
  <c r="Q91" i="8"/>
  <c r="Q87" i="8"/>
  <c r="Q88" i="8"/>
  <c r="B68" i="8"/>
  <c r="D67" i="8"/>
  <c r="O67" i="8"/>
  <c r="D26" i="6"/>
  <c r="O90" i="7"/>
  <c r="N90" i="7"/>
  <c r="M90" i="7"/>
  <c r="L90" i="7"/>
  <c r="K90" i="7"/>
  <c r="J90" i="7"/>
  <c r="I90" i="7"/>
  <c r="H90" i="7"/>
  <c r="G90" i="7"/>
  <c r="F90" i="7"/>
  <c r="E90" i="7"/>
  <c r="D90" i="7"/>
  <c r="P89" i="7"/>
  <c r="P88" i="7"/>
  <c r="P87" i="7"/>
  <c r="P86" i="7"/>
  <c r="P85" i="7"/>
  <c r="P84" i="7"/>
  <c r="O72" i="7"/>
  <c r="N72" i="7"/>
  <c r="M72" i="7"/>
  <c r="L72" i="7"/>
  <c r="K72" i="7"/>
  <c r="J72" i="7"/>
  <c r="I72" i="7"/>
  <c r="H72" i="7"/>
  <c r="G72" i="7"/>
  <c r="F72" i="7"/>
  <c r="E72" i="7"/>
  <c r="P71" i="7"/>
  <c r="L65" i="7"/>
  <c r="K65" i="7"/>
  <c r="E65" i="7"/>
  <c r="D65" i="7"/>
  <c r="O65" i="7"/>
  <c r="B65" i="7"/>
  <c r="O64" i="7"/>
  <c r="E64" i="7"/>
  <c r="L63" i="7"/>
  <c r="E63" i="7"/>
  <c r="D63" i="7"/>
  <c r="O63" i="7"/>
  <c r="E62" i="7"/>
  <c r="B62" i="7"/>
  <c r="L61" i="7"/>
  <c r="K61" i="7"/>
  <c r="E61" i="7"/>
  <c r="D61" i="7"/>
  <c r="O61" i="7"/>
  <c r="B61" i="7"/>
  <c r="L60" i="7"/>
  <c r="K60" i="7"/>
  <c r="K57" i="7"/>
  <c r="E60" i="7"/>
  <c r="D60" i="7"/>
  <c r="O60" i="7"/>
  <c r="B60" i="7"/>
  <c r="E59" i="7"/>
  <c r="E58" i="7"/>
  <c r="B58" i="7"/>
  <c r="N57" i="7"/>
  <c r="M57" i="7"/>
  <c r="J57" i="7"/>
  <c r="I57" i="7"/>
  <c r="H57" i="7"/>
  <c r="G57" i="7"/>
  <c r="F57" i="7"/>
  <c r="O54" i="7"/>
  <c r="O53" i="7"/>
  <c r="L53" i="7"/>
  <c r="E53" i="7"/>
  <c r="D53" i="7"/>
  <c r="B53" i="7"/>
  <c r="L52" i="7"/>
  <c r="E52" i="7"/>
  <c r="D52" i="7"/>
  <c r="B52" i="7"/>
  <c r="L51" i="7"/>
  <c r="K51" i="7"/>
  <c r="E51" i="7"/>
  <c r="D51" i="7"/>
  <c r="O51" i="7"/>
  <c r="B51" i="7"/>
  <c r="L49" i="7"/>
  <c r="K49" i="7"/>
  <c r="E49" i="7"/>
  <c r="C49" i="7"/>
  <c r="D49" i="7"/>
  <c r="B49" i="7"/>
  <c r="E48" i="7"/>
  <c r="N47" i="7"/>
  <c r="M47" i="7"/>
  <c r="J47" i="7"/>
  <c r="I47" i="7"/>
  <c r="H47" i="7"/>
  <c r="L45" i="7"/>
  <c r="K45" i="7"/>
  <c r="E45" i="7"/>
  <c r="D45" i="7"/>
  <c r="O45" i="7"/>
  <c r="L44" i="7"/>
  <c r="E44" i="7"/>
  <c r="D44" i="7"/>
  <c r="O44" i="7"/>
  <c r="B44" i="7"/>
  <c r="B43" i="7"/>
  <c r="E42" i="7"/>
  <c r="D42" i="7"/>
  <c r="O42" i="7"/>
  <c r="B42" i="7"/>
  <c r="L41" i="7"/>
  <c r="K41" i="7"/>
  <c r="E41" i="7"/>
  <c r="D41" i="7"/>
  <c r="O41" i="7"/>
  <c r="B41" i="7"/>
  <c r="L40" i="7"/>
  <c r="K40" i="7"/>
  <c r="E40" i="7"/>
  <c r="D40" i="7"/>
  <c r="O40" i="7"/>
  <c r="B40" i="7"/>
  <c r="L39" i="7"/>
  <c r="E39" i="7"/>
  <c r="D39" i="7"/>
  <c r="O39" i="7"/>
  <c r="B39" i="7"/>
  <c r="L38" i="7"/>
  <c r="K38" i="7"/>
  <c r="K34" i="7"/>
  <c r="E38" i="7"/>
  <c r="D38" i="7"/>
  <c r="O38" i="7"/>
  <c r="B38" i="7"/>
  <c r="L37" i="7"/>
  <c r="K37" i="7"/>
  <c r="E37" i="7"/>
  <c r="D37" i="7"/>
  <c r="O37" i="7"/>
  <c r="B37" i="7"/>
  <c r="O36" i="7"/>
  <c r="B36" i="7"/>
  <c r="L35" i="7"/>
  <c r="E35" i="7"/>
  <c r="D35" i="7"/>
  <c r="O35" i="7"/>
  <c r="B35" i="7"/>
  <c r="N34" i="7"/>
  <c r="M34" i="7"/>
  <c r="J34" i="7"/>
  <c r="I34" i="7"/>
  <c r="H34" i="7"/>
  <c r="G34" i="7"/>
  <c r="F34" i="7"/>
  <c r="L31" i="7"/>
  <c r="K31" i="7"/>
  <c r="E31" i="7"/>
  <c r="D31" i="7"/>
  <c r="O31" i="7"/>
  <c r="B31" i="7"/>
  <c r="L30" i="7"/>
  <c r="K30" i="7"/>
  <c r="E30" i="7"/>
  <c r="D30" i="7"/>
  <c r="O30" i="7"/>
  <c r="L29" i="7"/>
  <c r="K29" i="7"/>
  <c r="E29" i="7"/>
  <c r="O29" i="7"/>
  <c r="B29" i="7"/>
  <c r="N28" i="7"/>
  <c r="J28" i="7"/>
  <c r="I28" i="7"/>
  <c r="H28" i="7"/>
  <c r="G28" i="7"/>
  <c r="F28" i="7"/>
  <c r="D25" i="7"/>
  <c r="D24" i="7"/>
  <c r="D23" i="7"/>
  <c r="D22" i="7"/>
  <c r="D21" i="7"/>
  <c r="D20" i="7"/>
  <c r="D19" i="7"/>
  <c r="O18" i="7"/>
  <c r="D18" i="7"/>
  <c r="L17" i="7"/>
  <c r="K17" i="7"/>
  <c r="E17" i="7"/>
  <c r="D17" i="7"/>
  <c r="O17" i="7"/>
  <c r="B17" i="7"/>
  <c r="D16" i="7"/>
  <c r="B16" i="7"/>
  <c r="L15" i="7"/>
  <c r="K15" i="7"/>
  <c r="E15" i="7"/>
  <c r="D15" i="7"/>
  <c r="O15" i="7"/>
  <c r="B15" i="7"/>
  <c r="L14" i="7"/>
  <c r="K14" i="7"/>
  <c r="E14" i="7"/>
  <c r="D14" i="7"/>
  <c r="O14" i="7"/>
  <c r="B14" i="7"/>
  <c r="O13" i="7"/>
  <c r="E13" i="7"/>
  <c r="L12" i="7"/>
  <c r="L6" i="7"/>
  <c r="K12" i="7"/>
  <c r="E12" i="7"/>
  <c r="D12" i="7"/>
  <c r="O12" i="7"/>
  <c r="E11" i="7"/>
  <c r="O10" i="7"/>
  <c r="L10" i="7"/>
  <c r="E10" i="7"/>
  <c r="D10" i="7"/>
  <c r="E9" i="7"/>
  <c r="D9" i="7"/>
  <c r="O9" i="7"/>
  <c r="B9" i="7"/>
  <c r="E8" i="7"/>
  <c r="E7" i="7"/>
  <c r="N6" i="7"/>
  <c r="M6" i="7"/>
  <c r="J6" i="7"/>
  <c r="I6" i="7"/>
  <c r="H6" i="7"/>
  <c r="G6" i="7"/>
  <c r="F6" i="7"/>
  <c r="D68" i="8"/>
  <c r="O68" i="8"/>
  <c r="E28" i="7"/>
  <c r="B34" i="7"/>
  <c r="K6" i="7"/>
  <c r="B6" i="7"/>
  <c r="O49" i="7"/>
  <c r="D6" i="7"/>
  <c r="K47" i="7"/>
  <c r="L47" i="7"/>
  <c r="I67" i="7"/>
  <c r="B28" i="7"/>
  <c r="L28" i="7"/>
  <c r="L34" i="7"/>
  <c r="B57" i="7"/>
  <c r="L57" i="7"/>
  <c r="E57" i="7"/>
  <c r="H67" i="7"/>
  <c r="K28" i="7"/>
  <c r="K67" i="7"/>
  <c r="D47" i="7"/>
  <c r="O47" i="7"/>
  <c r="N67" i="7"/>
  <c r="J67" i="7"/>
  <c r="E6" i="7"/>
  <c r="D57" i="7"/>
  <c r="O57" i="7"/>
  <c r="P90" i="7"/>
  <c r="Q88" i="7"/>
  <c r="E34" i="7"/>
  <c r="M67" i="7"/>
  <c r="Q84" i="7"/>
  <c r="O6" i="7"/>
  <c r="O52" i="7"/>
  <c r="O58" i="7"/>
  <c r="D34" i="7"/>
  <c r="O34" i="7"/>
  <c r="D28" i="7"/>
  <c r="O28" i="7"/>
  <c r="N6" i="6"/>
  <c r="M6" i="6"/>
  <c r="L6" i="6"/>
  <c r="K6" i="6"/>
  <c r="J6" i="6"/>
  <c r="I6" i="6"/>
  <c r="H6" i="6"/>
  <c r="G6" i="6"/>
  <c r="F6" i="6"/>
  <c r="D58" i="5"/>
  <c r="L67" i="7"/>
  <c r="Q85" i="7"/>
  <c r="Q90" i="7"/>
  <c r="Q89" i="7"/>
  <c r="Q87" i="7"/>
  <c r="Q86" i="7"/>
  <c r="O67" i="7"/>
  <c r="L58" i="5"/>
  <c r="K58" i="5"/>
  <c r="E49" i="5"/>
  <c r="D49" i="5"/>
  <c r="L49" i="5"/>
  <c r="K49" i="5"/>
  <c r="L34" i="6"/>
  <c r="D35" i="5"/>
  <c r="D35" i="4"/>
  <c r="D63" i="5"/>
  <c r="D63" i="4"/>
  <c r="E30" i="6"/>
  <c r="E29" i="6"/>
  <c r="E65" i="6"/>
  <c r="E64" i="6"/>
  <c r="E63" i="6"/>
  <c r="E62" i="6"/>
  <c r="E61" i="6"/>
  <c r="E60" i="6"/>
  <c r="E59" i="6"/>
  <c r="E58" i="6"/>
  <c r="E53" i="6"/>
  <c r="E52" i="6"/>
  <c r="E51" i="6"/>
  <c r="E49" i="6"/>
  <c r="E44" i="6"/>
  <c r="E41" i="6"/>
  <c r="E39" i="6"/>
  <c r="E38" i="6"/>
  <c r="E37" i="6"/>
  <c r="E36" i="6"/>
  <c r="E35" i="6"/>
  <c r="E42" i="6"/>
  <c r="E45" i="6"/>
  <c r="E31" i="6"/>
  <c r="P90" i="6"/>
  <c r="P89" i="6"/>
  <c r="P88" i="6"/>
  <c r="P87" i="6"/>
  <c r="P86" i="6"/>
  <c r="P85" i="6"/>
  <c r="O73" i="6"/>
  <c r="N73" i="6"/>
  <c r="M73" i="6"/>
  <c r="L73" i="6"/>
  <c r="K73" i="6"/>
  <c r="J73" i="6"/>
  <c r="I73" i="6"/>
  <c r="H73" i="6"/>
  <c r="G73" i="6"/>
  <c r="F73" i="6"/>
  <c r="E73" i="6"/>
  <c r="P72" i="6"/>
  <c r="B65" i="6"/>
  <c r="B61" i="6"/>
  <c r="B60" i="6"/>
  <c r="B58" i="6"/>
  <c r="N57" i="6"/>
  <c r="M57" i="6"/>
  <c r="K57" i="6"/>
  <c r="J57" i="6"/>
  <c r="I57" i="6"/>
  <c r="H57" i="6"/>
  <c r="G57" i="6"/>
  <c r="F57" i="6"/>
  <c r="B53" i="6"/>
  <c r="B52" i="6"/>
  <c r="B51" i="6"/>
  <c r="L47" i="6"/>
  <c r="B49" i="6"/>
  <c r="N47" i="6"/>
  <c r="M47" i="6"/>
  <c r="K47" i="6"/>
  <c r="J47" i="6"/>
  <c r="I47" i="6"/>
  <c r="H47" i="6"/>
  <c r="B44" i="6"/>
  <c r="B43" i="6"/>
  <c r="B42" i="6"/>
  <c r="B41" i="6"/>
  <c r="B40" i="6"/>
  <c r="B39" i="6"/>
  <c r="B38" i="6"/>
  <c r="B37" i="6"/>
  <c r="K34" i="6"/>
  <c r="B36" i="6"/>
  <c r="B35" i="6"/>
  <c r="N34" i="6"/>
  <c r="M34" i="6"/>
  <c r="J34" i="6"/>
  <c r="I34" i="6"/>
  <c r="H34" i="6"/>
  <c r="G34" i="6"/>
  <c r="F34" i="6"/>
  <c r="B31" i="6"/>
  <c r="L28" i="6"/>
  <c r="B29" i="6"/>
  <c r="N28" i="6"/>
  <c r="K28" i="6"/>
  <c r="J28" i="6"/>
  <c r="I28" i="6"/>
  <c r="H28" i="6"/>
  <c r="G28" i="6"/>
  <c r="F28" i="6"/>
  <c r="E17" i="6"/>
  <c r="B17" i="6"/>
  <c r="D16" i="6"/>
  <c r="O16" i="6"/>
  <c r="B16" i="6"/>
  <c r="E15" i="6"/>
  <c r="B15" i="6"/>
  <c r="E14" i="6"/>
  <c r="B14" i="6"/>
  <c r="E12" i="6"/>
  <c r="E11" i="6"/>
  <c r="E10" i="6"/>
  <c r="E9" i="6"/>
  <c r="B9" i="6"/>
  <c r="E8" i="6"/>
  <c r="E7" i="6"/>
  <c r="D18" i="5"/>
  <c r="D24" i="5"/>
  <c r="D23" i="5"/>
  <c r="D25" i="5"/>
  <c r="D22" i="5"/>
  <c r="D21" i="5"/>
  <c r="D20" i="5"/>
  <c r="D19" i="5"/>
  <c r="B28" i="6"/>
  <c r="P92" i="6"/>
  <c r="Q91" i="6"/>
  <c r="L57" i="6"/>
  <c r="L67" i="6"/>
  <c r="E34" i="6"/>
  <c r="E28" i="6"/>
  <c r="O47" i="6"/>
  <c r="H67" i="6"/>
  <c r="J67" i="6"/>
  <c r="D34" i="6"/>
  <c r="O34" i="6"/>
  <c r="B34" i="6"/>
  <c r="B6" i="6"/>
  <c r="D57" i="6"/>
  <c r="O57" i="6"/>
  <c r="M67" i="6"/>
  <c r="I67" i="6"/>
  <c r="K67" i="6"/>
  <c r="N67" i="6"/>
  <c r="D28" i="6"/>
  <c r="O28" i="6"/>
  <c r="O6" i="6"/>
  <c r="O90" i="4"/>
  <c r="N90" i="4"/>
  <c r="M90" i="4"/>
  <c r="L90" i="4"/>
  <c r="K90" i="4"/>
  <c r="J90" i="4"/>
  <c r="I90" i="4"/>
  <c r="H90" i="4"/>
  <c r="G90" i="4"/>
  <c r="F90" i="4"/>
  <c r="E90" i="4"/>
  <c r="D90" i="4"/>
  <c r="P89" i="4"/>
  <c r="P88" i="4"/>
  <c r="P87" i="4"/>
  <c r="P86" i="4"/>
  <c r="P85" i="4"/>
  <c r="P84" i="4"/>
  <c r="O72" i="4"/>
  <c r="N72" i="4"/>
  <c r="M72" i="4"/>
  <c r="L72" i="4"/>
  <c r="K72" i="4"/>
  <c r="J72" i="4"/>
  <c r="I72" i="4"/>
  <c r="H72" i="4"/>
  <c r="G72" i="4"/>
  <c r="F72" i="4"/>
  <c r="E72" i="4"/>
  <c r="P71" i="4"/>
  <c r="L65" i="4"/>
  <c r="E65" i="4"/>
  <c r="D65" i="4"/>
  <c r="O65" i="4"/>
  <c r="B65" i="4"/>
  <c r="E64" i="4"/>
  <c r="O63" i="4"/>
  <c r="L63" i="4"/>
  <c r="E63" i="4"/>
  <c r="E62" i="4"/>
  <c r="B62" i="4"/>
  <c r="L61" i="4"/>
  <c r="K61" i="4"/>
  <c r="E61" i="4"/>
  <c r="D61" i="4"/>
  <c r="O61" i="4"/>
  <c r="B61" i="4"/>
  <c r="L60" i="4"/>
  <c r="K60" i="4"/>
  <c r="E60" i="4"/>
  <c r="D60" i="4"/>
  <c r="O60" i="4"/>
  <c r="B60" i="4"/>
  <c r="E59" i="4"/>
  <c r="L58" i="4"/>
  <c r="K58" i="4"/>
  <c r="E58" i="4"/>
  <c r="D58" i="4"/>
  <c r="O58" i="4"/>
  <c r="B58" i="4"/>
  <c r="N57" i="4"/>
  <c r="M57" i="4"/>
  <c r="J57" i="4"/>
  <c r="I57" i="4"/>
  <c r="H57" i="4"/>
  <c r="G57" i="4"/>
  <c r="F57" i="4"/>
  <c r="C57" i="4"/>
  <c r="O54" i="4"/>
  <c r="L53" i="4"/>
  <c r="K53" i="4"/>
  <c r="D53" i="4"/>
  <c r="O53" i="4"/>
  <c r="B53" i="4"/>
  <c r="L52" i="4"/>
  <c r="K52" i="4"/>
  <c r="E52" i="4"/>
  <c r="D52" i="4"/>
  <c r="O52" i="4"/>
  <c r="B52" i="4"/>
  <c r="L51" i="4"/>
  <c r="E51" i="4"/>
  <c r="D51" i="4"/>
  <c r="B51" i="4"/>
  <c r="L49" i="4"/>
  <c r="K49" i="4"/>
  <c r="E49" i="4"/>
  <c r="D49" i="4"/>
  <c r="O49" i="4"/>
  <c r="B49" i="4"/>
  <c r="E48" i="4"/>
  <c r="N47" i="4"/>
  <c r="M47" i="4"/>
  <c r="J47" i="4"/>
  <c r="I47" i="4"/>
  <c r="H47" i="4"/>
  <c r="O45" i="4"/>
  <c r="K45" i="4"/>
  <c r="E45" i="4"/>
  <c r="O44" i="4"/>
  <c r="L44" i="4"/>
  <c r="E44" i="4"/>
  <c r="D44" i="4"/>
  <c r="B44" i="4"/>
  <c r="E43" i="4"/>
  <c r="B43" i="4"/>
  <c r="E42" i="4"/>
  <c r="D42" i="4"/>
  <c r="O42" i="4"/>
  <c r="B42" i="4"/>
  <c r="L41" i="4"/>
  <c r="E41" i="4"/>
  <c r="D41" i="4"/>
  <c r="O41" i="4"/>
  <c r="B41" i="4"/>
  <c r="L40" i="4"/>
  <c r="E40" i="4"/>
  <c r="D40" i="4"/>
  <c r="O40" i="4"/>
  <c r="B40" i="4"/>
  <c r="L39" i="4"/>
  <c r="K39" i="4"/>
  <c r="E39" i="4"/>
  <c r="D39" i="4"/>
  <c r="B39" i="4"/>
  <c r="L38" i="4"/>
  <c r="K38" i="4"/>
  <c r="E38" i="4"/>
  <c r="D38" i="4"/>
  <c r="O38" i="4"/>
  <c r="B38" i="4"/>
  <c r="L37" i="4"/>
  <c r="K37" i="4"/>
  <c r="E37" i="4"/>
  <c r="D37" i="4"/>
  <c r="O37" i="4"/>
  <c r="B37" i="4"/>
  <c r="O36" i="4"/>
  <c r="L36" i="4"/>
  <c r="K36" i="4"/>
  <c r="E36" i="4"/>
  <c r="B36" i="4"/>
  <c r="E35" i="4"/>
  <c r="B35" i="4"/>
  <c r="N34" i="4"/>
  <c r="M34" i="4"/>
  <c r="J34" i="4"/>
  <c r="I34" i="4"/>
  <c r="H34" i="4"/>
  <c r="G34" i="4"/>
  <c r="F34" i="4"/>
  <c r="C34" i="4"/>
  <c r="E32" i="4"/>
  <c r="L31" i="4"/>
  <c r="K31" i="4"/>
  <c r="E31" i="4"/>
  <c r="D31" i="4"/>
  <c r="O31" i="4"/>
  <c r="B31" i="4"/>
  <c r="L30" i="4"/>
  <c r="K30" i="4"/>
  <c r="E30" i="4"/>
  <c r="D30" i="4"/>
  <c r="O30" i="4"/>
  <c r="L29" i="4"/>
  <c r="E29" i="4"/>
  <c r="D28" i="4"/>
  <c r="B29" i="4"/>
  <c r="N28" i="4"/>
  <c r="J28" i="4"/>
  <c r="I28" i="4"/>
  <c r="H28" i="4"/>
  <c r="G28" i="4"/>
  <c r="F28" i="4"/>
  <c r="C28" i="4"/>
  <c r="D25" i="4"/>
  <c r="D24" i="4"/>
  <c r="O24" i="4"/>
  <c r="O23" i="4"/>
  <c r="D22" i="4"/>
  <c r="O22" i="4"/>
  <c r="D21" i="4"/>
  <c r="O20" i="4"/>
  <c r="D19" i="4"/>
  <c r="O19" i="4"/>
  <c r="D18" i="4"/>
  <c r="L17" i="4"/>
  <c r="E17" i="4"/>
  <c r="D17" i="4"/>
  <c r="O17" i="4"/>
  <c r="B17" i="4"/>
  <c r="D16" i="4"/>
  <c r="B16" i="4"/>
  <c r="L15" i="4"/>
  <c r="E15" i="4"/>
  <c r="D15" i="4"/>
  <c r="O15" i="4"/>
  <c r="B15" i="4"/>
  <c r="L14" i="4"/>
  <c r="K14" i="4"/>
  <c r="E14" i="4"/>
  <c r="D14" i="4"/>
  <c r="O14" i="4"/>
  <c r="B14" i="4"/>
  <c r="E13" i="4"/>
  <c r="L12" i="4"/>
  <c r="K12" i="4"/>
  <c r="E12" i="4"/>
  <c r="D12" i="4"/>
  <c r="O12" i="4"/>
  <c r="E11" i="4"/>
  <c r="L10" i="4"/>
  <c r="K10" i="4"/>
  <c r="E10" i="4"/>
  <c r="D10" i="4"/>
  <c r="O10" i="4"/>
  <c r="E9" i="4"/>
  <c r="D9" i="4"/>
  <c r="O9" i="4"/>
  <c r="B9" i="4"/>
  <c r="E8" i="4"/>
  <c r="E7" i="4"/>
  <c r="I6" i="4"/>
  <c r="H6" i="4"/>
  <c r="G6" i="4"/>
  <c r="F6" i="4"/>
  <c r="C6" i="4"/>
  <c r="G67" i="4"/>
  <c r="D34" i="4"/>
  <c r="O34" i="4"/>
  <c r="K28" i="4"/>
  <c r="B6" i="4"/>
  <c r="O47" i="4"/>
  <c r="O39" i="4"/>
  <c r="C67" i="4"/>
  <c r="B28" i="4"/>
  <c r="J67" i="4"/>
  <c r="B34" i="4"/>
  <c r="B57" i="4"/>
  <c r="Q92" i="6"/>
  <c r="O28" i="4"/>
  <c r="K34" i="4"/>
  <c r="K47" i="4"/>
  <c r="K67" i="4"/>
  <c r="P90" i="4"/>
  <c r="Q87" i="4"/>
  <c r="L28" i="4"/>
  <c r="L67" i="4"/>
  <c r="E6" i="4"/>
  <c r="E28" i="4"/>
  <c r="N67" i="4"/>
  <c r="E34" i="4"/>
  <c r="L34" i="4"/>
  <c r="M67" i="4"/>
  <c r="L47" i="4"/>
  <c r="L57" i="4"/>
  <c r="K57" i="4"/>
  <c r="Q90" i="6"/>
  <c r="Q87" i="6"/>
  <c r="Q86" i="6"/>
  <c r="Q89" i="6"/>
  <c r="Q85" i="6"/>
  <c r="Q88" i="6"/>
  <c r="I67" i="4"/>
  <c r="E57" i="4"/>
  <c r="H67" i="4"/>
  <c r="D6" i="4"/>
  <c r="O21" i="4"/>
  <c r="O29" i="4"/>
  <c r="O51" i="4"/>
  <c r="D57" i="4"/>
  <c r="O57" i="4"/>
  <c r="O35" i="4"/>
  <c r="Q84" i="4"/>
  <c r="B67" i="4"/>
  <c r="Q89" i="4"/>
  <c r="D68" i="6"/>
  <c r="O67" i="6"/>
  <c r="Q88" i="4"/>
  <c r="E67" i="4"/>
  <c r="Q85" i="4"/>
  <c r="Q86" i="4"/>
  <c r="Q90" i="4"/>
  <c r="D67" i="4"/>
  <c r="O67" i="4"/>
  <c r="O6" i="4"/>
  <c r="L37" i="5"/>
  <c r="K37" i="5"/>
  <c r="D37" i="5"/>
  <c r="O37" i="5"/>
  <c r="L31" i="5"/>
  <c r="K31" i="5"/>
  <c r="D31" i="5"/>
  <c r="O31" i="5"/>
  <c r="L29" i="5"/>
  <c r="K29" i="5"/>
  <c r="L60" i="5"/>
  <c r="K60" i="5"/>
  <c r="D60" i="5"/>
  <c r="O60" i="5"/>
  <c r="D12" i="5"/>
  <c r="O12" i="5"/>
  <c r="L65" i="5"/>
  <c r="K65" i="5"/>
  <c r="D65" i="5"/>
  <c r="L63" i="5"/>
  <c r="K63" i="5"/>
  <c r="D40" i="5"/>
  <c r="O40" i="5"/>
  <c r="L40" i="5"/>
  <c r="K40" i="5"/>
  <c r="L41" i="5"/>
  <c r="K41" i="5"/>
  <c r="D41" i="5"/>
  <c r="O41" i="5"/>
  <c r="L39" i="5"/>
  <c r="K39" i="5"/>
  <c r="D39" i="5"/>
  <c r="O39" i="5"/>
  <c r="L10" i="5"/>
  <c r="K10" i="5"/>
  <c r="D10" i="5"/>
  <c r="G10" i="5"/>
  <c r="D51" i="5"/>
  <c r="O51" i="5"/>
  <c r="L51" i="5"/>
  <c r="K51" i="5"/>
  <c r="L45" i="5"/>
  <c r="K45" i="5"/>
  <c r="D45" i="5"/>
  <c r="O45" i="5"/>
  <c r="D53" i="5"/>
  <c r="L53" i="5"/>
  <c r="K53" i="5"/>
  <c r="L52" i="5"/>
  <c r="K52" i="5"/>
  <c r="D52" i="5"/>
  <c r="O52" i="5"/>
  <c r="L61" i="5"/>
  <c r="K61" i="5"/>
  <c r="D61" i="5"/>
  <c r="O61" i="5"/>
  <c r="C16" i="3"/>
  <c r="O65" i="5"/>
  <c r="O63" i="5"/>
  <c r="O58" i="5"/>
  <c r="O54" i="5"/>
  <c r="O53" i="5"/>
  <c r="O49" i="5"/>
  <c r="O36" i="5"/>
  <c r="O35" i="5"/>
  <c r="O29" i="5"/>
  <c r="O23" i="5"/>
  <c r="O22" i="5"/>
  <c r="O21" i="5"/>
  <c r="O20" i="5"/>
  <c r="O19" i="5"/>
  <c r="O18" i="5"/>
  <c r="O10" i="5"/>
  <c r="D38" i="5"/>
  <c r="O38" i="5"/>
  <c r="L38" i="5"/>
  <c r="K38" i="5"/>
  <c r="L30" i="5"/>
  <c r="K30" i="5"/>
  <c r="D30" i="5"/>
  <c r="O30" i="5"/>
  <c r="L35" i="5"/>
  <c r="K35" i="5"/>
  <c r="D42" i="5"/>
  <c r="O42" i="5"/>
  <c r="L36" i="5"/>
  <c r="K36" i="5"/>
  <c r="L44" i="5"/>
  <c r="K44" i="5"/>
  <c r="D44" i="5"/>
  <c r="O44" i="5"/>
  <c r="D9" i="5"/>
  <c r="O9" i="5"/>
  <c r="L14" i="5"/>
  <c r="K14" i="5"/>
  <c r="D14" i="5"/>
  <c r="O14" i="5"/>
  <c r="L17" i="5"/>
  <c r="K17" i="5"/>
  <c r="D17" i="5"/>
  <c r="O17" i="5"/>
  <c r="L15" i="5"/>
  <c r="K15" i="5"/>
  <c r="D15" i="5"/>
  <c r="O15" i="5"/>
  <c r="O90" i="5"/>
  <c r="N90" i="5"/>
  <c r="M90" i="5"/>
  <c r="L90" i="5"/>
  <c r="K90" i="5"/>
  <c r="J90" i="5"/>
  <c r="I90" i="5"/>
  <c r="H90" i="5"/>
  <c r="G90" i="5"/>
  <c r="F90" i="5"/>
  <c r="E90" i="5"/>
  <c r="D90" i="5"/>
  <c r="P89" i="5"/>
  <c r="P88" i="5"/>
  <c r="P87" i="5"/>
  <c r="P86" i="5"/>
  <c r="P85" i="5"/>
  <c r="P84" i="5"/>
  <c r="O72" i="5"/>
  <c r="N72" i="5"/>
  <c r="M72" i="5"/>
  <c r="L72" i="5"/>
  <c r="K72" i="5"/>
  <c r="J72" i="5"/>
  <c r="I72" i="5"/>
  <c r="H72" i="5"/>
  <c r="G72" i="5"/>
  <c r="F72" i="5"/>
  <c r="E72" i="5"/>
  <c r="P71" i="5"/>
  <c r="E65" i="5"/>
  <c r="B65" i="5"/>
  <c r="E64" i="5"/>
  <c r="E63" i="5"/>
  <c r="E62" i="5"/>
  <c r="B62" i="5"/>
  <c r="E61" i="5"/>
  <c r="B61" i="5"/>
  <c r="E60" i="5"/>
  <c r="B60" i="5"/>
  <c r="E59" i="5"/>
  <c r="K57" i="5"/>
  <c r="E58" i="5"/>
  <c r="B58" i="5"/>
  <c r="N57" i="5"/>
  <c r="M57" i="5"/>
  <c r="J57" i="5"/>
  <c r="I57" i="5"/>
  <c r="H57" i="5"/>
  <c r="G57" i="5"/>
  <c r="F57" i="5"/>
  <c r="E53" i="5"/>
  <c r="B53" i="5"/>
  <c r="L47" i="5"/>
  <c r="K47" i="5"/>
  <c r="E52" i="5"/>
  <c r="B52" i="5"/>
  <c r="E51" i="5"/>
  <c r="B51" i="5"/>
  <c r="B49" i="5"/>
  <c r="E48" i="5"/>
  <c r="N47" i="5"/>
  <c r="M47" i="5"/>
  <c r="J47" i="5"/>
  <c r="I47" i="5"/>
  <c r="H47" i="5"/>
  <c r="E45" i="5"/>
  <c r="E44" i="5"/>
  <c r="B44" i="5"/>
  <c r="E43" i="5"/>
  <c r="B43" i="5"/>
  <c r="E42" i="5"/>
  <c r="B42" i="5"/>
  <c r="E41" i="5"/>
  <c r="B41" i="5"/>
  <c r="E40" i="5"/>
  <c r="B40" i="5"/>
  <c r="E39" i="5"/>
  <c r="B39" i="5"/>
  <c r="E38" i="5"/>
  <c r="B38" i="5"/>
  <c r="E37" i="5"/>
  <c r="B37" i="5"/>
  <c r="E36" i="5"/>
  <c r="B36" i="5"/>
  <c r="E35" i="5"/>
  <c r="B35" i="5"/>
  <c r="N34" i="5"/>
  <c r="M34" i="5"/>
  <c r="J34" i="5"/>
  <c r="I34" i="5"/>
  <c r="H34" i="5"/>
  <c r="G34" i="5"/>
  <c r="F34" i="5"/>
  <c r="E32" i="5"/>
  <c r="E31" i="5"/>
  <c r="B31" i="5"/>
  <c r="E30" i="5"/>
  <c r="B29" i="5"/>
  <c r="N28" i="5"/>
  <c r="K28" i="5"/>
  <c r="J28" i="5"/>
  <c r="I28" i="5"/>
  <c r="H28" i="5"/>
  <c r="G28" i="5"/>
  <c r="F28" i="5"/>
  <c r="E17" i="5"/>
  <c r="B17" i="5"/>
  <c r="D16" i="5"/>
  <c r="B16" i="5"/>
  <c r="E15" i="5"/>
  <c r="B15" i="5"/>
  <c r="E14" i="5"/>
  <c r="B14" i="5"/>
  <c r="E13" i="5"/>
  <c r="E12" i="5"/>
  <c r="E11" i="5"/>
  <c r="E10" i="5"/>
  <c r="E9" i="5"/>
  <c r="B9" i="5"/>
  <c r="E8" i="5"/>
  <c r="E7" i="5"/>
  <c r="I6" i="5"/>
  <c r="H6" i="5"/>
  <c r="G6" i="5"/>
  <c r="F6" i="5"/>
  <c r="F67" i="5"/>
  <c r="E34" i="5"/>
  <c r="H67" i="5"/>
  <c r="B6" i="5"/>
  <c r="E57" i="5"/>
  <c r="P90" i="5"/>
  <c r="Q90" i="5"/>
  <c r="I67" i="5"/>
  <c r="L34" i="5"/>
  <c r="M67" i="5"/>
  <c r="K67" i="5"/>
  <c r="D34" i="5"/>
  <c r="O34" i="5"/>
  <c r="B57" i="5"/>
  <c r="L57" i="5"/>
  <c r="E28" i="5"/>
  <c r="N67" i="5"/>
  <c r="D6" i="5"/>
  <c r="O6" i="5"/>
  <c r="G67" i="5"/>
  <c r="E6" i="5"/>
  <c r="D28" i="5"/>
  <c r="B28" i="5"/>
  <c r="L28" i="5"/>
  <c r="J67" i="5"/>
  <c r="K34" i="5"/>
  <c r="B34" i="5"/>
  <c r="O47" i="5"/>
  <c r="D57" i="5"/>
  <c r="O57" i="5"/>
  <c r="O28" i="5"/>
  <c r="Q87" i="5"/>
  <c r="Q85" i="5"/>
  <c r="Q88" i="5"/>
  <c r="Q89" i="5"/>
  <c r="Q86" i="5"/>
  <c r="Q84" i="5"/>
  <c r="L67" i="5"/>
  <c r="O67" i="5"/>
  <c r="O24" i="3"/>
  <c r="O23" i="3"/>
  <c r="O22" i="3"/>
  <c r="O21" i="3"/>
  <c r="O20" i="3"/>
  <c r="O19" i="3"/>
  <c r="D35" i="3"/>
  <c r="E35" i="3"/>
  <c r="E34" i="3"/>
  <c r="D38" i="3"/>
  <c r="D39" i="3"/>
  <c r="O52" i="3"/>
  <c r="O47" i="3"/>
  <c r="O33" i="3"/>
  <c r="L56" i="3"/>
  <c r="K56" i="3"/>
  <c r="D12" i="3"/>
  <c r="O12" i="3"/>
  <c r="L35" i="3"/>
  <c r="K35" i="3"/>
  <c r="L36" i="3"/>
  <c r="K36" i="3"/>
  <c r="D36" i="3"/>
  <c r="D56" i="3"/>
  <c r="L29" i="3"/>
  <c r="K29" i="3"/>
  <c r="D29" i="3"/>
  <c r="O29" i="3"/>
  <c r="L28" i="3"/>
  <c r="K28" i="3"/>
  <c r="K26" i="3"/>
  <c r="D28" i="3"/>
  <c r="O28" i="3"/>
  <c r="L15" i="3"/>
  <c r="K15" i="3"/>
  <c r="D15" i="3"/>
  <c r="L63" i="3"/>
  <c r="K63" i="3"/>
  <c r="D63" i="3"/>
  <c r="O63" i="3"/>
  <c r="L38" i="3"/>
  <c r="K38" i="3"/>
  <c r="D51" i="3"/>
  <c r="O51" i="3"/>
  <c r="L51" i="3"/>
  <c r="K51" i="3"/>
  <c r="K45" i="3"/>
  <c r="L58" i="3"/>
  <c r="K58" i="3"/>
  <c r="D58" i="3"/>
  <c r="O58" i="3"/>
  <c r="L37" i="3"/>
  <c r="K37" i="3"/>
  <c r="D37" i="3"/>
  <c r="L43" i="3"/>
  <c r="K43" i="3"/>
  <c r="D43" i="3"/>
  <c r="L10" i="3"/>
  <c r="K10" i="3"/>
  <c r="D10" i="3"/>
  <c r="O10" i="3"/>
  <c r="D59" i="3"/>
  <c r="O59" i="3"/>
  <c r="L59" i="3"/>
  <c r="L33" i="3"/>
  <c r="D50" i="3"/>
  <c r="O50" i="3"/>
  <c r="K50" i="3"/>
  <c r="D42" i="3"/>
  <c r="O42" i="3"/>
  <c r="L42" i="3"/>
  <c r="D34" i="3"/>
  <c r="O34" i="3"/>
  <c r="L34" i="3"/>
  <c r="D9" i="3"/>
  <c r="O9" i="3"/>
  <c r="D14" i="3"/>
  <c r="L14" i="3"/>
  <c r="D26" i="3"/>
  <c r="L27" i="3"/>
  <c r="D17" i="3"/>
  <c r="L17" i="3"/>
  <c r="L47" i="3"/>
  <c r="D61" i="3"/>
  <c r="O61" i="3"/>
  <c r="L61" i="3"/>
  <c r="D40" i="3"/>
  <c r="D49" i="3"/>
  <c r="O49" i="3"/>
  <c r="L49" i="3"/>
  <c r="E63" i="3"/>
  <c r="E62" i="3"/>
  <c r="E61" i="3"/>
  <c r="E60" i="3"/>
  <c r="E59" i="3"/>
  <c r="E58" i="3"/>
  <c r="E57" i="3"/>
  <c r="E56" i="3"/>
  <c r="E51" i="3"/>
  <c r="E50" i="3"/>
  <c r="E49" i="3"/>
  <c r="E43" i="3"/>
  <c r="E42" i="3"/>
  <c r="E41" i="3"/>
  <c r="B41" i="3"/>
  <c r="E40" i="3"/>
  <c r="E39" i="3"/>
  <c r="E38" i="3"/>
  <c r="E37" i="3"/>
  <c r="E36" i="3"/>
  <c r="E33" i="3"/>
  <c r="E29" i="3"/>
  <c r="E28" i="3"/>
  <c r="E27" i="3"/>
  <c r="E17" i="3"/>
  <c r="E15" i="3"/>
  <c r="E14" i="3"/>
  <c r="E13" i="3"/>
  <c r="E12" i="3"/>
  <c r="E11" i="3"/>
  <c r="E10" i="3"/>
  <c r="E9" i="3"/>
  <c r="E8" i="3"/>
  <c r="E7" i="3"/>
  <c r="L39" i="3"/>
  <c r="C43" i="3"/>
  <c r="C42" i="3"/>
  <c r="C40" i="3"/>
  <c r="C39" i="3"/>
  <c r="O39" i="3"/>
  <c r="C38" i="3"/>
  <c r="O38" i="3"/>
  <c r="C37" i="3"/>
  <c r="O37" i="3"/>
  <c r="C36" i="3"/>
  <c r="C35" i="3"/>
  <c r="O35" i="3"/>
  <c r="C34" i="3"/>
  <c r="C33" i="3"/>
  <c r="C29" i="3"/>
  <c r="C28" i="3"/>
  <c r="C27" i="3"/>
  <c r="C17" i="3"/>
  <c r="C15" i="3"/>
  <c r="C14" i="3"/>
  <c r="C13" i="3"/>
  <c r="C12" i="3"/>
  <c r="C10" i="3"/>
  <c r="C9" i="3"/>
  <c r="O88" i="3"/>
  <c r="N88" i="3"/>
  <c r="M88" i="3"/>
  <c r="L88" i="3"/>
  <c r="K88" i="3"/>
  <c r="J88" i="3"/>
  <c r="I88" i="3"/>
  <c r="H88" i="3"/>
  <c r="G88" i="3"/>
  <c r="F88" i="3"/>
  <c r="E88" i="3"/>
  <c r="D88" i="3"/>
  <c r="P87" i="3"/>
  <c r="P86" i="3"/>
  <c r="P85" i="3"/>
  <c r="P84" i="3"/>
  <c r="P83" i="3"/>
  <c r="P82" i="3"/>
  <c r="O70" i="3"/>
  <c r="N70" i="3"/>
  <c r="M70" i="3"/>
  <c r="L70" i="3"/>
  <c r="K70" i="3"/>
  <c r="J70" i="3"/>
  <c r="I70" i="3"/>
  <c r="H70" i="3"/>
  <c r="G70" i="3"/>
  <c r="F70" i="3"/>
  <c r="E70" i="3"/>
  <c r="P69" i="3"/>
  <c r="B63" i="3"/>
  <c r="B60" i="3"/>
  <c r="B59" i="3"/>
  <c r="B58" i="3"/>
  <c r="B56" i="3"/>
  <c r="N55" i="3"/>
  <c r="M55" i="3"/>
  <c r="J55" i="3"/>
  <c r="I55" i="3"/>
  <c r="H55" i="3"/>
  <c r="G55" i="3"/>
  <c r="F55" i="3"/>
  <c r="B51" i="3"/>
  <c r="B50" i="3"/>
  <c r="B49" i="3"/>
  <c r="B47" i="3"/>
  <c r="E46" i="3"/>
  <c r="N45" i="3"/>
  <c r="M45" i="3"/>
  <c r="J45" i="3"/>
  <c r="I45" i="3"/>
  <c r="B42" i="3"/>
  <c r="B40" i="3"/>
  <c r="B39" i="3"/>
  <c r="B38" i="3"/>
  <c r="B37" i="3"/>
  <c r="B36" i="3"/>
  <c r="B35" i="3"/>
  <c r="B34" i="3"/>
  <c r="B33" i="3"/>
  <c r="N32" i="3"/>
  <c r="M32" i="3"/>
  <c r="J32" i="3"/>
  <c r="I32" i="3"/>
  <c r="H32" i="3"/>
  <c r="G32" i="3"/>
  <c r="F32" i="3"/>
  <c r="E30" i="3"/>
  <c r="B29" i="3"/>
  <c r="B27" i="3"/>
  <c r="N26" i="3"/>
  <c r="J26" i="3"/>
  <c r="I26" i="3"/>
  <c r="H26" i="3"/>
  <c r="G26" i="3"/>
  <c r="F26" i="3"/>
  <c r="B17" i="3"/>
  <c r="B16" i="3"/>
  <c r="B15" i="3"/>
  <c r="B14" i="3"/>
  <c r="B9" i="3"/>
  <c r="I6" i="3"/>
  <c r="H6" i="3"/>
  <c r="G6" i="3"/>
  <c r="F6" i="3"/>
  <c r="C6" i="1"/>
  <c r="E88" i="2"/>
  <c r="O17" i="3"/>
  <c r="O43" i="3"/>
  <c r="O40" i="3"/>
  <c r="O14" i="3"/>
  <c r="D55" i="3"/>
  <c r="O55" i="3"/>
  <c r="O36" i="3"/>
  <c r="B55" i="3"/>
  <c r="O15" i="3"/>
  <c r="D6" i="3"/>
  <c r="O27" i="3"/>
  <c r="C26" i="3"/>
  <c r="O26" i="3"/>
  <c r="K55" i="3"/>
  <c r="D32" i="3"/>
  <c r="O56" i="3"/>
  <c r="P88" i="3"/>
  <c r="Q84" i="3"/>
  <c r="E55" i="3"/>
  <c r="E6" i="3"/>
  <c r="J65" i="3"/>
  <c r="B26" i="3"/>
  <c r="L26" i="3"/>
  <c r="K65" i="3"/>
  <c r="N65" i="3"/>
  <c r="E32" i="3"/>
  <c r="C41" i="3"/>
  <c r="C32" i="3"/>
  <c r="L55" i="3"/>
  <c r="C6" i="3"/>
  <c r="K32" i="3"/>
  <c r="E26" i="3"/>
  <c r="L45" i="3"/>
  <c r="I65" i="3"/>
  <c r="B6" i="3"/>
  <c r="B32" i="3"/>
  <c r="L32" i="3"/>
  <c r="M65" i="3"/>
  <c r="Q86" i="3"/>
  <c r="Q83" i="3"/>
  <c r="O6" i="3"/>
  <c r="Q85" i="3"/>
  <c r="Q88" i="3"/>
  <c r="Q82" i="3"/>
  <c r="O32" i="3"/>
  <c r="Q87" i="3"/>
  <c r="L65" i="3"/>
  <c r="D29" i="2"/>
  <c r="L27" i="2"/>
  <c r="K27" i="2"/>
  <c r="D28" i="2"/>
  <c r="E27" i="2"/>
  <c r="L36" i="2"/>
  <c r="K36" i="2"/>
  <c r="D36" i="2"/>
  <c r="O36" i="2"/>
  <c r="D58" i="2"/>
  <c r="L58" i="2"/>
  <c r="K58" i="2"/>
  <c r="D38" i="2"/>
  <c r="O38" i="2"/>
  <c r="D59" i="2"/>
  <c r="O59" i="2"/>
  <c r="L59" i="2"/>
  <c r="D39" i="2"/>
  <c r="L39" i="2"/>
  <c r="L38" i="2"/>
  <c r="D49" i="2"/>
  <c r="L49" i="2"/>
  <c r="D63" i="2"/>
  <c r="L63" i="2"/>
  <c r="D47" i="2"/>
  <c r="L47" i="2"/>
  <c r="D51" i="2"/>
  <c r="L51" i="2"/>
  <c r="K51" i="2"/>
  <c r="D18" i="2"/>
  <c r="D14" i="2"/>
  <c r="O14" i="2"/>
  <c r="L14" i="2"/>
  <c r="K14" i="2"/>
  <c r="K56" i="2"/>
  <c r="D56" i="2"/>
  <c r="L43" i="2"/>
  <c r="K43" i="2"/>
  <c r="D43" i="2"/>
  <c r="O43" i="2"/>
  <c r="L12" i="2"/>
  <c r="K12" i="2"/>
  <c r="D12" i="2"/>
  <c r="O12" i="2"/>
  <c r="L33" i="2"/>
  <c r="K33" i="2"/>
  <c r="D33" i="2"/>
  <c r="D50" i="2"/>
  <c r="O50" i="2"/>
  <c r="L50" i="2"/>
  <c r="K50" i="2"/>
  <c r="L10" i="2"/>
  <c r="K10" i="2"/>
  <c r="D10" i="2"/>
  <c r="O10" i="2"/>
  <c r="L15" i="2"/>
  <c r="K15" i="2"/>
  <c r="D15" i="2"/>
  <c r="O15" i="2"/>
  <c r="L29" i="2"/>
  <c r="K29" i="2"/>
  <c r="L37" i="2"/>
  <c r="K37" i="2"/>
  <c r="D37" i="2"/>
  <c r="L28" i="2"/>
  <c r="K28" i="2"/>
  <c r="D17" i="2"/>
  <c r="O17" i="2"/>
  <c r="L17" i="2"/>
  <c r="D40" i="2"/>
  <c r="O40" i="2"/>
  <c r="D42" i="2"/>
  <c r="O42" i="2"/>
  <c r="L42" i="2"/>
  <c r="D35" i="2"/>
  <c r="O35" i="2"/>
  <c r="L35" i="2"/>
  <c r="D9" i="2"/>
  <c r="D34" i="2"/>
  <c r="L34" i="2"/>
  <c r="D61" i="2"/>
  <c r="O61" i="2"/>
  <c r="L61" i="2"/>
  <c r="E63" i="2"/>
  <c r="E62" i="2"/>
  <c r="E61" i="2"/>
  <c r="E60" i="2"/>
  <c r="B60" i="2"/>
  <c r="E59" i="2"/>
  <c r="E58" i="2"/>
  <c r="E57" i="2"/>
  <c r="E56" i="2"/>
  <c r="E51" i="2"/>
  <c r="E50" i="2"/>
  <c r="E49" i="2"/>
  <c r="E47" i="2"/>
  <c r="E43" i="2"/>
  <c r="E42" i="2"/>
  <c r="E41" i="2"/>
  <c r="B41" i="2"/>
  <c r="E40" i="2"/>
  <c r="E39" i="2"/>
  <c r="E38" i="2"/>
  <c r="E37" i="2"/>
  <c r="E36" i="2"/>
  <c r="E35" i="2"/>
  <c r="E34" i="2"/>
  <c r="E33" i="2"/>
  <c r="E30" i="2"/>
  <c r="E29" i="2"/>
  <c r="E28" i="2"/>
  <c r="E17" i="2"/>
  <c r="E16" i="2"/>
  <c r="E15" i="2"/>
  <c r="E14" i="2"/>
  <c r="E13" i="2"/>
  <c r="E12" i="2"/>
  <c r="E11" i="2"/>
  <c r="E10" i="2"/>
  <c r="E9" i="2"/>
  <c r="O88" i="2"/>
  <c r="N88" i="2"/>
  <c r="M88" i="2"/>
  <c r="L88" i="2"/>
  <c r="K88" i="2"/>
  <c r="J88" i="2"/>
  <c r="I88" i="2"/>
  <c r="H88" i="2"/>
  <c r="G88" i="2"/>
  <c r="F88" i="2"/>
  <c r="D88" i="2"/>
  <c r="P87" i="2"/>
  <c r="P86" i="2"/>
  <c r="P85" i="2"/>
  <c r="P84" i="2"/>
  <c r="P83" i="2"/>
  <c r="P82" i="2"/>
  <c r="O70" i="2"/>
  <c r="N70" i="2"/>
  <c r="M70" i="2"/>
  <c r="L70" i="2"/>
  <c r="K70" i="2"/>
  <c r="J70" i="2"/>
  <c r="I70" i="2"/>
  <c r="H70" i="2"/>
  <c r="G70" i="2"/>
  <c r="F70" i="2"/>
  <c r="E70" i="2"/>
  <c r="P69" i="2"/>
  <c r="B63" i="2"/>
  <c r="B59" i="2"/>
  <c r="O58" i="2"/>
  <c r="B58" i="2"/>
  <c r="O56" i="2"/>
  <c r="B56" i="2"/>
  <c r="N55" i="2"/>
  <c r="M55" i="2"/>
  <c r="J55" i="2"/>
  <c r="I55" i="2"/>
  <c r="H55" i="2"/>
  <c r="G55" i="2"/>
  <c r="F55" i="2"/>
  <c r="O52" i="2"/>
  <c r="B51" i="2"/>
  <c r="B50" i="2"/>
  <c r="O49" i="2"/>
  <c r="B49" i="2"/>
  <c r="O47" i="2"/>
  <c r="B47" i="2"/>
  <c r="N45" i="2"/>
  <c r="M45" i="2"/>
  <c r="J45" i="2"/>
  <c r="I45" i="2"/>
  <c r="H45" i="2"/>
  <c r="G45" i="2"/>
  <c r="B42" i="2"/>
  <c r="B40" i="2"/>
  <c r="O39" i="2"/>
  <c r="B39" i="2"/>
  <c r="B38" i="2"/>
  <c r="O37" i="2"/>
  <c r="B37" i="2"/>
  <c r="B36" i="2"/>
  <c r="B35" i="2"/>
  <c r="O34" i="2"/>
  <c r="B34" i="2"/>
  <c r="O33" i="2"/>
  <c r="B33" i="2"/>
  <c r="N32" i="2"/>
  <c r="M32" i="2"/>
  <c r="J32" i="2"/>
  <c r="I32" i="2"/>
  <c r="H32" i="2"/>
  <c r="G32" i="2"/>
  <c r="F32" i="2"/>
  <c r="O29" i="2"/>
  <c r="B29" i="2"/>
  <c r="O28" i="2"/>
  <c r="O27" i="2"/>
  <c r="B27" i="2"/>
  <c r="B26" i="2"/>
  <c r="N26" i="2"/>
  <c r="J26" i="2"/>
  <c r="I26" i="2"/>
  <c r="G26" i="2"/>
  <c r="F26" i="2"/>
  <c r="D26" i="2"/>
  <c r="O26" i="2"/>
  <c r="O24" i="2"/>
  <c r="O23" i="2"/>
  <c r="O22" i="2"/>
  <c r="O21" i="2"/>
  <c r="O20" i="2"/>
  <c r="O19" i="2"/>
  <c r="B17" i="2"/>
  <c r="B16" i="2"/>
  <c r="B15" i="2"/>
  <c r="B14" i="2"/>
  <c r="O9" i="2"/>
  <c r="B9" i="2"/>
  <c r="E8" i="2"/>
  <c r="I6" i="2"/>
  <c r="H6" i="2"/>
  <c r="G6" i="2"/>
  <c r="F6" i="2"/>
  <c r="O19" i="1"/>
  <c r="O24" i="1"/>
  <c r="O23" i="1"/>
  <c r="O22" i="1"/>
  <c r="O21" i="1"/>
  <c r="O20" i="1"/>
  <c r="O88" i="1"/>
  <c r="N88" i="1"/>
  <c r="M88" i="1"/>
  <c r="L88" i="1"/>
  <c r="K88" i="1"/>
  <c r="J88" i="1"/>
  <c r="I88" i="1"/>
  <c r="H88" i="1"/>
  <c r="G88" i="1"/>
  <c r="F88" i="1"/>
  <c r="E88" i="1"/>
  <c r="D88" i="1"/>
  <c r="P87" i="1"/>
  <c r="P86" i="1"/>
  <c r="P85" i="1"/>
  <c r="P84" i="1"/>
  <c r="P83" i="1"/>
  <c r="P82" i="1"/>
  <c r="O70" i="1"/>
  <c r="N70" i="1"/>
  <c r="M70" i="1"/>
  <c r="L70" i="1"/>
  <c r="K70" i="1"/>
  <c r="J70" i="1"/>
  <c r="I70" i="1"/>
  <c r="H70" i="1"/>
  <c r="G70" i="1"/>
  <c r="F70" i="1"/>
  <c r="E70" i="1"/>
  <c r="P69" i="1"/>
  <c r="L63" i="1"/>
  <c r="K63" i="1"/>
  <c r="E63" i="1"/>
  <c r="D63" i="1"/>
  <c r="B63" i="1"/>
  <c r="O62" i="1"/>
  <c r="E62" i="1"/>
  <c r="L61" i="1"/>
  <c r="E61" i="1"/>
  <c r="D61" i="1"/>
  <c r="O61" i="1"/>
  <c r="E60" i="1"/>
  <c r="B60" i="1"/>
  <c r="L59" i="1"/>
  <c r="K59" i="1"/>
  <c r="E59" i="1"/>
  <c r="D59" i="1"/>
  <c r="B59" i="1"/>
  <c r="L58" i="1"/>
  <c r="K58" i="1"/>
  <c r="E58" i="1"/>
  <c r="D58" i="1"/>
  <c r="O58" i="1"/>
  <c r="B58" i="1"/>
  <c r="E57" i="1"/>
  <c r="L56" i="1"/>
  <c r="K56" i="1"/>
  <c r="E56" i="1"/>
  <c r="D56" i="1"/>
  <c r="O56" i="1"/>
  <c r="B56" i="1"/>
  <c r="N55" i="1"/>
  <c r="M55" i="1"/>
  <c r="J55" i="1"/>
  <c r="I55" i="1"/>
  <c r="H55" i="1"/>
  <c r="G55" i="1"/>
  <c r="F55" i="1"/>
  <c r="O52" i="1"/>
  <c r="L51" i="1"/>
  <c r="E51" i="1"/>
  <c r="D51" i="1"/>
  <c r="O51" i="1"/>
  <c r="B51" i="1"/>
  <c r="O50" i="1"/>
  <c r="L50" i="1"/>
  <c r="K50" i="1"/>
  <c r="E50" i="1"/>
  <c r="B50" i="1"/>
  <c r="L49" i="1"/>
  <c r="L45" i="1"/>
  <c r="K49" i="1"/>
  <c r="E49" i="1"/>
  <c r="D49" i="1"/>
  <c r="O49" i="1"/>
  <c r="B49" i="1"/>
  <c r="L47" i="1"/>
  <c r="K47" i="1"/>
  <c r="E47" i="1"/>
  <c r="D47" i="1"/>
  <c r="O47" i="1"/>
  <c r="B47" i="1"/>
  <c r="E46" i="1"/>
  <c r="N45" i="1"/>
  <c r="M45" i="1"/>
  <c r="J45" i="1"/>
  <c r="I45" i="1"/>
  <c r="H45" i="1"/>
  <c r="L43" i="1"/>
  <c r="E43" i="1"/>
  <c r="D43" i="1"/>
  <c r="O43" i="1"/>
  <c r="L42" i="1"/>
  <c r="E42" i="1"/>
  <c r="D42" i="1"/>
  <c r="O42" i="1"/>
  <c r="B42" i="1"/>
  <c r="E41" i="1"/>
  <c r="C41" i="1"/>
  <c r="B41" i="1"/>
  <c r="E40" i="1"/>
  <c r="D40" i="1"/>
  <c r="O40" i="1"/>
  <c r="B40" i="1"/>
  <c r="L39" i="1"/>
  <c r="K39" i="1"/>
  <c r="E39" i="1"/>
  <c r="D39" i="1"/>
  <c r="O39" i="1"/>
  <c r="B39" i="1"/>
  <c r="L38" i="1"/>
  <c r="E38" i="1"/>
  <c r="O38" i="1"/>
  <c r="B38" i="1"/>
  <c r="O37" i="1"/>
  <c r="K37" i="1"/>
  <c r="E37" i="1"/>
  <c r="D37" i="1"/>
  <c r="B37" i="1"/>
  <c r="K36" i="1"/>
  <c r="E36" i="1"/>
  <c r="D36" i="1"/>
  <c r="O36" i="1"/>
  <c r="B36" i="1"/>
  <c r="L35" i="1"/>
  <c r="K35" i="1"/>
  <c r="E35" i="1"/>
  <c r="D35" i="1"/>
  <c r="O35" i="1"/>
  <c r="B35" i="1"/>
  <c r="L34" i="1"/>
  <c r="E34" i="1"/>
  <c r="D34" i="1"/>
  <c r="O34" i="1"/>
  <c r="B34" i="1"/>
  <c r="L33" i="1"/>
  <c r="K33" i="1"/>
  <c r="E33" i="1"/>
  <c r="D33" i="1"/>
  <c r="B33" i="1"/>
  <c r="N32" i="1"/>
  <c r="M32" i="1"/>
  <c r="J32" i="1"/>
  <c r="I32" i="1"/>
  <c r="H32" i="1"/>
  <c r="G32" i="1"/>
  <c r="F32" i="1"/>
  <c r="C32" i="1"/>
  <c r="E30" i="1"/>
  <c r="L29" i="1"/>
  <c r="K29" i="1"/>
  <c r="K26" i="1"/>
  <c r="E29" i="1"/>
  <c r="D29" i="1"/>
  <c r="O29" i="1"/>
  <c r="B29" i="1"/>
  <c r="L28" i="1"/>
  <c r="K28" i="1"/>
  <c r="E28" i="1"/>
  <c r="D28" i="1"/>
  <c r="O28" i="1"/>
  <c r="O27" i="1"/>
  <c r="I27" i="1"/>
  <c r="I26" i="1"/>
  <c r="H27" i="1"/>
  <c r="E27" i="1"/>
  <c r="E26" i="1"/>
  <c r="B27" i="1"/>
  <c r="B26" i="1"/>
  <c r="N26" i="1"/>
  <c r="J26" i="1"/>
  <c r="G26" i="1"/>
  <c r="F26" i="1"/>
  <c r="C26" i="1"/>
  <c r="L17" i="1"/>
  <c r="K17" i="1"/>
  <c r="E17" i="1"/>
  <c r="D17" i="1"/>
  <c r="O17" i="1"/>
  <c r="B17" i="1"/>
  <c r="B16" i="1"/>
  <c r="L15" i="1"/>
  <c r="E15" i="1"/>
  <c r="D15" i="1"/>
  <c r="O15" i="1"/>
  <c r="B15" i="1"/>
  <c r="M14" i="1"/>
  <c r="L14" i="1"/>
  <c r="K14" i="1"/>
  <c r="E14" i="1"/>
  <c r="D14" i="1"/>
  <c r="O14" i="1"/>
  <c r="B14" i="1"/>
  <c r="E13" i="1"/>
  <c r="L12" i="1"/>
  <c r="K12" i="1"/>
  <c r="E12" i="1"/>
  <c r="D12" i="1"/>
  <c r="E11" i="1"/>
  <c r="L10" i="1"/>
  <c r="K10" i="1"/>
  <c r="E10" i="1"/>
  <c r="D10" i="1"/>
  <c r="O10" i="1"/>
  <c r="O9" i="1"/>
  <c r="E9" i="1"/>
  <c r="D9" i="1"/>
  <c r="B9" i="1"/>
  <c r="E8" i="1"/>
  <c r="I6" i="1"/>
  <c r="H6" i="1"/>
  <c r="G6" i="1"/>
  <c r="F6" i="1"/>
  <c r="N65" i="1"/>
  <c r="D26" i="1"/>
  <c r="O26" i="1"/>
  <c r="P88" i="1"/>
  <c r="Q88" i="1"/>
  <c r="B6" i="2"/>
  <c r="Q84" i="1"/>
  <c r="E6" i="1"/>
  <c r="H26" i="1"/>
  <c r="H65" i="1"/>
  <c r="B6" i="1"/>
  <c r="D6" i="1"/>
  <c r="L26" i="1"/>
  <c r="D32" i="1"/>
  <c r="O32" i="1"/>
  <c r="K32" i="1"/>
  <c r="O45" i="1"/>
  <c r="O55" i="1"/>
  <c r="K45" i="1"/>
  <c r="K55" i="1"/>
  <c r="B32" i="1"/>
  <c r="E32" i="1"/>
  <c r="L55" i="1"/>
  <c r="J65" i="1"/>
  <c r="L32" i="1"/>
  <c r="M65" i="1"/>
  <c r="D6" i="2"/>
  <c r="P88" i="2"/>
  <c r="Q88" i="2"/>
  <c r="L55" i="2"/>
  <c r="D55" i="2"/>
  <c r="O55" i="2"/>
  <c r="K55" i="2"/>
  <c r="L65" i="1"/>
  <c r="K65" i="1"/>
  <c r="I65" i="1"/>
  <c r="O45" i="2"/>
  <c r="O51" i="2"/>
  <c r="L45" i="2"/>
  <c r="K45" i="2"/>
  <c r="O6" i="2"/>
  <c r="L32" i="2"/>
  <c r="M65" i="2"/>
  <c r="K32" i="2"/>
  <c r="L26" i="2"/>
  <c r="K26" i="2"/>
  <c r="E26" i="2"/>
  <c r="E6" i="2"/>
  <c r="E32" i="2"/>
  <c r="I65" i="2"/>
  <c r="N65" i="2"/>
  <c r="E55" i="2"/>
  <c r="B55" i="2"/>
  <c r="B32" i="2"/>
  <c r="G65" i="2"/>
  <c r="J65" i="2"/>
  <c r="Q85" i="2"/>
  <c r="D32" i="2"/>
  <c r="O32" i="2"/>
  <c r="H26" i="2"/>
  <c r="H65" i="2"/>
  <c r="Q85" i="1"/>
  <c r="O6" i="1"/>
  <c r="Q82" i="1"/>
  <c r="Q83" i="1"/>
  <c r="Q87" i="1"/>
  <c r="O59" i="1"/>
  <c r="O12" i="1"/>
  <c r="O33" i="1"/>
  <c r="O65" i="1"/>
  <c r="D65" i="2"/>
  <c r="O65" i="2"/>
  <c r="Q87" i="2"/>
  <c r="Q83" i="2"/>
  <c r="Q86" i="2"/>
  <c r="Q86" i="1"/>
  <c r="Q82" i="2"/>
  <c r="Q84" i="2"/>
  <c r="K65" i="2"/>
  <c r="L65" i="2"/>
  <c r="H45" i="3"/>
  <c r="H65" i="3"/>
  <c r="G45" i="3"/>
  <c r="G65" i="3"/>
  <c r="E65" i="3"/>
  <c r="F65" i="3"/>
  <c r="O65" i="3"/>
  <c r="O45" i="3"/>
  <c r="B62" i="6"/>
  <c r="B57" i="6"/>
  <c r="B68" i="6"/>
  <c r="E57" i="6"/>
  <c r="F67" i="6"/>
  <c r="G47" i="6"/>
  <c r="G67" i="6"/>
  <c r="E68" i="6"/>
  <c r="E47" i="11"/>
  <c r="G47" i="11"/>
  <c r="G67" i="11"/>
  <c r="H47" i="11"/>
  <c r="H67" i="11"/>
  <c r="E67" i="11"/>
  <c r="E68" i="11"/>
  <c r="F47" i="11"/>
  <c r="F67" i="11"/>
  <c r="E65" i="2"/>
  <c r="F45" i="2"/>
  <c r="F65" i="2"/>
  <c r="F47" i="9"/>
  <c r="F67" i="9"/>
  <c r="E47" i="9"/>
  <c r="E67" i="9"/>
  <c r="E68" i="9"/>
</calcChain>
</file>

<file path=xl/sharedStrings.xml><?xml version="1.0" encoding="utf-8"?>
<sst xmlns="http://schemas.openxmlformats.org/spreadsheetml/2006/main" count="1578" uniqueCount="214">
  <si>
    <t>VPA - SẢN LƯỢNG CONTAINER (TEU) - THÁNG 1 NĂM 2024 / 2023</t>
  </si>
  <si>
    <t>KHU VỰC / Cảng</t>
  </si>
  <si>
    <t>Năm 
2023</t>
  </si>
  <si>
    <t>1T 2023</t>
  </si>
  <si>
    <t>1T 2024</t>
  </si>
  <si>
    <t>THÁNG 1-2024</t>
  </si>
  <si>
    <t>1T
(2024 / 2023)</t>
  </si>
  <si>
    <t>CỘNG</t>
  </si>
  <si>
    <t>Nhập Ngoại</t>
  </si>
  <si>
    <t>Xuất Ngoại</t>
  </si>
  <si>
    <t>Nhập nội</t>
  </si>
  <si>
    <t>Xuất nội</t>
  </si>
  <si>
    <t>Trung chuyển</t>
  </si>
  <si>
    <t>20'</t>
  </si>
  <si>
    <t>Rỗng</t>
  </si>
  <si>
    <t>Lạnh</t>
  </si>
  <si>
    <t>GN qua sà lan</t>
  </si>
  <si>
    <t>MIỀN BẮC</t>
  </si>
  <si>
    <t>Quang Ninh</t>
  </si>
  <si>
    <t>Cái Lân (CICT)</t>
  </si>
  <si>
    <t xml:space="preserve">HICT (Lạch Huyện, HP) </t>
  </si>
  <si>
    <t>Đoạn Xá</t>
  </si>
  <si>
    <t>Đình vũ</t>
  </si>
  <si>
    <t>Nam Hải Đình Vũ</t>
  </si>
  <si>
    <t xml:space="preserve">Nam Đình Vũ </t>
  </si>
  <si>
    <t>Tân Cảng 128 Hải Phòng</t>
  </si>
  <si>
    <t>Transvina</t>
  </si>
  <si>
    <t>PTSC Đình Vũ</t>
  </si>
  <si>
    <t>VIMC Đình Vũ</t>
  </si>
  <si>
    <t>Vip  Green Port (*)</t>
  </si>
  <si>
    <t>Green Port (*)</t>
  </si>
  <si>
    <t>Mipec (*)</t>
  </si>
  <si>
    <t>Hải An (*)</t>
  </si>
  <si>
    <t>TC 189 Hải Phòng (*)</t>
  </si>
  <si>
    <t>Nam Hải Dình Vũ (*)</t>
  </si>
  <si>
    <t>MIỀN TRUNG</t>
  </si>
  <si>
    <t>Nghe Tinh</t>
  </si>
  <si>
    <t>Da Nang</t>
  </si>
  <si>
    <t>Quy Nhon</t>
  </si>
  <si>
    <t>Cam Ranh</t>
  </si>
  <si>
    <t>TP HCM</t>
  </si>
  <si>
    <t>Binh Duong</t>
  </si>
  <si>
    <t>Đồng Nai</t>
  </si>
  <si>
    <t>ITC- CORP</t>
  </si>
  <si>
    <t>Cảng Sai Gòn</t>
  </si>
  <si>
    <t>Ben Nghe</t>
  </si>
  <si>
    <t xml:space="preserve">Tan Cang - Hiệp Phước </t>
  </si>
  <si>
    <t>Tan Cang - Cat Lai</t>
  </si>
  <si>
    <t>VICT</t>
  </si>
  <si>
    <t>SPCT</t>
  </si>
  <si>
    <t>Lotus</t>
  </si>
  <si>
    <t>Phuoc Long ICD</t>
  </si>
  <si>
    <t>BR-VT</t>
  </si>
  <si>
    <t>SP-PSA</t>
  </si>
  <si>
    <t>Tân Cảng - TCIT</t>
  </si>
  <si>
    <t>Tân Cảng - TCCT</t>
  </si>
  <si>
    <t xml:space="preserve">Tân Cảng - TCTT (TCOT cũ) </t>
  </si>
  <si>
    <t>CMIT</t>
  </si>
  <si>
    <t xml:space="preserve">SSIT </t>
  </si>
  <si>
    <t>GEMALINK (*)</t>
  </si>
  <si>
    <t xml:space="preserve">SITV </t>
  </si>
  <si>
    <t>ĐỒNG BẰNG SCL</t>
  </si>
  <si>
    <t>Can Tho/ Cái Cui</t>
  </si>
  <si>
    <t>Tân Cảng Cái Cui</t>
  </si>
  <si>
    <t>Tra Noc CT</t>
  </si>
  <si>
    <t xml:space="preserve">An Giang </t>
  </si>
  <si>
    <t>Vinh Long</t>
  </si>
  <si>
    <t>Tan Cang - Sa Dec</t>
  </si>
  <si>
    <t>Tan Cang - Thốt Nốt (*)</t>
  </si>
  <si>
    <t>VIMC- Hậu Giang</t>
  </si>
  <si>
    <t>TỔNG CỘNG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</si>
  <si>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</si>
  <si>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</si>
  <si>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</si>
  <si>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</si>
  <si>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</si>
  <si>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</si>
  <si>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</si>
  <si>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</si>
  <si>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</si>
  <si>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</si>
  <si>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</si>
  <si>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</si>
  <si>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Năm 2024</t>
  </si>
  <si>
    <t>Sản lượng hàng tháng</t>
  </si>
  <si>
    <t>% so với tháng trước đó</t>
  </si>
  <si>
    <t>(*) Cảng chưa là thành viên VPA (số liệu được ước tính/tham khảo/cung cấp từ nguồn khác). Riêng số liệu năm 2022 của Gemalink có tính bx sà lan.</t>
  </si>
  <si>
    <t xml:space="preserve">   Kể từ năm 2012, sản lượng thông qua không tính bốc xếp sà lan.</t>
  </si>
  <si>
    <t xml:space="preserve">   Số liệu container trung chuyển, container 20', rỗng, lạnh và GN qua Sà lan không chính xác do nhiều cảng chưa thống kê đầy đủ</t>
  </si>
  <si>
    <t xml:space="preserve">   Những ô để trống: không có số liệu (khác với trường hợp có số liệu = 0)</t>
  </si>
  <si>
    <t>Ban Thư ký VPA chân thành cám ơn các cảng đã cung cấp số liệu chi tiết nêu trên.</t>
  </si>
  <si>
    <t>Kính đề nghị các cảng xem xét và chỉnh sửa, bổ sung và báo ngay dùm cho BTK, nếu có thiếu sót.</t>
  </si>
  <si>
    <t>Dự kiến sẽ cung cấp thường xuyên số liệu cập nhật và chi tiết hơn cho các cảng để tham khảo, sử dụng.</t>
  </si>
  <si>
    <t>Cảng</t>
  </si>
  <si>
    <t>Thang 1</t>
  </si>
  <si>
    <t>Thang 2</t>
  </si>
  <si>
    <t>Thang 3</t>
  </si>
  <si>
    <t>Thang 4</t>
  </si>
  <si>
    <t>Thang 5</t>
  </si>
  <si>
    <t>Thang 6</t>
  </si>
  <si>
    <t>Thang 7</t>
  </si>
  <si>
    <t>Thang 8</t>
  </si>
  <si>
    <t>Thang 9</t>
  </si>
  <si>
    <t>Thang 10</t>
  </si>
  <si>
    <t>Thang 11</t>
  </si>
  <si>
    <t>Thang 12</t>
  </si>
  <si>
    <t>Năm 2023</t>
  </si>
  <si>
    <t>Thị phần %</t>
  </si>
  <si>
    <t>Gemalink</t>
  </si>
  <si>
    <t>TCCT</t>
  </si>
  <si>
    <t>TCIT</t>
  </si>
  <si>
    <t>TCTT</t>
  </si>
  <si>
    <t>SSIT</t>
  </si>
  <si>
    <t>Ngày 19 tháng 02 năm 2024</t>
  </si>
  <si>
    <t>2T 2023</t>
  </si>
  <si>
    <t>2T 2024</t>
  </si>
  <si>
    <t>THÁNG 2-2024</t>
  </si>
  <si>
    <t>2T
(2024 / 2023)</t>
  </si>
  <si>
    <t>VPA - SẢN LƯỢNG CONTAINER (TEU) - THÁNG 2 NĂM 2024 / 2023</t>
  </si>
  <si>
    <t>Ngày 14 tháng 03 năm 2024</t>
  </si>
  <si>
    <t>Hai Phong (Chùa Vẽ+Tân Vũ)</t>
  </si>
  <si>
    <t>3T 2023</t>
  </si>
  <si>
    <t>3T 2024</t>
  </si>
  <si>
    <t>THÁNG 3-2024</t>
  </si>
  <si>
    <t>3T
(2024 / 2023)</t>
  </si>
  <si>
    <t>Ngày 13 tháng 04 năm 2024</t>
  </si>
  <si>
    <t>Dieu chinh</t>
  </si>
  <si>
    <t>VPA - SẢN LƯỢNG CONTAINER (TEU) - THÁNG 3 NĂM 2024 / 2023</t>
  </si>
  <si>
    <t>VPA - SẢN LƯỢNG CONTAINER (TEU) - THÁNG 4 NĂM 2024 / 2023</t>
  </si>
  <si>
    <t>4T 2023</t>
  </si>
  <si>
    <t>4T 2024</t>
  </si>
  <si>
    <t>THÁNG 4-2024</t>
  </si>
  <si>
    <t>4T
(2024 / 2023)</t>
  </si>
  <si>
    <t>Ngày 12 tháng 05 năm 2024</t>
  </si>
  <si>
    <t xml:space="preserve">Green Port (*) </t>
  </si>
  <si>
    <t xml:space="preserve">Nam Hải </t>
  </si>
  <si>
    <t xml:space="preserve">VIMC Đình Vũ </t>
  </si>
  <si>
    <t>VPA - SẢN LƯỢNG CONTAINER (TEU) - THÁNG 5 NĂM 2024 / 2023</t>
  </si>
  <si>
    <t>5T 2024</t>
  </si>
  <si>
    <t>THÁNG 5-2024</t>
  </si>
  <si>
    <t>5T
(2024 / 2023)</t>
  </si>
  <si>
    <t>Ngày 12 tháng 06 năm 2024</t>
  </si>
  <si>
    <t>R</t>
  </si>
  <si>
    <t>5T 2023</t>
  </si>
  <si>
    <t>VPA - SẢN LƯỢNG CONTAINER (TEU) - THÁNG 6 NĂM 2024 / 2023</t>
  </si>
  <si>
    <t>6T 2023</t>
  </si>
  <si>
    <t>6T 2024</t>
  </si>
  <si>
    <t>THÁNG 6-2024</t>
  </si>
  <si>
    <t>6T
(2024 / 2023)</t>
  </si>
  <si>
    <t>Ngày 12 tháng 07 năm 2024</t>
  </si>
  <si>
    <t>VPA - SẢN LƯỢNG CONTAINER (TEU) - THÁNG 7 NĂM 2024 / 2023</t>
  </si>
  <si>
    <t>7T 2023</t>
  </si>
  <si>
    <t>7T 2024</t>
  </si>
  <si>
    <t>THÁNG 7-2024</t>
  </si>
  <si>
    <t>7T
(2024 / 2023)</t>
  </si>
  <si>
    <t>Ngày 12 tháng 08 năm 2024</t>
  </si>
  <si>
    <t>Đúng</t>
  </si>
  <si>
    <t>Đồng Nai -Điều chỉnh số liệu T6/2024</t>
  </si>
  <si>
    <t>LONG SON</t>
  </si>
  <si>
    <t>Container (Tấn&gt;TEU) qua CMTV từng tháng năm 2024 có tính BX sà lan (Thông tin tham khảo thêm)</t>
  </si>
  <si>
    <t>Tổng cộng VPA và Cảng khác</t>
  </si>
  <si>
    <r>
      <t xml:space="preserve">Container (Tấn&gt;TEU) qua CMTV từng tháng năm 2024 </t>
    </r>
    <r>
      <rPr>
        <b/>
        <sz val="11"/>
        <color rgb="FFFF0000"/>
        <rFont val="Calibri"/>
        <family val="2"/>
        <scheme val="minor"/>
      </rPr>
      <t>có tính BX sà lan</t>
    </r>
    <r>
      <rPr>
        <b/>
        <sz val="11"/>
        <rFont val="Calibri"/>
        <family val="2"/>
        <scheme val="minor"/>
      </rPr>
      <t xml:space="preserve"> (Thông tin tham khảo thêm)</t>
    </r>
  </si>
  <si>
    <t>VPA - SẢN LƯỢNG CONTAINER (TEU) - THÁNG 8 NĂM 2024 / 2023</t>
  </si>
  <si>
    <t>THÁNG 8-2024</t>
  </si>
  <si>
    <t>8T 2024</t>
  </si>
  <si>
    <t>8T
(2024 / 2023)</t>
  </si>
  <si>
    <t>Ngày 12 tháng 09 năm 2024</t>
  </si>
  <si>
    <t>8T2023</t>
  </si>
  <si>
    <t xml:space="preserve">VIMC Đình Vũ / cập nhật </t>
  </si>
  <si>
    <t>VPA - SẢN LƯỢNG CONTAINER (TEU) - THÁNG 9 NĂM 2024 / 2023</t>
  </si>
  <si>
    <t>9T2023</t>
  </si>
  <si>
    <t>9T 2024</t>
  </si>
  <si>
    <t>THÁNG 9-2024</t>
  </si>
  <si>
    <t xml:space="preserve">VIMC Đình Vũ / </t>
  </si>
  <si>
    <t>9T
(2024 / 2023)</t>
  </si>
  <si>
    <t>Ngày 14 tháng 10 năm 2024</t>
  </si>
  <si>
    <t>VPA - SẢN LƯỢNG CONTAINER (TEU) - THÁNG 10 NĂM 2024 / 2023</t>
  </si>
  <si>
    <t>10T2023</t>
  </si>
  <si>
    <t>10T 2024</t>
  </si>
  <si>
    <t>THÁNG 10-2024</t>
  </si>
  <si>
    <t>10T
(2024 / 2023)</t>
  </si>
  <si>
    <t>Ngày 14 tháng 11 năm 2024</t>
  </si>
  <si>
    <t>S</t>
  </si>
  <si>
    <t>VPA - SẢN LƯỢNG CONTAINER (TEU) - THÁNG 11 NĂM 2024 / 2023</t>
  </si>
  <si>
    <t>11T2023</t>
  </si>
  <si>
    <t>11T 2024</t>
  </si>
  <si>
    <t>THÁNG 11-2024</t>
  </si>
  <si>
    <t>11T
(2024 / 2023)</t>
  </si>
  <si>
    <t>Ngày 14 tháng 12 năm 2024</t>
  </si>
  <si>
    <t>Nam Hải (*)</t>
  </si>
  <si>
    <t>VPA - SẢN LƯỢNG CONTAINER (TEU) - THÁNG 12 NĂM 2024 / 2023</t>
  </si>
  <si>
    <t>THÁNG 12-2024</t>
  </si>
  <si>
    <t>12T2023</t>
  </si>
  <si>
    <t>12T 2024</t>
  </si>
  <si>
    <t>12T
(2024 / 2023)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</si>
  <si>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</si>
  <si>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</si>
  <si>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</si>
  <si>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</si>
  <si>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</si>
  <si>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</si>
  <si>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</si>
  <si>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</si>
  <si>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</si>
  <si>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</si>
  <si>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</si>
  <si>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</si>
  <si>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</si>
  <si>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Nam Đình Vũ</t>
  </si>
  <si>
    <t>Bình Dương</t>
  </si>
  <si>
    <t>%y/y</t>
  </si>
  <si>
    <t>% y/y</t>
  </si>
  <si>
    <t>Phước Long ICD</t>
  </si>
  <si>
    <t>Sản lượng (TEU)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</si>
</sst>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0000000"/>
    <numFmt numFmtId="167" formatCode="#,##0.0"/>
    <numFmt numFmtId="168" formatCode="_(* #,##0.00000_);_(* \(#,##0.00000\);_(* &quot;-&quot;??_);_(@_)"/>
    <numFmt numFmtId="169" formatCode="#,##0.00000"/>
  </numFmts>
  <fonts count="8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i/>
      <sz val="11"/>
      <color rgb="FF0070C0"/>
      <name val="Arial"/>
      <family val="2"/>
    </font>
    <font>
      <b/>
      <sz val="11"/>
      <color rgb="FFFF0000"/>
      <name val="Arial"/>
      <family val="2"/>
    </font>
    <font>
      <i/>
      <sz val="11"/>
      <name val="Calibri"/>
      <family val="2"/>
      <scheme val="minor"/>
    </font>
    <font>
      <sz val="11"/>
      <name val="Calibri"/>
      <family val="2"/>
    </font>
    <font>
      <b/>
      <i/>
      <sz val="11"/>
      <name val="Arial"/>
      <family val="2"/>
    </font>
    <font>
      <i/>
      <sz val="11"/>
      <color rgb="FFFF000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i/>
      <sz val="11"/>
      <name val="Calibri"/>
      <family val="2"/>
      <scheme val="minor"/>
    </font>
    <font>
      <sz val="11"/>
      <name val="Calibri"/>
      <family val="2"/>
    </font>
    <font>
      <sz val="11"/>
      <color theme="8" tint="0.79998168889431442"/>
      <name val="Arial"/>
      <family val="2"/>
    </font>
    <font>
      <i/>
      <sz val="11"/>
      <color rgb="FF0070C0"/>
      <name val="Arial"/>
      <family val="2"/>
    </font>
    <font>
      <i/>
      <sz val="12"/>
      <color rgb="FF0070C0"/>
      <name val="Arial"/>
      <family val="2"/>
    </font>
    <font>
      <i/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i/>
      <sz val="11"/>
      <color theme="1"/>
      <name val="Arial"/>
      <family val="2"/>
    </font>
    <font>
      <b/>
      <i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sz val="14"/>
      <name val="Arial"/>
      <family val="2"/>
    </font>
    <font>
      <b/>
      <sz val="11"/>
      <color theme="8"/>
      <name val="Arial"/>
      <family val="2"/>
    </font>
    <font>
      <b/>
      <sz val="11"/>
      <color theme="8"/>
      <name val="Calibri"/>
      <family val="2"/>
      <scheme val="minor"/>
    </font>
    <font>
      <sz val="11"/>
      <color theme="8"/>
      <name val="Arial"/>
      <family val="2"/>
    </font>
    <font>
      <i/>
      <sz val="11"/>
      <color theme="8"/>
      <name val="Arial"/>
      <family val="2"/>
    </font>
    <font>
      <i/>
      <sz val="12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0070C0"/>
      <name val="Arial"/>
      <family val="2"/>
    </font>
    <font>
      <b/>
      <sz val="12"/>
      <color rgb="FF0070C0"/>
      <name val="Arial"/>
      <family val="2"/>
    </font>
    <font>
      <i/>
      <sz val="11"/>
      <color rgb="FFFF0000"/>
      <name val="Calibri"/>
      <family val="2"/>
      <scheme val="minor"/>
    </font>
    <font>
      <sz val="11"/>
      <color theme="4"/>
      <name val="Arial"/>
      <family val="2"/>
    </font>
    <font>
      <i/>
      <sz val="11"/>
      <color theme="4"/>
      <name val="Arial"/>
      <family val="2"/>
    </font>
    <font>
      <sz val="12"/>
      <color theme="4"/>
      <name val="Arial"/>
      <family val="2"/>
    </font>
    <font>
      <i/>
      <sz val="12"/>
      <color theme="8" tint="-0.249977111117893"/>
      <name val="Calibri"/>
      <family val="2"/>
      <scheme val="minor"/>
    </font>
    <font>
      <i/>
      <sz val="11"/>
      <color theme="8" tint="-0.249977111117893"/>
      <name val="Arial"/>
      <family val="2"/>
    </font>
    <font>
      <sz val="11"/>
      <name val="Arial"/>
      <family val="2"/>
    </font>
    <font>
      <b/>
      <i/>
      <sz val="11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4"/>
      <name val="Arial"/>
      <family val="2"/>
    </font>
    <font>
      <b/>
      <sz val="11"/>
      <color theme="4"/>
      <name val="Arial"/>
      <family val="2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i/>
      <sz val="12"/>
      <color theme="4"/>
      <name val="Calibri"/>
      <family val="2"/>
      <scheme val="minor"/>
    </font>
    <font>
      <b/>
      <i/>
      <sz val="12"/>
      <color theme="4"/>
      <name val="Arial"/>
      <family val="2"/>
    </font>
    <font>
      <b/>
      <sz val="12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i/>
      <sz val="11"/>
      <color theme="4"/>
      <name val="Calibri"/>
      <family val="2"/>
      <scheme val="minor"/>
    </font>
    <font>
      <i/>
      <sz val="12"/>
      <name val="Arial"/>
      <family val="2"/>
    </font>
    <font>
      <sz val="12"/>
      <color rgb="FFFF0000"/>
      <name val="Arial"/>
      <family val="2"/>
    </font>
    <font>
      <i/>
      <sz val="12"/>
      <color rgb="FFFF0000"/>
      <name val="Arial"/>
      <family val="2"/>
    </font>
    <font>
      <i/>
      <sz val="11"/>
      <color rgb="FF0070C0"/>
      <name val="Calibri"/>
      <family val="2"/>
      <scheme val="minor"/>
    </font>
    <font>
      <b/>
      <i/>
      <sz val="11"/>
      <color rgb="FF0068B8"/>
      <name val="Arial"/>
      <family val="2"/>
    </font>
    <font>
      <b/>
      <sz val="11"/>
      <color rgb="FF0068B8"/>
      <name val="Arial"/>
      <family val="2"/>
    </font>
    <font>
      <b/>
      <i/>
      <sz val="11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48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58494827112647"/>
        <bgColor indexed="64"/>
      </patternFill>
    </fill>
    <fill>
      <patternFill patternType="solid">
        <fgColor theme="7" tint="0.7994323557237464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5" fillId="0" borderId="13" xfId="0" applyFont="1" applyBorder="1"/>
    <xf numFmtId="0" fontId="5" fillId="0" borderId="15" xfId="0" applyFont="1" applyBorder="1"/>
    <xf numFmtId="0" fontId="7" fillId="2" borderId="16" xfId="1" applyNumberFormat="1" applyFont="1" applyFill="1" applyBorder="1" applyAlignment="1">
      <alignment horizontal="left"/>
    </xf>
    <xf numFmtId="3" fontId="7" fillId="5" borderId="16" xfId="0" applyNumberFormat="1" applyFont="1" applyFill="1" applyBorder="1" applyAlignment="1">
      <alignment horizontal="right" vertical="center"/>
    </xf>
    <xf numFmtId="3" fontId="7" fillId="5" borderId="17" xfId="0" applyNumberFormat="1" applyFont="1" applyFill="1" applyBorder="1" applyAlignment="1">
      <alignment horizontal="right" vertical="center"/>
    </xf>
    <xf numFmtId="3" fontId="7" fillId="6" borderId="20" xfId="0" applyNumberFormat="1" applyFont="1" applyFill="1" applyBorder="1" applyAlignment="1">
      <alignment horizontal="right" vertical="center"/>
    </xf>
    <xf numFmtId="3" fontId="5" fillId="0" borderId="17" xfId="0" applyNumberFormat="1" applyFont="1" applyBorder="1" applyAlignment="1">
      <alignment horizontal="right" vertical="top" wrapText="1"/>
    </xf>
    <xf numFmtId="3" fontId="5" fillId="6" borderId="19" xfId="0" applyNumberFormat="1" applyFont="1" applyFill="1" applyBorder="1" applyAlignment="1">
      <alignment horizontal="right" vertical="center"/>
    </xf>
    <xf numFmtId="0" fontId="3" fillId="6" borderId="20" xfId="0" applyFont="1" applyFill="1" applyBorder="1"/>
    <xf numFmtId="3" fontId="5" fillId="6" borderId="20" xfId="0" applyNumberFormat="1" applyFont="1" applyFill="1" applyBorder="1" applyAlignment="1">
      <alignment horizontal="right" vertical="center"/>
    </xf>
    <xf numFmtId="3" fontId="5" fillId="7" borderId="16" xfId="0" applyNumberFormat="1" applyFont="1" applyFill="1" applyBorder="1" applyAlignment="1">
      <alignment horizontal="right" vertical="top" wrapText="1"/>
    </xf>
    <xf numFmtId="164" fontId="5" fillId="9" borderId="20" xfId="1" applyNumberFormat="1" applyFont="1" applyFill="1" applyBorder="1"/>
    <xf numFmtId="164" fontId="3" fillId="9" borderId="20" xfId="1" applyNumberFormat="1" applyFont="1" applyFill="1" applyBorder="1"/>
    <xf numFmtId="0" fontId="5" fillId="0" borderId="16" xfId="0" applyFont="1" applyBorder="1"/>
    <xf numFmtId="164" fontId="5" fillId="6" borderId="20" xfId="1" applyNumberFormat="1" applyFont="1" applyFill="1" applyBorder="1" applyAlignment="1">
      <alignment horizontal="right"/>
    </xf>
    <xf numFmtId="3" fontId="5" fillId="0" borderId="18" xfId="0" applyNumberFormat="1" applyFont="1" applyBorder="1" applyAlignment="1">
      <alignment horizontal="right" vertical="top" wrapText="1"/>
    </xf>
    <xf numFmtId="164" fontId="6" fillId="0" borderId="18" xfId="1" applyNumberFormat="1" applyFont="1" applyFill="1" applyBorder="1" applyAlignment="1">
      <alignment horizontal="right" vertical="top" wrapText="1"/>
    </xf>
    <xf numFmtId="3" fontId="5" fillId="10" borderId="20" xfId="0" applyNumberFormat="1" applyFont="1" applyFill="1" applyBorder="1" applyAlignment="1">
      <alignment horizontal="right" vertical="center"/>
    </xf>
    <xf numFmtId="3" fontId="5" fillId="0" borderId="20" xfId="0" applyNumberFormat="1" applyFont="1" applyBorder="1" applyAlignment="1">
      <alignment horizontal="right" vertical="center"/>
    </xf>
    <xf numFmtId="3" fontId="12" fillId="0" borderId="18" xfId="0" applyNumberFormat="1" applyFont="1" applyBorder="1" applyAlignment="1">
      <alignment horizontal="right" vertical="center"/>
    </xf>
    <xf numFmtId="3" fontId="5" fillId="7" borderId="19" xfId="0" applyNumberFormat="1" applyFont="1" applyFill="1" applyBorder="1" applyAlignment="1">
      <alignment horizontal="right" vertical="center"/>
    </xf>
    <xf numFmtId="165" fontId="5" fillId="0" borderId="20" xfId="0" applyNumberFormat="1" applyFont="1" applyBorder="1" applyAlignment="1">
      <alignment horizontal="right" vertical="center"/>
    </xf>
    <xf numFmtId="0" fontId="3" fillId="0" borderId="16" xfId="0" applyFont="1" applyBorder="1"/>
    <xf numFmtId="3" fontId="12" fillId="0" borderId="21" xfId="0" applyNumberFormat="1" applyFont="1" applyBorder="1" applyAlignment="1">
      <alignment horizontal="right" vertical="center"/>
    </xf>
    <xf numFmtId="0" fontId="3" fillId="0" borderId="20" xfId="0" applyFont="1" applyBorder="1"/>
    <xf numFmtId="3" fontId="7" fillId="5" borderId="18" xfId="0" applyNumberFormat="1" applyFont="1" applyFill="1" applyBorder="1" applyAlignment="1">
      <alignment horizontal="right" vertical="center"/>
    </xf>
    <xf numFmtId="3" fontId="5" fillId="0" borderId="18" xfId="0" applyNumberFormat="1" applyFont="1" applyBorder="1" applyAlignment="1">
      <alignment horizontal="right" vertical="center"/>
    </xf>
    <xf numFmtId="0" fontId="5" fillId="0" borderId="16" xfId="0" applyFont="1" applyBorder="1" applyAlignment="1">
      <alignment horizontal="left"/>
    </xf>
    <xf numFmtId="3" fontId="5" fillId="7" borderId="18" xfId="0" applyNumberFormat="1" applyFont="1" applyFill="1" applyBorder="1" applyAlignment="1">
      <alignment horizontal="right" vertical="center"/>
    </xf>
    <xf numFmtId="164" fontId="5" fillId="6" borderId="20" xfId="1" applyNumberFormat="1" applyFont="1" applyFill="1" applyBorder="1"/>
    <xf numFmtId="164" fontId="5" fillId="0" borderId="18" xfId="1" applyNumberFormat="1" applyFont="1" applyBorder="1"/>
    <xf numFmtId="3" fontId="12" fillId="0" borderId="18" xfId="0" applyNumberFormat="1" applyFont="1" applyBorder="1" applyAlignment="1">
      <alignment horizontal="right" vertical="top" wrapText="1"/>
    </xf>
    <xf numFmtId="3" fontId="5" fillId="0" borderId="20" xfId="0" applyNumberFormat="1" applyFont="1" applyBorder="1"/>
    <xf numFmtId="3" fontId="7" fillId="2" borderId="18" xfId="0" applyNumberFormat="1" applyFont="1" applyFill="1" applyBorder="1" applyAlignment="1">
      <alignment horizontal="right" vertical="center"/>
    </xf>
    <xf numFmtId="3" fontId="5" fillId="0" borderId="18" xfId="0" applyNumberFormat="1" applyFont="1" applyBorder="1" applyAlignment="1">
      <alignment horizontal="right" vertical="center" wrapText="1"/>
    </xf>
    <xf numFmtId="3" fontId="5" fillId="0" borderId="18" xfId="1" applyNumberFormat="1" applyFont="1" applyFill="1" applyBorder="1" applyAlignment="1">
      <alignment horizontal="right"/>
    </xf>
    <xf numFmtId="3" fontId="5" fillId="0" borderId="18" xfId="1" applyNumberFormat="1" applyFont="1" applyFill="1" applyBorder="1"/>
    <xf numFmtId="164" fontId="3" fillId="6" borderId="20" xfId="1" applyNumberFormat="1" applyFont="1" applyFill="1" applyBorder="1"/>
    <xf numFmtId="3" fontId="5" fillId="0" borderId="18" xfId="0" applyNumberFormat="1" applyFont="1" applyBorder="1"/>
    <xf numFmtId="3" fontId="10" fillId="0" borderId="18" xfId="0" applyNumberFormat="1" applyFont="1" applyBorder="1"/>
    <xf numFmtId="3" fontId="8" fillId="0" borderId="20" xfId="1" applyNumberFormat="1" applyFont="1" applyFill="1" applyBorder="1"/>
    <xf numFmtId="3" fontId="5" fillId="6" borderId="20" xfId="1" applyNumberFormat="1" applyFont="1" applyFill="1" applyBorder="1"/>
    <xf numFmtId="0" fontId="5" fillId="6" borderId="20" xfId="0" applyFont="1" applyFill="1" applyBorder="1"/>
    <xf numFmtId="0" fontId="8" fillId="0" borderId="25" xfId="0" applyFont="1" applyBorder="1"/>
    <xf numFmtId="43" fontId="13" fillId="6" borderId="20" xfId="0" applyNumberFormat="1" applyFont="1" applyFill="1" applyBorder="1"/>
    <xf numFmtId="164" fontId="3" fillId="0" borderId="21" xfId="1" applyNumberFormat="1" applyFont="1" applyBorder="1"/>
    <xf numFmtId="164" fontId="3" fillId="0" borderId="18" xfId="1" applyNumberFormat="1" applyFont="1" applyBorder="1"/>
    <xf numFmtId="164" fontId="8" fillId="7" borderId="20" xfId="0" applyNumberFormat="1" applyFont="1" applyFill="1" applyBorder="1"/>
    <xf numFmtId="164" fontId="3" fillId="0" borderId="20" xfId="1" applyNumberFormat="1" applyFont="1" applyBorder="1"/>
    <xf numFmtId="164" fontId="8" fillId="0" borderId="20" xfId="1" applyNumberFormat="1" applyFont="1" applyBorder="1"/>
    <xf numFmtId="0" fontId="7" fillId="2" borderId="16" xfId="0" applyFont="1" applyFill="1" applyBorder="1"/>
    <xf numFmtId="3" fontId="7" fillId="6" borderId="20" xfId="0" applyNumberFormat="1" applyFont="1" applyFill="1" applyBorder="1"/>
    <xf numFmtId="3" fontId="5" fillId="6" borderId="26" xfId="0" applyNumberFormat="1" applyFont="1" applyFill="1" applyBorder="1" applyAlignment="1">
      <alignment horizontal="right" vertical="center"/>
    </xf>
    <xf numFmtId="3" fontId="5" fillId="9" borderId="20" xfId="0" applyNumberFormat="1" applyFont="1" applyFill="1" applyBorder="1"/>
    <xf numFmtId="3" fontId="5" fillId="9" borderId="20" xfId="0" applyNumberFormat="1" applyFont="1" applyFill="1" applyBorder="1" applyAlignment="1">
      <alignment horizontal="right" vertical="top" wrapText="1"/>
    </xf>
    <xf numFmtId="3" fontId="9" fillId="0" borderId="18" xfId="0" applyNumberFormat="1" applyFont="1" applyBorder="1" applyAlignment="1">
      <alignment horizontal="right" vertical="center"/>
    </xf>
    <xf numFmtId="3" fontId="7" fillId="9" borderId="20" xfId="0" applyNumberFormat="1" applyFont="1" applyFill="1" applyBorder="1" applyAlignment="1">
      <alignment horizontal="right" vertical="center"/>
    </xf>
    <xf numFmtId="3" fontId="5" fillId="0" borderId="23" xfId="0" applyNumberFormat="1" applyFont="1" applyBorder="1"/>
    <xf numFmtId="0" fontId="3" fillId="6" borderId="19" xfId="0" applyFont="1" applyFill="1" applyBorder="1"/>
    <xf numFmtId="3" fontId="14" fillId="0" borderId="18" xfId="0" applyNumberFormat="1" applyFont="1" applyBorder="1"/>
    <xf numFmtId="0" fontId="7" fillId="7" borderId="25" xfId="0" applyFont="1" applyFill="1" applyBorder="1" applyAlignment="1">
      <alignment horizontal="left" vertical="center"/>
    </xf>
    <xf numFmtId="3" fontId="7" fillId="7" borderId="28" xfId="0" applyNumberFormat="1" applyFont="1" applyFill="1" applyBorder="1" applyAlignment="1">
      <alignment horizontal="right" vertical="center"/>
    </xf>
    <xf numFmtId="0" fontId="3" fillId="0" borderId="30" xfId="0" applyFont="1" applyBorder="1"/>
    <xf numFmtId="0" fontId="4" fillId="0" borderId="0" xfId="0" applyFont="1" applyAlignment="1">
      <alignment vertical="center"/>
    </xf>
    <xf numFmtId="3" fontId="5" fillId="0" borderId="0" xfId="0" applyNumberFormat="1" applyFont="1"/>
    <xf numFmtId="0" fontId="8" fillId="0" borderId="15" xfId="0" applyFont="1" applyBorder="1"/>
    <xf numFmtId="3" fontId="5" fillId="0" borderId="15" xfId="0" applyNumberFormat="1" applyFont="1" applyBorder="1"/>
    <xf numFmtId="3" fontId="8" fillId="0" borderId="15" xfId="0" applyNumberFormat="1" applyFont="1" applyBorder="1"/>
    <xf numFmtId="3" fontId="7" fillId="7" borderId="20" xfId="0" applyNumberFormat="1" applyFont="1" applyFill="1" applyBorder="1" applyAlignment="1">
      <alignment horizontal="right" vertical="center"/>
    </xf>
    <xf numFmtId="9" fontId="15" fillId="12" borderId="18" xfId="0" applyNumberFormat="1" applyFont="1" applyFill="1" applyBorder="1"/>
    <xf numFmtId="3" fontId="7" fillId="0" borderId="0" xfId="0" applyNumberFormat="1" applyFont="1" applyAlignment="1">
      <alignment horizontal="right" vertical="center"/>
    </xf>
    <xf numFmtId="164" fontId="5" fillId="9" borderId="20" xfId="1" applyNumberFormat="1" applyFont="1" applyFill="1" applyBorder="1" applyAlignment="1">
      <alignment horizontal="right" vertical="center"/>
    </xf>
    <xf numFmtId="164" fontId="5" fillId="0" borderId="20" xfId="1" applyNumberFormat="1" applyFont="1" applyFill="1" applyBorder="1" applyAlignment="1">
      <alignment horizontal="right" vertical="center"/>
    </xf>
    <xf numFmtId="164" fontId="5" fillId="0" borderId="20" xfId="1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top" wrapText="1"/>
    </xf>
    <xf numFmtId="3" fontId="5" fillId="0" borderId="0" xfId="0" applyNumberFormat="1" applyFont="1" applyAlignment="1">
      <alignment horizontal="right" vertical="top" wrapText="1"/>
    </xf>
    <xf numFmtId="164" fontId="5" fillId="0" borderId="20" xfId="1" applyNumberFormat="1" applyFont="1" applyBorder="1" applyAlignment="1">
      <alignment horizontal="right"/>
    </xf>
    <xf numFmtId="0" fontId="5" fillId="0" borderId="20" xfId="0" applyFont="1" applyBorder="1"/>
    <xf numFmtId="164" fontId="5" fillId="0" borderId="0" xfId="1" applyNumberFormat="1" applyFont="1" applyFill="1" applyBorder="1" applyAlignment="1">
      <alignment horizontal="right" vertical="top" wrapText="1"/>
    </xf>
    <xf numFmtId="164" fontId="16" fillId="0" borderId="0" xfId="1" applyNumberFormat="1" applyFont="1" applyFill="1" applyBorder="1" applyAlignment="1">
      <alignment horizontal="right" vertical="top" wrapText="1"/>
    </xf>
    <xf numFmtId="164" fontId="11" fillId="0" borderId="0" xfId="1" applyNumberFormat="1" applyFont="1" applyFill="1" applyBorder="1" applyAlignment="1">
      <alignment horizontal="right" vertical="top" wrapText="1"/>
    </xf>
    <xf numFmtId="9" fontId="15" fillId="7" borderId="18" xfId="0" applyNumberFormat="1" applyFont="1" applyFill="1" applyBorder="1"/>
    <xf numFmtId="3" fontId="11" fillId="0" borderId="0" xfId="0" applyNumberFormat="1" applyFont="1" applyAlignment="1">
      <alignment horizontal="right" vertical="top" wrapText="1"/>
    </xf>
    <xf numFmtId="164" fontId="5" fillId="0" borderId="20" xfId="1" applyNumberFormat="1" applyFont="1" applyBorder="1"/>
    <xf numFmtId="3" fontId="5" fillId="0" borderId="20" xfId="1" applyNumberFormat="1" applyFont="1" applyFill="1" applyBorder="1" applyAlignment="1">
      <alignment horizontal="right" vertical="center"/>
    </xf>
    <xf numFmtId="3" fontId="5" fillId="6" borderId="20" xfId="0" applyNumberFormat="1" applyFont="1" applyFill="1" applyBorder="1" applyAlignment="1">
      <alignment vertical="center"/>
    </xf>
    <xf numFmtId="3" fontId="5" fillId="0" borderId="20" xfId="0" applyNumberFormat="1" applyFont="1" applyBorder="1" applyAlignment="1">
      <alignment vertical="center"/>
    </xf>
    <xf numFmtId="3" fontId="3" fillId="6" borderId="20" xfId="0" applyNumberFormat="1" applyFont="1" applyFill="1" applyBorder="1"/>
    <xf numFmtId="0" fontId="14" fillId="6" borderId="20" xfId="0" applyFont="1" applyFill="1" applyBorder="1"/>
    <xf numFmtId="3" fontId="8" fillId="6" borderId="20" xfId="0" applyNumberFormat="1" applyFont="1" applyFill="1" applyBorder="1"/>
    <xf numFmtId="3" fontId="8" fillId="6" borderId="20" xfId="0" applyNumberFormat="1" applyFont="1" applyFill="1" applyBorder="1" applyAlignment="1">
      <alignment horizontal="right" vertical="center"/>
    </xf>
    <xf numFmtId="3" fontId="8" fillId="0" borderId="20" xfId="0" applyNumberFormat="1" applyFont="1" applyBorder="1" applyAlignment="1">
      <alignment horizontal="right" vertical="center"/>
    </xf>
    <xf numFmtId="0" fontId="13" fillId="0" borderId="0" xfId="0" applyFont="1"/>
    <xf numFmtId="3" fontId="7" fillId="7" borderId="20" xfId="0" applyNumberFormat="1" applyFont="1" applyFill="1" applyBorder="1"/>
    <xf numFmtId="9" fontId="15" fillId="7" borderId="23" xfId="0" applyNumberFormat="1" applyFont="1" applyFill="1" applyBorder="1"/>
    <xf numFmtId="3" fontId="3" fillId="0" borderId="0" xfId="0" applyNumberFormat="1" applyFont="1" applyAlignment="1">
      <alignment vertical="center"/>
    </xf>
    <xf numFmtId="0" fontId="7" fillId="2" borderId="31" xfId="0" applyFont="1" applyFill="1" applyBorder="1" applyAlignment="1">
      <alignment horizontal="left" vertical="center"/>
    </xf>
    <xf numFmtId="3" fontId="7" fillId="6" borderId="35" xfId="0" applyNumberFormat="1" applyFont="1" applyFill="1" applyBorder="1" applyAlignment="1">
      <alignment horizontal="right" vertical="center"/>
    </xf>
    <xf numFmtId="3" fontId="7" fillId="4" borderId="35" xfId="0" applyNumberFormat="1" applyFont="1" applyFill="1" applyBorder="1" applyAlignment="1">
      <alignment horizontal="right" vertical="center"/>
    </xf>
    <xf numFmtId="3" fontId="9" fillId="4" borderId="20" xfId="0" applyNumberFormat="1" applyFont="1" applyFill="1" applyBorder="1" applyAlignment="1">
      <alignment horizontal="right" vertical="center"/>
    </xf>
    <xf numFmtId="3" fontId="5" fillId="4" borderId="20" xfId="0" applyNumberFormat="1" applyFont="1" applyFill="1" applyBorder="1" applyAlignment="1">
      <alignment horizontal="right" vertical="center"/>
    </xf>
    <xf numFmtId="3" fontId="5" fillId="13" borderId="36" xfId="0" applyNumberFormat="1" applyFont="1" applyFill="1" applyBorder="1" applyAlignment="1">
      <alignment vertical="center"/>
    </xf>
    <xf numFmtId="3" fontId="17" fillId="0" borderId="20" xfId="0" applyNumberFormat="1" applyFont="1" applyBorder="1" applyAlignment="1">
      <alignment horizontal="right" vertical="center"/>
    </xf>
    <xf numFmtId="3" fontId="8" fillId="13" borderId="36" xfId="0" applyNumberFormat="1" applyFont="1" applyFill="1" applyBorder="1" applyAlignment="1">
      <alignment vertical="center"/>
    </xf>
    <xf numFmtId="164" fontId="8" fillId="0" borderId="20" xfId="1" applyNumberFormat="1" applyFont="1" applyBorder="1" applyAlignment="1">
      <alignment horizontal="right" vertical="center"/>
    </xf>
    <xf numFmtId="167" fontId="8" fillId="14" borderId="20" xfId="0" applyNumberFormat="1" applyFont="1" applyFill="1" applyBorder="1" applyAlignment="1">
      <alignment horizontal="right" vertical="center"/>
    </xf>
    <xf numFmtId="3" fontId="5" fillId="13" borderId="0" xfId="0" applyNumberFormat="1" applyFont="1" applyFill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3" fillId="4" borderId="36" xfId="0" applyFont="1" applyFill="1" applyBorder="1"/>
    <xf numFmtId="0" fontId="18" fillId="4" borderId="36" xfId="0" applyFont="1" applyFill="1" applyBorder="1" applyAlignment="1">
      <alignment horizontal="right"/>
    </xf>
    <xf numFmtId="0" fontId="18" fillId="4" borderId="20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3" fillId="0" borderId="36" xfId="0" applyFont="1" applyBorder="1"/>
    <xf numFmtId="164" fontId="3" fillId="0" borderId="36" xfId="1" applyNumberFormat="1" applyFont="1" applyBorder="1"/>
    <xf numFmtId="164" fontId="3" fillId="0" borderId="20" xfId="0" applyNumberFormat="1" applyFont="1" applyBorder="1"/>
    <xf numFmtId="0" fontId="3" fillId="15" borderId="36" xfId="0" applyFont="1" applyFill="1" applyBorder="1"/>
    <xf numFmtId="164" fontId="3" fillId="16" borderId="36" xfId="1" applyNumberFormat="1" applyFont="1" applyFill="1" applyBorder="1"/>
    <xf numFmtId="164" fontId="3" fillId="16" borderId="20" xfId="1" applyNumberFormat="1" applyFont="1" applyFill="1" applyBorder="1"/>
    <xf numFmtId="164" fontId="3" fillId="15" borderId="20" xfId="1" applyNumberFormat="1" applyFont="1" applyFill="1" applyBorder="1"/>
    <xf numFmtId="164" fontId="3" fillId="15" borderId="20" xfId="0" applyNumberFormat="1" applyFont="1" applyFill="1" applyBorder="1"/>
    <xf numFmtId="0" fontId="3" fillId="7" borderId="36" xfId="0" applyFont="1" applyFill="1" applyBorder="1"/>
    <xf numFmtId="164" fontId="19" fillId="0" borderId="0" xfId="0" applyNumberFormat="1" applyFont="1"/>
    <xf numFmtId="164" fontId="19" fillId="0" borderId="20" xfId="0" applyNumberFormat="1" applyFont="1" applyBorder="1"/>
    <xf numFmtId="3" fontId="7" fillId="7" borderId="35" xfId="0" applyNumberFormat="1" applyFont="1" applyFill="1" applyBorder="1" applyAlignment="1">
      <alignment horizontal="right" vertical="center"/>
    </xf>
    <xf numFmtId="9" fontId="15" fillId="12" borderId="33" xfId="0" applyNumberFormat="1" applyFont="1" applyFill="1" applyBorder="1"/>
    <xf numFmtId="164" fontId="3" fillId="0" borderId="0" xfId="1" applyNumberFormat="1" applyFont="1"/>
    <xf numFmtId="3" fontId="17" fillId="7" borderId="30" xfId="0" applyNumberFormat="1" applyFont="1" applyFill="1" applyBorder="1" applyAlignment="1">
      <alignment horizontal="right" vertical="center"/>
    </xf>
    <xf numFmtId="3" fontId="5" fillId="7" borderId="30" xfId="0" applyNumberFormat="1" applyFont="1" applyFill="1" applyBorder="1" applyAlignment="1">
      <alignment horizontal="right" vertical="center"/>
    </xf>
    <xf numFmtId="3" fontId="19" fillId="0" borderId="20" xfId="0" applyNumberFormat="1" applyFont="1" applyBorder="1"/>
    <xf numFmtId="167" fontId="15" fillId="14" borderId="20" xfId="0" applyNumberFormat="1" applyFont="1" applyFill="1" applyBorder="1" applyAlignment="1">
      <alignment horizontal="right" vertical="center"/>
    </xf>
    <xf numFmtId="0" fontId="7" fillId="0" borderId="0" xfId="0" applyFont="1"/>
    <xf numFmtId="43" fontId="5" fillId="0" borderId="0" xfId="1" applyFont="1"/>
    <xf numFmtId="164" fontId="3" fillId="4" borderId="20" xfId="1" applyNumberFormat="1" applyFont="1" applyFill="1" applyBorder="1" applyAlignment="1">
      <alignment horizontal="right"/>
    </xf>
    <xf numFmtId="164" fontId="3" fillId="7" borderId="19" xfId="1" applyNumberFormat="1" applyFont="1" applyFill="1" applyBorder="1"/>
    <xf numFmtId="164" fontId="3" fillId="7" borderId="20" xfId="1" applyNumberFormat="1" applyFont="1" applyFill="1" applyBorder="1"/>
    <xf numFmtId="164" fontId="20" fillId="0" borderId="20" xfId="2" applyNumberFormat="1" applyFont="1" applyBorder="1"/>
    <xf numFmtId="164" fontId="20" fillId="16" borderId="20" xfId="2" applyNumberFormat="1" applyFont="1" applyFill="1" applyBorder="1"/>
    <xf numFmtId="164" fontId="19" fillId="0" borderId="20" xfId="2" applyNumberFormat="1" applyFont="1" applyBorder="1"/>
    <xf numFmtId="164" fontId="5" fillId="0" borderId="0" xfId="1" applyNumberFormat="1" applyFont="1"/>
    <xf numFmtId="164" fontId="7" fillId="0" borderId="0" xfId="1" applyNumberFormat="1" applyFont="1"/>
    <xf numFmtId="43" fontId="3" fillId="0" borderId="0" xfId="0" applyNumberFormat="1" applyFont="1"/>
    <xf numFmtId="0" fontId="3" fillId="4" borderId="20" xfId="0" applyFont="1" applyFill="1" applyBorder="1" applyProtection="1">
      <protection hidden="1"/>
    </xf>
    <xf numFmtId="9" fontId="3" fillId="7" borderId="20" xfId="2" applyFont="1" applyFill="1" applyBorder="1" applyProtection="1">
      <protection hidden="1"/>
    </xf>
    <xf numFmtId="9" fontId="3" fillId="15" borderId="20" xfId="2" applyFont="1" applyFill="1" applyBorder="1" applyProtection="1">
      <protection hidden="1"/>
    </xf>
    <xf numFmtId="0" fontId="8" fillId="0" borderId="0" xfId="0" quotePrefix="1" applyFont="1"/>
    <xf numFmtId="0" fontId="5" fillId="0" borderId="0" xfId="0" quotePrefix="1" applyFont="1"/>
    <xf numFmtId="3" fontId="22" fillId="0" borderId="0" xfId="0" applyNumberFormat="1" applyFont="1"/>
    <xf numFmtId="0" fontId="24" fillId="6" borderId="20" xfId="0" applyFont="1" applyFill="1" applyBorder="1"/>
    <xf numFmtId="3" fontId="23" fillId="0" borderId="20" xfId="0" applyNumberFormat="1" applyFont="1" applyBorder="1" applyAlignment="1">
      <alignment horizontal="right" vertical="center"/>
    </xf>
    <xf numFmtId="0" fontId="24" fillId="0" borderId="20" xfId="0" applyFont="1" applyBorder="1"/>
    <xf numFmtId="3" fontId="22" fillId="6" borderId="20" xfId="0" applyNumberFormat="1" applyFont="1" applyFill="1" applyBorder="1" applyAlignment="1">
      <alignment horizontal="right" vertical="center"/>
    </xf>
    <xf numFmtId="0" fontId="25" fillId="6" borderId="20" xfId="0" applyFont="1" applyFill="1" applyBorder="1"/>
    <xf numFmtId="3" fontId="22" fillId="0" borderId="20" xfId="0" applyNumberFormat="1" applyFont="1" applyBorder="1" applyAlignment="1">
      <alignment horizontal="right" vertical="center"/>
    </xf>
    <xf numFmtId="164" fontId="22" fillId="6" borderId="20" xfId="1" applyNumberFormat="1" applyFont="1" applyFill="1" applyBorder="1"/>
    <xf numFmtId="164" fontId="25" fillId="6" borderId="20" xfId="1" applyNumberFormat="1" applyFont="1" applyFill="1" applyBorder="1"/>
    <xf numFmtId="164" fontId="25" fillId="0" borderId="20" xfId="1" applyNumberFormat="1" applyFont="1" applyBorder="1"/>
    <xf numFmtId="3" fontId="22" fillId="0" borderId="20" xfId="1" applyNumberFormat="1" applyFont="1" applyFill="1" applyBorder="1" applyAlignment="1">
      <alignment horizontal="right" vertical="center"/>
    </xf>
    <xf numFmtId="0" fontId="22" fillId="0" borderId="16" xfId="1" applyNumberFormat="1" applyFont="1" applyFill="1" applyBorder="1" applyAlignment="1">
      <alignment horizontal="left"/>
    </xf>
    <xf numFmtId="3" fontId="22" fillId="0" borderId="16" xfId="0" applyNumberFormat="1" applyFont="1" applyBorder="1" applyAlignment="1">
      <alignment horizontal="right" vertical="top" wrapText="1"/>
    </xf>
    <xf numFmtId="3" fontId="22" fillId="0" borderId="17" xfId="0" applyNumberFormat="1" applyFont="1" applyBorder="1" applyAlignment="1">
      <alignment horizontal="right" vertical="top" wrapText="1"/>
    </xf>
    <xf numFmtId="0" fontId="26" fillId="0" borderId="16" xfId="1" applyNumberFormat="1" applyFont="1" applyFill="1" applyBorder="1" applyAlignment="1">
      <alignment horizontal="left"/>
    </xf>
    <xf numFmtId="3" fontId="22" fillId="7" borderId="16" xfId="0" applyNumberFormat="1" applyFont="1" applyFill="1" applyBorder="1" applyAlignment="1">
      <alignment horizontal="right" vertical="top" wrapText="1"/>
    </xf>
    <xf numFmtId="0" fontId="22" fillId="0" borderId="16" xfId="0" applyFont="1" applyBorder="1"/>
    <xf numFmtId="3" fontId="22" fillId="7" borderId="21" xfId="0" applyNumberFormat="1" applyFont="1" applyFill="1" applyBorder="1" applyAlignment="1">
      <alignment horizontal="right" vertical="top" wrapText="1"/>
    </xf>
    <xf numFmtId="3" fontId="22" fillId="0" borderId="18" xfId="0" applyNumberFormat="1" applyFont="1" applyBorder="1" applyAlignment="1">
      <alignment horizontal="right" vertical="top" wrapText="1"/>
    </xf>
    <xf numFmtId="164" fontId="22" fillId="7" borderId="21" xfId="1" applyNumberFormat="1" applyFont="1" applyFill="1" applyBorder="1" applyAlignment="1">
      <alignment horizontal="right" vertical="top" wrapText="1"/>
    </xf>
    <xf numFmtId="164" fontId="27" fillId="0" borderId="18" xfId="1" applyNumberFormat="1" applyFont="1" applyFill="1" applyBorder="1" applyAlignment="1">
      <alignment horizontal="right" vertical="top" wrapText="1"/>
    </xf>
    <xf numFmtId="0" fontId="22" fillId="0" borderId="16" xfId="0" applyFont="1" applyBorder="1" applyAlignment="1">
      <alignment horizontal="left"/>
    </xf>
    <xf numFmtId="0" fontId="22" fillId="0" borderId="16" xfId="0" applyFont="1" applyBorder="1" applyAlignment="1">
      <alignment horizontal="left" vertical="center"/>
    </xf>
    <xf numFmtId="0" fontId="22" fillId="0" borderId="27" xfId="0" applyFont="1" applyBorder="1"/>
    <xf numFmtId="0" fontId="26" fillId="0" borderId="16" xfId="0" applyFont="1" applyBorder="1"/>
    <xf numFmtId="0" fontId="22" fillId="0" borderId="0" xfId="0" applyFont="1" applyAlignment="1">
      <alignment horizontal="center"/>
    </xf>
    <xf numFmtId="0" fontId="25" fillId="0" borderId="0" xfId="0" applyFont="1"/>
    <xf numFmtId="0" fontId="22" fillId="0" borderId="0" xfId="0" applyFont="1"/>
    <xf numFmtId="3" fontId="3" fillId="0" borderId="30" xfId="0" applyNumberFormat="1" applyFont="1" applyBorder="1"/>
    <xf numFmtId="3" fontId="22" fillId="0" borderId="0" xfId="0" applyNumberFormat="1" applyFont="1" applyAlignment="1">
      <alignment horizontal="center"/>
    </xf>
    <xf numFmtId="0" fontId="28" fillId="2" borderId="16" xfId="1" applyNumberFormat="1" applyFont="1" applyFill="1" applyBorder="1" applyAlignment="1">
      <alignment horizontal="left"/>
    </xf>
    <xf numFmtId="9" fontId="26" fillId="12" borderId="18" xfId="0" applyNumberFormat="1" applyFont="1" applyFill="1" applyBorder="1"/>
    <xf numFmtId="9" fontId="15" fillId="12" borderId="33" xfId="0" applyNumberFormat="1" applyFont="1" applyFill="1" applyBorder="1" applyAlignment="1">
      <alignment vertical="center"/>
    </xf>
    <xf numFmtId="164" fontId="32" fillId="0" borderId="21" xfId="1" applyNumberFormat="1" applyFont="1" applyFill="1" applyBorder="1" applyAlignment="1">
      <alignment horizontal="right" vertical="top" wrapText="1"/>
    </xf>
    <xf numFmtId="3" fontId="33" fillId="0" borderId="18" xfId="0" applyNumberFormat="1" applyFont="1" applyBorder="1" applyAlignment="1">
      <alignment horizontal="right" vertical="center"/>
    </xf>
    <xf numFmtId="164" fontId="33" fillId="0" borderId="18" xfId="1" applyNumberFormat="1" applyFont="1" applyFill="1" applyBorder="1"/>
    <xf numFmtId="3" fontId="32" fillId="0" borderId="21" xfId="0" applyNumberFormat="1" applyFont="1" applyBorder="1" applyAlignment="1">
      <alignment horizontal="right" vertical="top" wrapText="1"/>
    </xf>
    <xf numFmtId="3" fontId="33" fillId="0" borderId="18" xfId="0" applyNumberFormat="1" applyFont="1" applyBorder="1" applyAlignment="1">
      <alignment horizontal="right" vertical="top" wrapText="1"/>
    </xf>
    <xf numFmtId="3" fontId="5" fillId="0" borderId="41" xfId="0" applyNumberFormat="1" applyFont="1" applyBorder="1" applyAlignment="1">
      <alignment horizontal="right" vertical="top" wrapText="1"/>
    </xf>
    <xf numFmtId="0" fontId="3" fillId="6" borderId="30" xfId="0" applyFont="1" applyFill="1" applyBorder="1"/>
    <xf numFmtId="9" fontId="26" fillId="12" borderId="23" xfId="0" applyNumberFormat="1" applyFont="1" applyFill="1" applyBorder="1"/>
    <xf numFmtId="164" fontId="32" fillId="0" borderId="24" xfId="1" applyNumberFormat="1" applyFont="1" applyFill="1" applyBorder="1" applyAlignment="1">
      <alignment horizontal="right" vertical="top" wrapText="1"/>
    </xf>
    <xf numFmtId="3" fontId="33" fillId="0" borderId="13" xfId="0" applyNumberFormat="1" applyFont="1" applyBorder="1" applyAlignment="1">
      <alignment horizontal="right" vertical="center"/>
    </xf>
    <xf numFmtId="3" fontId="5" fillId="10" borderId="15" xfId="0" applyNumberFormat="1" applyFont="1" applyFill="1" applyBorder="1" applyAlignment="1">
      <alignment horizontal="right" vertical="center"/>
    </xf>
    <xf numFmtId="3" fontId="5" fillId="0" borderId="15" xfId="0" applyNumberFormat="1" applyFont="1" applyBorder="1" applyAlignment="1">
      <alignment horizontal="right" vertical="center"/>
    </xf>
    <xf numFmtId="9" fontId="26" fillId="12" borderId="13" xfId="0" applyNumberFormat="1" applyFont="1" applyFill="1" applyBorder="1"/>
    <xf numFmtId="3" fontId="5" fillId="0" borderId="3" xfId="0" applyNumberFormat="1" applyFont="1" applyBorder="1" applyAlignment="1">
      <alignment horizontal="right" vertical="top" wrapText="1"/>
    </xf>
    <xf numFmtId="3" fontId="5" fillId="6" borderId="5" xfId="0" applyNumberFormat="1" applyFont="1" applyFill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9" fontId="26" fillId="12" borderId="42" xfId="0" applyNumberFormat="1" applyFont="1" applyFill="1" applyBorder="1"/>
    <xf numFmtId="0" fontId="22" fillId="0" borderId="7" xfId="1" applyNumberFormat="1" applyFont="1" applyFill="1" applyBorder="1" applyAlignment="1">
      <alignment horizontal="left"/>
    </xf>
    <xf numFmtId="3" fontId="22" fillId="0" borderId="44" xfId="0" applyNumberFormat="1" applyFont="1" applyBorder="1" applyAlignment="1">
      <alignment horizontal="right" vertical="top" wrapText="1"/>
    </xf>
    <xf numFmtId="3" fontId="5" fillId="18" borderId="11" xfId="0" applyNumberFormat="1" applyFont="1" applyFill="1" applyBorder="1" applyAlignment="1">
      <alignment horizontal="right" vertical="center"/>
    </xf>
    <xf numFmtId="3" fontId="5" fillId="0" borderId="11" xfId="0" applyNumberFormat="1" applyFont="1" applyBorder="1" applyAlignment="1">
      <alignment horizontal="right" vertical="center"/>
    </xf>
    <xf numFmtId="9" fontId="26" fillId="12" borderId="44" xfId="0" applyNumberFormat="1" applyFont="1" applyFill="1" applyBorder="1"/>
    <xf numFmtId="9" fontId="15" fillId="12" borderId="13" xfId="0" applyNumberFormat="1" applyFont="1" applyFill="1" applyBorder="1"/>
    <xf numFmtId="164" fontId="5" fillId="0" borderId="2" xfId="1" applyNumberFormat="1" applyFont="1" applyFill="1" applyBorder="1" applyAlignment="1">
      <alignment horizontal="center"/>
    </xf>
    <xf numFmtId="0" fontId="5" fillId="0" borderId="2" xfId="0" applyFont="1" applyBorder="1"/>
    <xf numFmtId="0" fontId="5" fillId="0" borderId="42" xfId="0" applyFont="1" applyBorder="1"/>
    <xf numFmtId="0" fontId="5" fillId="0" borderId="5" xfId="0" applyFont="1" applyBorder="1"/>
    <xf numFmtId="0" fontId="8" fillId="0" borderId="5" xfId="0" applyFont="1" applyBorder="1"/>
    <xf numFmtId="3" fontId="5" fillId="0" borderId="5" xfId="0" applyNumberFormat="1" applyFont="1" applyBorder="1"/>
    <xf numFmtId="3" fontId="8" fillId="0" borderId="5" xfId="0" applyNumberFormat="1" applyFont="1" applyBorder="1"/>
    <xf numFmtId="9" fontId="15" fillId="12" borderId="44" xfId="0" applyNumberFormat="1" applyFont="1" applyFill="1" applyBorder="1"/>
    <xf numFmtId="9" fontId="35" fillId="7" borderId="20" xfId="2" applyFont="1" applyFill="1" applyBorder="1" applyProtection="1">
      <protection hidden="1"/>
    </xf>
    <xf numFmtId="3" fontId="5" fillId="6" borderId="22" xfId="0" applyNumberFormat="1" applyFont="1" applyFill="1" applyBorder="1" applyAlignment="1">
      <alignment horizontal="right" vertical="center"/>
    </xf>
    <xf numFmtId="164" fontId="22" fillId="0" borderId="43" xfId="1" applyNumberFormat="1" applyFont="1" applyFill="1" applyBorder="1" applyAlignment="1">
      <alignment horizontal="right" vertical="top" wrapText="1"/>
    </xf>
    <xf numFmtId="0" fontId="5" fillId="0" borderId="3" xfId="0" applyFont="1" applyBorder="1"/>
    <xf numFmtId="3" fontId="7" fillId="5" borderId="16" xfId="0" applyNumberFormat="1" applyFont="1" applyFill="1" applyBorder="1"/>
    <xf numFmtId="3" fontId="22" fillId="7" borderId="16" xfId="0" applyNumberFormat="1" applyFont="1" applyFill="1" applyBorder="1"/>
    <xf numFmtId="3" fontId="22" fillId="7" borderId="16" xfId="0" applyNumberFormat="1" applyFont="1" applyFill="1" applyBorder="1" applyAlignment="1">
      <alignment horizontal="right" vertical="center"/>
    </xf>
    <xf numFmtId="164" fontId="29" fillId="7" borderId="16" xfId="1" applyNumberFormat="1" applyFont="1" applyFill="1" applyBorder="1"/>
    <xf numFmtId="166" fontId="3" fillId="0" borderId="27" xfId="0" applyNumberFormat="1" applyFont="1" applyBorder="1"/>
    <xf numFmtId="3" fontId="7" fillId="17" borderId="17" xfId="0" applyNumberFormat="1" applyFont="1" applyFill="1" applyBorder="1"/>
    <xf numFmtId="3" fontId="22" fillId="0" borderId="17" xfId="0" applyNumberFormat="1" applyFont="1" applyBorder="1"/>
    <xf numFmtId="3" fontId="22" fillId="0" borderId="41" xfId="0" applyNumberFormat="1" applyFont="1" applyBorder="1"/>
    <xf numFmtId="0" fontId="30" fillId="0" borderId="17" xfId="0" applyFont="1" applyBorder="1"/>
    <xf numFmtId="3" fontId="7" fillId="7" borderId="46" xfId="0" applyNumberFormat="1" applyFont="1" applyFill="1" applyBorder="1" applyAlignment="1">
      <alignment horizontal="right" vertical="center"/>
    </xf>
    <xf numFmtId="164" fontId="22" fillId="7" borderId="16" xfId="1" applyNumberFormat="1" applyFont="1" applyFill="1" applyBorder="1"/>
    <xf numFmtId="3" fontId="12" fillId="0" borderId="16" xfId="0" applyNumberFormat="1" applyFont="1" applyBorder="1" applyAlignment="1">
      <alignment horizontal="right" vertical="top" wrapText="1"/>
    </xf>
    <xf numFmtId="3" fontId="22" fillId="7" borderId="16" xfId="0" applyNumberFormat="1" applyFont="1" applyFill="1" applyBorder="1" applyAlignment="1">
      <alignment horizontal="right" vertical="center" wrapText="1"/>
    </xf>
    <xf numFmtId="3" fontId="22" fillId="7" borderId="16" xfId="1" applyNumberFormat="1" applyFont="1" applyFill="1" applyBorder="1" applyAlignment="1">
      <alignment horizontal="right"/>
    </xf>
    <xf numFmtId="3" fontId="22" fillId="7" borderId="16" xfId="1" applyNumberFormat="1" applyFont="1" applyFill="1" applyBorder="1"/>
    <xf numFmtId="3" fontId="10" fillId="0" borderId="16" xfId="0" applyNumberFormat="1" applyFont="1" applyBorder="1"/>
    <xf numFmtId="3" fontId="22" fillId="7" borderId="16" xfId="0" applyNumberFormat="1" applyFont="1" applyFill="1" applyBorder="1" applyAlignment="1">
      <alignment horizontal="right"/>
    </xf>
    <xf numFmtId="3" fontId="7" fillId="17" borderId="17" xfId="0" applyNumberFormat="1" applyFont="1" applyFill="1" applyBorder="1" applyAlignment="1">
      <alignment horizontal="right" vertical="center"/>
    </xf>
    <xf numFmtId="3" fontId="22" fillId="0" borderId="17" xfId="0" applyNumberFormat="1" applyFont="1" applyBorder="1" applyAlignment="1">
      <alignment horizontal="right" vertical="center"/>
    </xf>
    <xf numFmtId="3" fontId="22" fillId="7" borderId="17" xfId="0" applyNumberFormat="1" applyFont="1" applyFill="1" applyBorder="1" applyAlignment="1">
      <alignment horizontal="right" vertical="center"/>
    </xf>
    <xf numFmtId="164" fontId="22" fillId="0" borderId="17" xfId="1" applyNumberFormat="1" applyFont="1" applyBorder="1"/>
    <xf numFmtId="3" fontId="12" fillId="0" borderId="17" xfId="0" applyNumberFormat="1" applyFont="1" applyBorder="1" applyAlignment="1">
      <alignment horizontal="right" vertical="top" wrapText="1"/>
    </xf>
    <xf numFmtId="3" fontId="22" fillId="0" borderId="17" xfId="1" applyNumberFormat="1" applyFont="1" applyFill="1" applyBorder="1" applyAlignment="1">
      <alignment horizontal="right"/>
    </xf>
    <xf numFmtId="3" fontId="22" fillId="0" borderId="17" xfId="1" applyNumberFormat="1" applyFont="1" applyFill="1" applyBorder="1"/>
    <xf numFmtId="3" fontId="10" fillId="0" borderId="17" xfId="0" applyNumberFormat="1" applyFont="1" applyBorder="1"/>
    <xf numFmtId="3" fontId="22" fillId="0" borderId="17" xfId="0" applyNumberFormat="1" applyFont="1" applyBorder="1" applyAlignment="1">
      <alignment horizontal="right"/>
    </xf>
    <xf numFmtId="0" fontId="5" fillId="0" borderId="50" xfId="0" applyFont="1" applyBorder="1"/>
    <xf numFmtId="3" fontId="7" fillId="18" borderId="26" xfId="0" applyNumberFormat="1" applyFont="1" applyFill="1" applyBorder="1" applyAlignment="1">
      <alignment horizontal="right" vertical="center"/>
    </xf>
    <xf numFmtId="3" fontId="22" fillId="6" borderId="26" xfId="0" applyNumberFormat="1" applyFont="1" applyFill="1" applyBorder="1" applyAlignment="1">
      <alignment horizontal="right" vertical="top" wrapText="1"/>
    </xf>
    <xf numFmtId="3" fontId="31" fillId="18" borderId="26" xfId="0" applyNumberFormat="1" applyFont="1" applyFill="1" applyBorder="1" applyAlignment="1">
      <alignment horizontal="right" vertical="top" wrapText="1"/>
    </xf>
    <xf numFmtId="3" fontId="22" fillId="8" borderId="26" xfId="0" applyNumberFormat="1" applyFont="1" applyFill="1" applyBorder="1" applyAlignment="1">
      <alignment horizontal="right" vertical="top" wrapText="1"/>
    </xf>
    <xf numFmtId="3" fontId="31" fillId="6" borderId="26" xfId="0" applyNumberFormat="1" applyFont="1" applyFill="1" applyBorder="1" applyAlignment="1">
      <alignment horizontal="right" vertical="top" wrapText="1"/>
    </xf>
    <xf numFmtId="164" fontId="22" fillId="18" borderId="26" xfId="1" applyNumberFormat="1" applyFont="1" applyFill="1" applyBorder="1" applyAlignment="1">
      <alignment horizontal="right" vertical="top" wrapText="1"/>
    </xf>
    <xf numFmtId="164" fontId="22" fillId="18" borderId="51" xfId="1" applyNumberFormat="1" applyFont="1" applyFill="1" applyBorder="1" applyAlignment="1">
      <alignment horizontal="right" vertical="top" wrapText="1"/>
    </xf>
    <xf numFmtId="164" fontId="3" fillId="0" borderId="26" xfId="0" applyNumberFormat="1" applyFont="1" applyBorder="1"/>
    <xf numFmtId="3" fontId="7" fillId="6" borderId="26" xfId="0" applyNumberFormat="1" applyFont="1" applyFill="1" applyBorder="1" applyAlignment="1">
      <alignment horizontal="right" vertical="center"/>
    </xf>
    <xf numFmtId="3" fontId="22" fillId="6" borderId="26" xfId="0" applyNumberFormat="1" applyFont="1" applyFill="1" applyBorder="1" applyAlignment="1">
      <alignment horizontal="right" vertical="center"/>
    </xf>
    <xf numFmtId="164" fontId="22" fillId="6" borderId="26" xfId="1" applyNumberFormat="1" applyFont="1" applyFill="1" applyBorder="1" applyAlignment="1">
      <alignment horizontal="right"/>
    </xf>
    <xf numFmtId="3" fontId="5" fillId="6" borderId="26" xfId="0" applyNumberFormat="1" applyFont="1" applyFill="1" applyBorder="1" applyAlignment="1">
      <alignment horizontal="right" vertical="top" wrapText="1"/>
    </xf>
    <xf numFmtId="3" fontId="5" fillId="0" borderId="26" xfId="0" applyNumberFormat="1" applyFont="1" applyBorder="1" applyAlignment="1">
      <alignment horizontal="right" vertical="top" wrapText="1"/>
    </xf>
    <xf numFmtId="3" fontId="22" fillId="6" borderId="26" xfId="0" applyNumberFormat="1" applyFont="1" applyFill="1" applyBorder="1" applyAlignment="1">
      <alignment horizontal="right" vertical="center" wrapText="1"/>
    </xf>
    <xf numFmtId="3" fontId="22" fillId="6" borderId="26" xfId="1" applyNumberFormat="1" applyFont="1" applyFill="1" applyBorder="1" applyAlignment="1">
      <alignment horizontal="right"/>
    </xf>
    <xf numFmtId="3" fontId="22" fillId="6" borderId="26" xfId="1" applyNumberFormat="1" applyFont="1" applyFill="1" applyBorder="1"/>
    <xf numFmtId="3" fontId="22" fillId="6" borderId="26" xfId="0" applyNumberFormat="1" applyFont="1" applyFill="1" applyBorder="1"/>
    <xf numFmtId="3" fontId="8" fillId="0" borderId="26" xfId="1" applyNumberFormat="1" applyFont="1" applyFill="1" applyBorder="1"/>
    <xf numFmtId="3" fontId="22" fillId="6" borderId="26" xfId="0" applyNumberFormat="1" applyFont="1" applyFill="1" applyBorder="1" applyAlignment="1">
      <alignment horizontal="right"/>
    </xf>
    <xf numFmtId="164" fontId="8" fillId="0" borderId="26" xfId="1" applyNumberFormat="1" applyFont="1" applyBorder="1"/>
    <xf numFmtId="43" fontId="3" fillId="0" borderId="26" xfId="1" applyFont="1" applyBorder="1"/>
    <xf numFmtId="3" fontId="7" fillId="6" borderId="26" xfId="0" applyNumberFormat="1" applyFont="1" applyFill="1" applyBorder="1"/>
    <xf numFmtId="3" fontId="22" fillId="9" borderId="26" xfId="0" applyNumberFormat="1" applyFont="1" applyFill="1" applyBorder="1"/>
    <xf numFmtId="3" fontId="22" fillId="9" borderId="26" xfId="0" applyNumberFormat="1" applyFont="1" applyFill="1" applyBorder="1" applyAlignment="1">
      <alignment horizontal="right" vertical="top" wrapText="1"/>
    </xf>
    <xf numFmtId="3" fontId="28" fillId="9" borderId="26" xfId="0" applyNumberFormat="1" applyFont="1" applyFill="1" applyBorder="1" applyAlignment="1">
      <alignment horizontal="right" vertical="center"/>
    </xf>
    <xf numFmtId="3" fontId="22" fillId="9" borderId="53" xfId="0" applyNumberFormat="1" applyFont="1" applyFill="1" applyBorder="1"/>
    <xf numFmtId="166" fontId="3" fillId="0" borderId="53" xfId="0" applyNumberFormat="1" applyFont="1" applyBorder="1"/>
    <xf numFmtId="0" fontId="5" fillId="0" borderId="55" xfId="0" applyFont="1" applyBorder="1"/>
    <xf numFmtId="3" fontId="8" fillId="0" borderId="3" xfId="0" applyNumberFormat="1" applyFont="1" applyBorder="1"/>
    <xf numFmtId="3" fontId="7" fillId="6" borderId="21" xfId="0" applyNumberFormat="1" applyFont="1" applyFill="1" applyBorder="1" applyAlignment="1">
      <alignment horizontal="right" vertical="center"/>
    </xf>
    <xf numFmtId="3" fontId="7" fillId="7" borderId="17" xfId="0" applyNumberFormat="1" applyFont="1" applyFill="1" applyBorder="1" applyAlignment="1">
      <alignment horizontal="right" vertical="center"/>
    </xf>
    <xf numFmtId="3" fontId="22" fillId="6" borderId="21" xfId="0" applyNumberFormat="1" applyFont="1" applyFill="1" applyBorder="1" applyAlignment="1">
      <alignment horizontal="right" vertical="center"/>
    </xf>
    <xf numFmtId="0" fontId="3" fillId="0" borderId="17" xfId="0" applyFont="1" applyBorder="1"/>
    <xf numFmtId="3" fontId="5" fillId="0" borderId="17" xfId="0" applyNumberFormat="1" applyFont="1" applyBorder="1" applyAlignment="1">
      <alignment horizontal="right" vertical="center"/>
    </xf>
    <xf numFmtId="164" fontId="5" fillId="0" borderId="17" xfId="1" applyNumberFormat="1" applyFont="1" applyBorder="1" applyAlignment="1">
      <alignment horizontal="right"/>
    </xf>
    <xf numFmtId="3" fontId="31" fillId="6" borderId="21" xfId="0" applyNumberFormat="1" applyFont="1" applyFill="1" applyBorder="1" applyAlignment="1">
      <alignment horizontal="right" vertical="center"/>
    </xf>
    <xf numFmtId="3" fontId="23" fillId="0" borderId="17" xfId="0" applyNumberFormat="1" applyFont="1" applyBorder="1" applyAlignment="1">
      <alignment horizontal="right" vertical="center"/>
    </xf>
    <xf numFmtId="3" fontId="22" fillId="6" borderId="43" xfId="0" applyNumberFormat="1" applyFont="1" applyFill="1" applyBorder="1" applyAlignment="1">
      <alignment horizontal="right" vertical="center"/>
    </xf>
    <xf numFmtId="3" fontId="5" fillId="0" borderId="8" xfId="0" applyNumberFormat="1" applyFont="1" applyBorder="1" applyAlignment="1">
      <alignment horizontal="right" vertical="center"/>
    </xf>
    <xf numFmtId="3" fontId="5" fillId="0" borderId="47" xfId="0" applyNumberFormat="1" applyFont="1" applyBorder="1" applyAlignment="1">
      <alignment horizontal="right" vertical="center"/>
    </xf>
    <xf numFmtId="0" fontId="3" fillId="0" borderId="21" xfId="0" applyFont="1" applyBorder="1"/>
    <xf numFmtId="3" fontId="5" fillId="6" borderId="21" xfId="0" applyNumberFormat="1" applyFont="1" applyFill="1" applyBorder="1" applyAlignment="1">
      <alignment horizontal="right" vertical="center"/>
    </xf>
    <xf numFmtId="3" fontId="5" fillId="0" borderId="21" xfId="0" applyNumberFormat="1" applyFont="1" applyBorder="1" applyAlignment="1">
      <alignment horizontal="right" vertical="center"/>
    </xf>
    <xf numFmtId="3" fontId="5" fillId="0" borderId="17" xfId="0" applyNumberFormat="1" applyFont="1" applyBorder="1"/>
    <xf numFmtId="3" fontId="5" fillId="0" borderId="17" xfId="1" applyNumberFormat="1" applyFont="1" applyFill="1" applyBorder="1" applyAlignment="1">
      <alignment horizontal="right" vertical="center"/>
    </xf>
    <xf numFmtId="3" fontId="22" fillId="0" borderId="17" xfId="1" applyNumberFormat="1" applyFont="1" applyFill="1" applyBorder="1" applyAlignment="1">
      <alignment horizontal="right" vertical="center"/>
    </xf>
    <xf numFmtId="0" fontId="3" fillId="8" borderId="0" xfId="0" applyFont="1" applyFill="1"/>
    <xf numFmtId="0" fontId="3" fillId="6" borderId="0" xfId="0" applyFont="1" applyFill="1"/>
    <xf numFmtId="0" fontId="24" fillId="6" borderId="0" xfId="0" applyFont="1" applyFill="1"/>
    <xf numFmtId="3" fontId="8" fillId="0" borderId="21" xfId="1" applyNumberFormat="1" applyFont="1" applyFill="1" applyBorder="1"/>
    <xf numFmtId="3" fontId="8" fillId="0" borderId="17" xfId="1" applyNumberFormat="1" applyFont="1" applyFill="1" applyBorder="1"/>
    <xf numFmtId="3" fontId="8" fillId="0" borderId="17" xfId="0" applyNumberFormat="1" applyFont="1" applyBorder="1" applyAlignment="1">
      <alignment horizontal="right" vertical="center"/>
    </xf>
    <xf numFmtId="4" fontId="5" fillId="0" borderId="21" xfId="0" applyNumberFormat="1" applyFont="1" applyBorder="1" applyAlignment="1">
      <alignment horizontal="right" vertical="center"/>
    </xf>
    <xf numFmtId="3" fontId="7" fillId="6" borderId="21" xfId="0" applyNumberFormat="1" applyFont="1" applyFill="1" applyBorder="1"/>
    <xf numFmtId="3" fontId="7" fillId="7" borderId="17" xfId="0" applyNumberFormat="1" applyFont="1" applyFill="1" applyBorder="1"/>
    <xf numFmtId="0" fontId="3" fillId="0" borderId="22" xfId="0" applyFont="1" applyBorder="1"/>
    <xf numFmtId="0" fontId="3" fillId="0" borderId="41" xfId="0" applyFont="1" applyBorder="1"/>
    <xf numFmtId="3" fontId="7" fillId="7" borderId="56" xfId="0" applyNumberFormat="1" applyFont="1" applyFill="1" applyBorder="1" applyAlignment="1">
      <alignment horizontal="right" vertical="center"/>
    </xf>
    <xf numFmtId="0" fontId="5" fillId="0" borderId="52" xfId="0" applyFont="1" applyBorder="1"/>
    <xf numFmtId="3" fontId="5" fillId="6" borderId="53" xfId="0" applyNumberFormat="1" applyFont="1" applyFill="1" applyBorder="1" applyAlignment="1">
      <alignment horizontal="right" vertical="top" wrapText="1"/>
    </xf>
    <xf numFmtId="3" fontId="5" fillId="18" borderId="50" xfId="0" applyNumberFormat="1" applyFont="1" applyFill="1" applyBorder="1" applyAlignment="1">
      <alignment horizontal="right" vertical="top" wrapText="1"/>
    </xf>
    <xf numFmtId="3" fontId="5" fillId="8" borderId="26" xfId="0" applyNumberFormat="1" applyFont="1" applyFill="1" applyBorder="1" applyAlignment="1">
      <alignment horizontal="right" vertical="top" wrapText="1"/>
    </xf>
    <xf numFmtId="164" fontId="5" fillId="18" borderId="26" xfId="1" applyNumberFormat="1" applyFont="1" applyFill="1" applyBorder="1" applyAlignment="1">
      <alignment horizontal="right" vertical="top" wrapText="1"/>
    </xf>
    <xf numFmtId="164" fontId="26" fillId="18" borderId="51" xfId="1" applyNumberFormat="1" applyFont="1" applyFill="1" applyBorder="1" applyAlignment="1">
      <alignment horizontal="right" vertical="top" wrapText="1"/>
    </xf>
    <xf numFmtId="0" fontId="3" fillId="0" borderId="26" xfId="0" applyFont="1" applyBorder="1"/>
    <xf numFmtId="164" fontId="5" fillId="6" borderId="26" xfId="1" applyNumberFormat="1" applyFont="1" applyFill="1" applyBorder="1"/>
    <xf numFmtId="3" fontId="5" fillId="6" borderId="26" xfId="0" applyNumberFormat="1" applyFont="1" applyFill="1" applyBorder="1" applyAlignment="1">
      <alignment horizontal="right" vertical="center" wrapText="1"/>
    </xf>
    <xf numFmtId="3" fontId="5" fillId="6" borderId="26" xfId="1" applyNumberFormat="1" applyFont="1" applyFill="1" applyBorder="1" applyAlignment="1">
      <alignment horizontal="right"/>
    </xf>
    <xf numFmtId="3" fontId="5" fillId="6" borderId="26" xfId="1" applyNumberFormat="1" applyFont="1" applyFill="1" applyBorder="1"/>
    <xf numFmtId="3" fontId="5" fillId="6" borderId="26" xfId="0" applyNumberFormat="1" applyFont="1" applyFill="1" applyBorder="1"/>
    <xf numFmtId="3" fontId="5" fillId="9" borderId="26" xfId="0" applyNumberFormat="1" applyFont="1" applyFill="1" applyBorder="1"/>
    <xf numFmtId="3" fontId="5" fillId="9" borderId="26" xfId="0" applyNumberFormat="1" applyFont="1" applyFill="1" applyBorder="1" applyAlignment="1">
      <alignment horizontal="right" vertical="top" wrapText="1"/>
    </xf>
    <xf numFmtId="3" fontId="7" fillId="9" borderId="26" xfId="0" applyNumberFormat="1" applyFont="1" applyFill="1" applyBorder="1" applyAlignment="1">
      <alignment horizontal="right" vertical="center"/>
    </xf>
    <xf numFmtId="3" fontId="5" fillId="9" borderId="53" xfId="0" applyNumberFormat="1" applyFont="1" applyFill="1" applyBorder="1"/>
    <xf numFmtId="0" fontId="5" fillId="0" borderId="24" xfId="0" applyFont="1" applyBorder="1"/>
    <xf numFmtId="3" fontId="8" fillId="0" borderId="47" xfId="0" applyNumberFormat="1" applyFont="1" applyBorder="1"/>
    <xf numFmtId="3" fontId="5" fillId="6" borderId="55" xfId="0" applyNumberFormat="1" applyFont="1" applyFill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9" fillId="6" borderId="21" xfId="0" applyNumberFormat="1" applyFont="1" applyFill="1" applyBorder="1" applyAlignment="1">
      <alignment horizontal="right" vertical="center"/>
    </xf>
    <xf numFmtId="164" fontId="26" fillId="18" borderId="43" xfId="1" applyNumberFormat="1" applyFont="1" applyFill="1" applyBorder="1" applyAlignment="1">
      <alignment horizontal="right" vertical="top" wrapText="1"/>
    </xf>
    <xf numFmtId="3" fontId="5" fillId="6" borderId="16" xfId="0" applyNumberFormat="1" applyFont="1" applyFill="1" applyBorder="1" applyAlignment="1">
      <alignment horizontal="right" vertical="center"/>
    </xf>
    <xf numFmtId="0" fontId="36" fillId="0" borderId="21" xfId="0" applyFont="1" applyBorder="1"/>
    <xf numFmtId="3" fontId="37" fillId="7" borderId="24" xfId="0" applyNumberFormat="1" applyFont="1" applyFill="1" applyBorder="1" applyAlignment="1">
      <alignment horizontal="right" vertical="center"/>
    </xf>
    <xf numFmtId="3" fontId="37" fillId="7" borderId="21" xfId="0" applyNumberFormat="1" applyFont="1" applyFill="1" applyBorder="1" applyAlignment="1">
      <alignment horizontal="right" vertical="center"/>
    </xf>
    <xf numFmtId="0" fontId="37" fillId="0" borderId="12" xfId="1" applyNumberFormat="1" applyFont="1" applyFill="1" applyBorder="1" applyAlignment="1">
      <alignment horizontal="left"/>
    </xf>
    <xf numFmtId="164" fontId="34" fillId="0" borderId="52" xfId="1" applyNumberFormat="1" applyFont="1" applyFill="1" applyBorder="1"/>
    <xf numFmtId="0" fontId="37" fillId="0" borderId="16" xfId="1" applyNumberFormat="1" applyFont="1" applyFill="1" applyBorder="1" applyAlignment="1">
      <alignment horizontal="left"/>
    </xf>
    <xf numFmtId="164" fontId="34" fillId="0" borderId="26" xfId="1" applyNumberFormat="1" applyFont="1" applyFill="1" applyBorder="1"/>
    <xf numFmtId="0" fontId="32" fillId="0" borderId="0" xfId="0" quotePrefix="1" applyFont="1"/>
    <xf numFmtId="3" fontId="5" fillId="0" borderId="53" xfId="0" applyNumberFormat="1" applyFont="1" applyBorder="1" applyAlignment="1">
      <alignment horizontal="right" vertical="top" wrapText="1"/>
    </xf>
    <xf numFmtId="3" fontId="5" fillId="0" borderId="50" xfId="0" applyNumberFormat="1" applyFont="1" applyBorder="1" applyAlignment="1">
      <alignment horizontal="right" vertical="top" wrapText="1"/>
    </xf>
    <xf numFmtId="3" fontId="5" fillId="7" borderId="26" xfId="0" applyNumberFormat="1" applyFont="1" applyFill="1" applyBorder="1" applyAlignment="1">
      <alignment horizontal="right" vertical="top" wrapText="1"/>
    </xf>
    <xf numFmtId="3" fontId="5" fillId="7" borderId="19" xfId="0" applyNumberFormat="1" applyFont="1" applyFill="1" applyBorder="1" applyAlignment="1">
      <alignment horizontal="right" vertical="top" wrapText="1"/>
    </xf>
    <xf numFmtId="164" fontId="5" fillId="7" borderId="19" xfId="1" applyNumberFormat="1" applyFont="1" applyFill="1" applyBorder="1" applyAlignment="1">
      <alignment horizontal="right" vertical="top" wrapText="1"/>
    </xf>
    <xf numFmtId="164" fontId="26" fillId="0" borderId="10" xfId="1" applyNumberFormat="1" applyFont="1" applyFill="1" applyBorder="1" applyAlignment="1">
      <alignment horizontal="right" vertical="top" wrapText="1"/>
    </xf>
    <xf numFmtId="164" fontId="32" fillId="0" borderId="14" xfId="1" applyNumberFormat="1" applyFont="1" applyFill="1" applyBorder="1" applyAlignment="1">
      <alignment horizontal="right" vertical="top" wrapText="1"/>
    </xf>
    <xf numFmtId="164" fontId="32" fillId="0" borderId="19" xfId="1" applyNumberFormat="1" applyFont="1" applyFill="1" applyBorder="1" applyAlignment="1">
      <alignment horizontal="right" vertical="top" wrapText="1"/>
    </xf>
    <xf numFmtId="3" fontId="32" fillId="0" borderId="19" xfId="0" applyNumberFormat="1" applyFont="1" applyBorder="1" applyAlignment="1">
      <alignment horizontal="right" vertical="top" wrapText="1"/>
    </xf>
    <xf numFmtId="3" fontId="12" fillId="0" borderId="19" xfId="0" applyNumberFormat="1" applyFont="1" applyBorder="1" applyAlignment="1">
      <alignment horizontal="right" vertical="center"/>
    </xf>
    <xf numFmtId="3" fontId="7" fillId="5" borderId="19" xfId="0" applyNumberFormat="1" applyFont="1" applyFill="1" applyBorder="1" applyAlignment="1">
      <alignment horizontal="right" vertical="center"/>
    </xf>
    <xf numFmtId="164" fontId="5" fillId="7" borderId="19" xfId="1" applyNumberFormat="1" applyFont="1" applyFill="1" applyBorder="1"/>
    <xf numFmtId="3" fontId="12" fillId="0" borderId="19" xfId="0" applyNumberFormat="1" applyFont="1" applyBorder="1" applyAlignment="1">
      <alignment horizontal="right" vertical="top" wrapText="1"/>
    </xf>
    <xf numFmtId="3" fontId="5" fillId="7" borderId="19" xfId="0" applyNumberFormat="1" applyFont="1" applyFill="1" applyBorder="1" applyAlignment="1">
      <alignment horizontal="right" vertical="center" wrapText="1"/>
    </xf>
    <xf numFmtId="3" fontId="5" fillId="7" borderId="19" xfId="1" applyNumberFormat="1" applyFont="1" applyFill="1" applyBorder="1" applyAlignment="1">
      <alignment horizontal="right"/>
    </xf>
    <xf numFmtId="3" fontId="5" fillId="7" borderId="19" xfId="1" applyNumberFormat="1" applyFont="1" applyFill="1" applyBorder="1"/>
    <xf numFmtId="3" fontId="5" fillId="7" borderId="19" xfId="0" applyNumberFormat="1" applyFont="1" applyFill="1" applyBorder="1"/>
    <xf numFmtId="3" fontId="10" fillId="0" borderId="19" xfId="0" applyNumberFormat="1" applyFont="1" applyBorder="1"/>
    <xf numFmtId="164" fontId="3" fillId="0" borderId="19" xfId="1" applyNumberFormat="1" applyFont="1" applyBorder="1"/>
    <xf numFmtId="3" fontId="7" fillId="5" borderId="19" xfId="0" applyNumberFormat="1" applyFont="1" applyFill="1" applyBorder="1"/>
    <xf numFmtId="164" fontId="13" fillId="7" borderId="19" xfId="1" applyNumberFormat="1" applyFont="1" applyFill="1" applyBorder="1"/>
    <xf numFmtId="166" fontId="3" fillId="0" borderId="29" xfId="0" applyNumberFormat="1" applyFont="1" applyBorder="1"/>
    <xf numFmtId="164" fontId="5" fillId="0" borderId="39" xfId="1" applyNumberFormat="1" applyFont="1" applyFill="1" applyBorder="1" applyAlignment="1">
      <alignment horizontal="center"/>
    </xf>
    <xf numFmtId="0" fontId="7" fillId="2" borderId="37" xfId="1" applyNumberFormat="1" applyFont="1" applyFill="1" applyBorder="1" applyAlignment="1">
      <alignment horizontal="left"/>
    </xf>
    <xf numFmtId="0" fontId="5" fillId="0" borderId="38" xfId="1" applyNumberFormat="1" applyFont="1" applyFill="1" applyBorder="1" applyAlignment="1">
      <alignment horizontal="left"/>
    </xf>
    <xf numFmtId="0" fontId="8" fillId="0" borderId="58" xfId="1" applyNumberFormat="1" applyFont="1" applyFill="1" applyBorder="1" applyAlignment="1">
      <alignment horizontal="left"/>
    </xf>
    <xf numFmtId="0" fontId="5" fillId="0" borderId="37" xfId="1" applyNumberFormat="1" applyFont="1" applyFill="1" applyBorder="1" applyAlignment="1">
      <alignment horizontal="left"/>
    </xf>
    <xf numFmtId="0" fontId="8" fillId="0" borderId="37" xfId="1" applyNumberFormat="1" applyFont="1" applyFill="1" applyBorder="1" applyAlignment="1">
      <alignment horizontal="left"/>
    </xf>
    <xf numFmtId="0" fontId="5" fillId="0" borderId="37" xfId="0" applyFont="1" applyBorder="1"/>
    <xf numFmtId="0" fontId="22" fillId="0" borderId="59" xfId="1" applyNumberFormat="1" applyFont="1" applyFill="1" applyBorder="1" applyAlignment="1">
      <alignment horizontal="left"/>
    </xf>
    <xf numFmtId="0" fontId="32" fillId="0" borderId="39" xfId="1" applyNumberFormat="1" applyFont="1" applyFill="1" applyBorder="1" applyAlignment="1">
      <alignment horizontal="left"/>
    </xf>
    <xf numFmtId="0" fontId="32" fillId="0" borderId="37" xfId="1" applyNumberFormat="1" applyFont="1" applyFill="1" applyBorder="1" applyAlignment="1">
      <alignment horizontal="left"/>
    </xf>
    <xf numFmtId="0" fontId="3" fillId="0" borderId="37" xfId="0" applyFont="1" applyBorder="1"/>
    <xf numFmtId="0" fontId="5" fillId="0" borderId="37" xfId="0" applyFont="1" applyBorder="1" applyAlignment="1">
      <alignment horizontal="left"/>
    </xf>
    <xf numFmtId="0" fontId="5" fillId="2" borderId="37" xfId="1" applyNumberFormat="1" applyFont="1" applyFill="1" applyBorder="1" applyAlignment="1">
      <alignment horizontal="left"/>
    </xf>
    <xf numFmtId="0" fontId="5" fillId="0" borderId="37" xfId="0" applyFont="1" applyBorder="1" applyAlignment="1">
      <alignment horizontal="left" vertical="center"/>
    </xf>
    <xf numFmtId="0" fontId="7" fillId="2" borderId="37" xfId="0" applyFont="1" applyFill="1" applyBorder="1"/>
    <xf numFmtId="0" fontId="5" fillId="0" borderId="38" xfId="0" applyFont="1" applyBorder="1"/>
    <xf numFmtId="0" fontId="8" fillId="0" borderId="37" xfId="0" applyFont="1" applyBorder="1"/>
    <xf numFmtId="0" fontId="7" fillId="7" borderId="60" xfId="0" applyFont="1" applyFill="1" applyBorder="1" applyAlignment="1">
      <alignment horizontal="left" vertical="center"/>
    </xf>
    <xf numFmtId="0" fontId="7" fillId="2" borderId="45" xfId="0" applyFont="1" applyFill="1" applyBorder="1" applyAlignment="1">
      <alignment horizontal="left" vertical="center"/>
    </xf>
    <xf numFmtId="0" fontId="28" fillId="4" borderId="43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 wrapText="1"/>
    </xf>
    <xf numFmtId="0" fontId="39" fillId="4" borderId="11" xfId="0" applyFont="1" applyFill="1" applyBorder="1" applyAlignment="1">
      <alignment horizontal="center" vertical="center" wrapText="1"/>
    </xf>
    <xf numFmtId="0" fontId="28" fillId="10" borderId="11" xfId="0" applyFont="1" applyFill="1" applyBorder="1" applyAlignment="1">
      <alignment horizontal="center" vertical="center" wrapText="1"/>
    </xf>
    <xf numFmtId="3" fontId="39" fillId="10" borderId="11" xfId="0" applyNumberFormat="1" applyFont="1" applyFill="1" applyBorder="1" applyAlignment="1">
      <alignment horizontal="center" vertical="center" wrapText="1"/>
    </xf>
    <xf numFmtId="3" fontId="39" fillId="10" borderId="8" xfId="0" applyNumberFormat="1" applyFont="1" applyFill="1" applyBorder="1" applyAlignment="1">
      <alignment horizontal="center" vertical="center" wrapText="1"/>
    </xf>
    <xf numFmtId="3" fontId="12" fillId="0" borderId="16" xfId="0" applyNumberFormat="1" applyFont="1" applyBorder="1" applyAlignment="1">
      <alignment horizontal="right" vertical="center"/>
    </xf>
    <xf numFmtId="164" fontId="3" fillId="0" borderId="16" xfId="1" applyNumberFormat="1" applyFont="1" applyBorder="1"/>
    <xf numFmtId="3" fontId="5" fillId="0" borderId="37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center"/>
    </xf>
    <xf numFmtId="0" fontId="24" fillId="0" borderId="0" xfId="0" applyFont="1"/>
    <xf numFmtId="0" fontId="5" fillId="0" borderId="16" xfId="1" applyNumberFormat="1" applyFont="1" applyFill="1" applyBorder="1" applyAlignment="1">
      <alignment horizontal="left"/>
    </xf>
    <xf numFmtId="3" fontId="5" fillId="0" borderId="16" xfId="0" applyNumberFormat="1" applyFont="1" applyBorder="1" applyAlignment="1">
      <alignment horizontal="right" vertical="top" wrapText="1"/>
    </xf>
    <xf numFmtId="0" fontId="8" fillId="0" borderId="16" xfId="1" applyNumberFormat="1" applyFont="1" applyFill="1" applyBorder="1" applyAlignment="1">
      <alignment horizontal="left"/>
    </xf>
    <xf numFmtId="3" fontId="5" fillId="7" borderId="16" xfId="0" applyNumberFormat="1" applyFont="1" applyFill="1" applyBorder="1" applyAlignment="1">
      <alignment horizontal="right" vertical="center"/>
    </xf>
    <xf numFmtId="164" fontId="13" fillId="7" borderId="16" xfId="1" applyNumberFormat="1" applyFont="1" applyFill="1" applyBorder="1"/>
    <xf numFmtId="164" fontId="5" fillId="7" borderId="16" xfId="1" applyNumberFormat="1" applyFont="1" applyFill="1" applyBorder="1" applyAlignment="1">
      <alignment horizontal="right" vertical="top" wrapText="1"/>
    </xf>
    <xf numFmtId="164" fontId="5" fillId="7" borderId="16" xfId="1" applyNumberFormat="1" applyFont="1" applyFill="1" applyBorder="1"/>
    <xf numFmtId="3" fontId="5" fillId="7" borderId="16" xfId="1" applyNumberFormat="1" applyFont="1" applyFill="1" applyBorder="1" applyAlignment="1">
      <alignment horizontal="right"/>
    </xf>
    <xf numFmtId="3" fontId="5" fillId="7" borderId="16" xfId="1" applyNumberFormat="1" applyFont="1" applyFill="1" applyBorder="1"/>
    <xf numFmtId="3" fontId="5" fillId="7" borderId="16" xfId="0" applyNumberFormat="1" applyFont="1" applyFill="1" applyBorder="1"/>
    <xf numFmtId="0" fontId="5" fillId="0" borderId="16" xfId="0" applyFont="1" applyBorder="1" applyAlignment="1">
      <alignment horizontal="left" vertical="center"/>
    </xf>
    <xf numFmtId="3" fontId="5" fillId="7" borderId="16" xfId="0" applyNumberFormat="1" applyFont="1" applyFill="1" applyBorder="1" applyAlignment="1">
      <alignment horizontal="right"/>
    </xf>
    <xf numFmtId="0" fontId="5" fillId="0" borderId="27" xfId="0" applyFont="1" applyBorder="1"/>
    <xf numFmtId="0" fontId="8" fillId="0" borderId="16" xfId="0" applyFont="1" applyBorder="1"/>
    <xf numFmtId="0" fontId="15" fillId="0" borderId="25" xfId="0" applyFont="1" applyBorder="1"/>
    <xf numFmtId="3" fontId="5" fillId="0" borderId="0" xfId="0" applyNumberFormat="1" applyFont="1" applyAlignment="1">
      <alignment horizontal="center"/>
    </xf>
    <xf numFmtId="0" fontId="5" fillId="0" borderId="7" xfId="1" applyNumberFormat="1" applyFont="1" applyFill="1" applyBorder="1" applyAlignment="1">
      <alignment horizontal="left"/>
    </xf>
    <xf numFmtId="164" fontId="5" fillId="0" borderId="7" xfId="1" applyNumberFormat="1" applyFont="1" applyFill="1" applyBorder="1" applyAlignment="1">
      <alignment horizontal="right" vertical="top" wrapText="1"/>
    </xf>
    <xf numFmtId="3" fontId="5" fillId="6" borderId="43" xfId="0" applyNumberFormat="1" applyFont="1" applyFill="1" applyBorder="1" applyAlignment="1">
      <alignment horizontal="right" vertical="center"/>
    </xf>
    <xf numFmtId="164" fontId="0" fillId="7" borderId="0" xfId="1" applyNumberFormat="1" applyFont="1" applyFill="1"/>
    <xf numFmtId="9" fontId="15" fillId="12" borderId="18" xfId="0" applyNumberFormat="1" applyFont="1" applyFill="1" applyBorder="1" applyAlignment="1">
      <alignment vertical="center"/>
    </xf>
    <xf numFmtId="3" fontId="17" fillId="7" borderId="32" xfId="0" applyNumberFormat="1" applyFont="1" applyFill="1" applyBorder="1" applyAlignment="1">
      <alignment horizontal="right" vertical="center"/>
    </xf>
    <xf numFmtId="164" fontId="5" fillId="0" borderId="12" xfId="1" applyNumberFormat="1" applyFont="1" applyFill="1" applyBorder="1" applyAlignment="1">
      <alignment horizontal="center"/>
    </xf>
    <xf numFmtId="0" fontId="5" fillId="0" borderId="12" xfId="0" applyFont="1" applyBorder="1"/>
    <xf numFmtId="0" fontId="5" fillId="0" borderId="63" xfId="0" applyFont="1" applyBorder="1"/>
    <xf numFmtId="3" fontId="7" fillId="17" borderId="16" xfId="0" applyNumberFormat="1" applyFont="1" applyFill="1" applyBorder="1" applyAlignment="1">
      <alignment horizontal="right" vertical="center"/>
    </xf>
    <xf numFmtId="164" fontId="6" fillId="0" borderId="16" xfId="1" applyNumberFormat="1" applyFont="1" applyFill="1" applyBorder="1" applyAlignment="1">
      <alignment horizontal="right" vertical="top" wrapText="1"/>
    </xf>
    <xf numFmtId="164" fontId="5" fillId="0" borderId="62" xfId="1" applyNumberFormat="1" applyFont="1" applyFill="1" applyBorder="1" applyAlignment="1">
      <alignment horizontal="right" vertical="top" wrapText="1"/>
    </xf>
    <xf numFmtId="3" fontId="5" fillId="0" borderId="16" xfId="0" applyNumberFormat="1" applyFont="1" applyBorder="1" applyAlignment="1">
      <alignment horizontal="right" vertical="center"/>
    </xf>
    <xf numFmtId="164" fontId="5" fillId="0" borderId="16" xfId="1" applyNumberFormat="1" applyFont="1" applyBorder="1"/>
    <xf numFmtId="3" fontId="12" fillId="0" borderId="36" xfId="0" applyNumberFormat="1" applyFont="1" applyBorder="1" applyAlignment="1">
      <alignment horizontal="right" vertical="top" wrapText="1"/>
    </xf>
    <xf numFmtId="3" fontId="5" fillId="0" borderId="16" xfId="1" applyNumberFormat="1" applyFont="1" applyFill="1" applyBorder="1" applyAlignment="1">
      <alignment horizontal="right"/>
    </xf>
    <xf numFmtId="3" fontId="5" fillId="0" borderId="16" xfId="1" applyNumberFormat="1" applyFont="1" applyFill="1" applyBorder="1"/>
    <xf numFmtId="3" fontId="5" fillId="0" borderId="16" xfId="0" applyNumberFormat="1" applyFont="1" applyBorder="1"/>
    <xf numFmtId="3" fontId="10" fillId="0" borderId="36" xfId="0" applyNumberFormat="1" applyFont="1" applyBorder="1"/>
    <xf numFmtId="3" fontId="7" fillId="17" borderId="36" xfId="0" applyNumberFormat="1" applyFont="1" applyFill="1" applyBorder="1" applyAlignment="1">
      <alignment horizontal="right" vertical="center"/>
    </xf>
    <xf numFmtId="3" fontId="5" fillId="0" borderId="36" xfId="0" applyNumberFormat="1" applyFont="1" applyBorder="1" applyAlignment="1">
      <alignment horizontal="right" vertical="top" wrapText="1"/>
    </xf>
    <xf numFmtId="3" fontId="5" fillId="0" borderId="36" xfId="0" applyNumberFormat="1" applyFont="1" applyBorder="1"/>
    <xf numFmtId="3" fontId="7" fillId="17" borderId="36" xfId="0" applyNumberFormat="1" applyFont="1" applyFill="1" applyBorder="1"/>
    <xf numFmtId="0" fontId="14" fillId="0" borderId="36" xfId="0" applyFont="1" applyBorder="1"/>
    <xf numFmtId="3" fontId="7" fillId="0" borderId="36" xfId="0" applyNumberFormat="1" applyFont="1" applyBorder="1" applyAlignment="1">
      <alignment horizontal="right" vertical="center"/>
    </xf>
    <xf numFmtId="0" fontId="5" fillId="0" borderId="39" xfId="0" applyFont="1" applyBorder="1"/>
    <xf numFmtId="3" fontId="7" fillId="18" borderId="37" xfId="0" applyNumberFormat="1" applyFont="1" applyFill="1" applyBorder="1" applyAlignment="1">
      <alignment horizontal="right" vertical="center"/>
    </xf>
    <xf numFmtId="3" fontId="5" fillId="6" borderId="37" xfId="0" applyNumberFormat="1" applyFont="1" applyFill="1" applyBorder="1" applyAlignment="1">
      <alignment horizontal="right" vertical="top" wrapText="1"/>
    </xf>
    <xf numFmtId="3" fontId="5" fillId="18" borderId="37" xfId="0" applyNumberFormat="1" applyFont="1" applyFill="1" applyBorder="1" applyAlignment="1">
      <alignment horizontal="right" vertical="top" wrapText="1"/>
    </xf>
    <xf numFmtId="3" fontId="5" fillId="8" borderId="37" xfId="0" applyNumberFormat="1" applyFont="1" applyFill="1" applyBorder="1" applyAlignment="1">
      <alignment horizontal="right" vertical="top" wrapText="1"/>
    </xf>
    <xf numFmtId="164" fontId="5" fillId="18" borderId="37" xfId="1" applyNumberFormat="1" applyFont="1" applyFill="1" applyBorder="1" applyAlignment="1">
      <alignment horizontal="right" vertical="top" wrapText="1"/>
    </xf>
    <xf numFmtId="164" fontId="5" fillId="18" borderId="59" xfId="1" applyNumberFormat="1" applyFont="1" applyFill="1" applyBorder="1" applyAlignment="1">
      <alignment horizontal="right" vertical="top" wrapText="1"/>
    </xf>
    <xf numFmtId="164" fontId="3" fillId="0" borderId="37" xfId="0" applyNumberFormat="1" applyFont="1" applyBorder="1"/>
    <xf numFmtId="3" fontId="7" fillId="6" borderId="37" xfId="0" applyNumberFormat="1" applyFont="1" applyFill="1" applyBorder="1" applyAlignment="1">
      <alignment horizontal="right" vertical="center"/>
    </xf>
    <xf numFmtId="3" fontId="5" fillId="6" borderId="37" xfId="0" applyNumberFormat="1" applyFont="1" applyFill="1" applyBorder="1" applyAlignment="1">
      <alignment horizontal="right" vertical="center"/>
    </xf>
    <xf numFmtId="164" fontId="5" fillId="6" borderId="37" xfId="1" applyNumberFormat="1" applyFont="1" applyFill="1" applyBorder="1" applyAlignment="1">
      <alignment horizontal="right"/>
    </xf>
    <xf numFmtId="3" fontId="5" fillId="6" borderId="37" xfId="0" applyNumberFormat="1" applyFont="1" applyFill="1" applyBorder="1"/>
    <xf numFmtId="3" fontId="8" fillId="0" borderId="37" xfId="1" applyNumberFormat="1" applyFont="1" applyFill="1" applyBorder="1"/>
    <xf numFmtId="3" fontId="5" fillId="6" borderId="37" xfId="0" applyNumberFormat="1" applyFont="1" applyFill="1" applyBorder="1" applyAlignment="1">
      <alignment horizontal="right"/>
    </xf>
    <xf numFmtId="164" fontId="8" fillId="0" borderId="37" xfId="1" applyNumberFormat="1" applyFont="1" applyBorder="1"/>
    <xf numFmtId="43" fontId="3" fillId="0" borderId="37" xfId="1" applyFont="1" applyBorder="1"/>
    <xf numFmtId="3" fontId="7" fillId="6" borderId="37" xfId="0" applyNumberFormat="1" applyFont="1" applyFill="1" applyBorder="1"/>
    <xf numFmtId="3" fontId="5" fillId="9" borderId="37" xfId="0" applyNumberFormat="1" applyFont="1" applyFill="1" applyBorder="1"/>
    <xf numFmtId="3" fontId="5" fillId="9" borderId="37" xfId="0" applyNumberFormat="1" applyFont="1" applyFill="1" applyBorder="1" applyAlignment="1">
      <alignment horizontal="right" vertical="top" wrapText="1"/>
    </xf>
    <xf numFmtId="3" fontId="5" fillId="9" borderId="37" xfId="0" applyNumberFormat="1" applyFont="1" applyFill="1" applyBorder="1" applyAlignment="1">
      <alignment horizontal="right" vertical="center"/>
    </xf>
    <xf numFmtId="3" fontId="5" fillId="9" borderId="38" xfId="0" applyNumberFormat="1" applyFont="1" applyFill="1" applyBorder="1"/>
    <xf numFmtId="166" fontId="3" fillId="0" borderId="38" xfId="0" applyNumberFormat="1" applyFont="1" applyBorder="1"/>
    <xf numFmtId="3" fontId="5" fillId="6" borderId="37" xfId="1" applyNumberFormat="1" applyFont="1" applyFill="1" applyBorder="1" applyAlignment="1">
      <alignment horizontal="right"/>
    </xf>
    <xf numFmtId="3" fontId="5" fillId="6" borderId="37" xfId="1" applyNumberFormat="1" applyFont="1" applyFill="1" applyBorder="1"/>
    <xf numFmtId="3" fontId="3" fillId="0" borderId="22" xfId="0" applyNumberFormat="1" applyFont="1" applyBorder="1"/>
    <xf numFmtId="9" fontId="40" fillId="12" borderId="18" xfId="0" applyNumberFormat="1" applyFont="1" applyFill="1" applyBorder="1"/>
    <xf numFmtId="164" fontId="11" fillId="0" borderId="12" xfId="1" applyNumberFormat="1" applyFont="1" applyFill="1" applyBorder="1" applyAlignment="1">
      <alignment horizontal="right" vertical="top" wrapText="1"/>
    </xf>
    <xf numFmtId="164" fontId="11" fillId="0" borderId="16" xfId="1" applyNumberFormat="1" applyFont="1" applyFill="1" applyBorder="1" applyAlignment="1">
      <alignment horizontal="right" vertical="top" wrapText="1"/>
    </xf>
    <xf numFmtId="164" fontId="11" fillId="0" borderId="21" xfId="1" applyNumberFormat="1" applyFont="1" applyFill="1" applyBorder="1" applyAlignment="1">
      <alignment horizontal="right" vertical="top" wrapText="1"/>
    </xf>
    <xf numFmtId="3" fontId="11" fillId="0" borderId="16" xfId="0" applyNumberFormat="1" applyFont="1" applyBorder="1" applyAlignment="1">
      <alignment horizontal="right" vertical="top" wrapText="1"/>
    </xf>
    <xf numFmtId="3" fontId="11" fillId="0" borderId="15" xfId="0" applyNumberFormat="1" applyFont="1" applyBorder="1" applyAlignment="1">
      <alignment horizontal="right" vertical="center"/>
    </xf>
    <xf numFmtId="3" fontId="11" fillId="0" borderId="20" xfId="0" applyNumberFormat="1" applyFont="1" applyBorder="1" applyAlignment="1">
      <alignment horizontal="right" vertical="center"/>
    </xf>
    <xf numFmtId="3" fontId="11" fillId="0" borderId="17" xfId="0" applyNumberFormat="1" applyFont="1" applyBorder="1" applyAlignment="1">
      <alignment horizontal="right" vertical="center"/>
    </xf>
    <xf numFmtId="164" fontId="41" fillId="0" borderId="39" xfId="1" applyNumberFormat="1" applyFont="1" applyFill="1" applyBorder="1"/>
    <xf numFmtId="164" fontId="41" fillId="0" borderId="37" xfId="1" applyNumberFormat="1" applyFont="1" applyFill="1" applyBorder="1"/>
    <xf numFmtId="164" fontId="42" fillId="7" borderId="52" xfId="1" applyNumberFormat="1" applyFont="1" applyFill="1" applyBorder="1"/>
    <xf numFmtId="164" fontId="42" fillId="7" borderId="26" xfId="1" applyNumberFormat="1" applyFont="1" applyFill="1" applyBorder="1"/>
    <xf numFmtId="3" fontId="5" fillId="7" borderId="16" xfId="0" applyNumberFormat="1" applyFont="1" applyFill="1" applyBorder="1" applyAlignment="1">
      <alignment horizontal="right" vertical="center" wrapText="1"/>
    </xf>
    <xf numFmtId="3" fontId="5" fillId="0" borderId="16" xfId="0" applyNumberFormat="1" applyFont="1" applyBorder="1" applyAlignment="1">
      <alignment horizontal="right" vertical="center" wrapText="1"/>
    </xf>
    <xf numFmtId="3" fontId="5" fillId="6" borderId="37" xfId="0" applyNumberFormat="1" applyFont="1" applyFill="1" applyBorder="1" applyAlignment="1">
      <alignment horizontal="right" vertical="center" wrapText="1"/>
    </xf>
    <xf numFmtId="0" fontId="43" fillId="0" borderId="0" xfId="0" applyFont="1" applyAlignment="1">
      <alignment vertical="center"/>
    </xf>
    <xf numFmtId="9" fontId="8" fillId="12" borderId="18" xfId="0" applyNumberFormat="1" applyFont="1" applyFill="1" applyBorder="1"/>
    <xf numFmtId="9" fontId="8" fillId="12" borderId="44" xfId="0" applyNumberFormat="1" applyFont="1" applyFill="1" applyBorder="1"/>
    <xf numFmtId="164" fontId="32" fillId="0" borderId="0" xfId="1" applyNumberFormat="1" applyFont="1" applyFill="1" applyBorder="1" applyAlignment="1">
      <alignment horizontal="right" vertical="top" wrapText="1"/>
    </xf>
    <xf numFmtId="3" fontId="44" fillId="0" borderId="16" xfId="0" applyNumberFormat="1" applyFont="1" applyBorder="1" applyAlignment="1">
      <alignment horizontal="right" vertical="center"/>
    </xf>
    <xf numFmtId="0" fontId="45" fillId="0" borderId="16" xfId="0" applyFont="1" applyBorder="1"/>
    <xf numFmtId="164" fontId="45" fillId="0" borderId="21" xfId="1" applyNumberFormat="1" applyFont="1" applyBorder="1"/>
    <xf numFmtId="3" fontId="32" fillId="0" borderId="0" xfId="0" applyNumberFormat="1" applyFont="1" applyAlignment="1">
      <alignment horizontal="right" vertical="top" wrapText="1"/>
    </xf>
    <xf numFmtId="3" fontId="10" fillId="0" borderId="16" xfId="0" applyNumberFormat="1" applyFont="1" applyBorder="1" applyAlignment="1">
      <alignment horizontal="right" vertical="top" wrapText="1"/>
    </xf>
    <xf numFmtId="3" fontId="5" fillId="9" borderId="20" xfId="0" applyNumberFormat="1" applyFont="1" applyFill="1" applyBorder="1" applyAlignment="1">
      <alignment horizontal="right" vertical="center"/>
    </xf>
    <xf numFmtId="0" fontId="5" fillId="7" borderId="25" xfId="0" applyFont="1" applyFill="1" applyBorder="1" applyAlignment="1">
      <alignment horizontal="left" vertical="center"/>
    </xf>
    <xf numFmtId="164" fontId="3" fillId="0" borderId="20" xfId="2" applyNumberFormat="1" applyFont="1" applyBorder="1"/>
    <xf numFmtId="164" fontId="3" fillId="16" borderId="20" xfId="2" applyNumberFormat="1" applyFont="1" applyFill="1" applyBorder="1"/>
    <xf numFmtId="168" fontId="8" fillId="0" borderId="20" xfId="1" applyNumberFormat="1" applyFont="1" applyBorder="1"/>
    <xf numFmtId="9" fontId="8" fillId="12" borderId="23" xfId="0" applyNumberFormat="1" applyFont="1" applyFill="1" applyBorder="1"/>
    <xf numFmtId="9" fontId="15" fillId="12" borderId="45" xfId="0" applyNumberFormat="1" applyFont="1" applyFill="1" applyBorder="1" applyAlignment="1">
      <alignment vertical="center"/>
    </xf>
    <xf numFmtId="0" fontId="7" fillId="4" borderId="43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3" fontId="15" fillId="10" borderId="11" xfId="0" applyNumberFormat="1" applyFont="1" applyFill="1" applyBorder="1" applyAlignment="1">
      <alignment horizontal="center" vertical="center" wrapText="1"/>
    </xf>
    <xf numFmtId="3" fontId="15" fillId="10" borderId="8" xfId="0" applyNumberFormat="1" applyFont="1" applyFill="1" applyBorder="1" applyAlignment="1">
      <alignment horizontal="center" vertical="center" wrapText="1"/>
    </xf>
    <xf numFmtId="3" fontId="46" fillId="0" borderId="16" xfId="0" applyNumberFormat="1" applyFont="1" applyBorder="1" applyAlignment="1">
      <alignment horizontal="right" vertical="center"/>
    </xf>
    <xf numFmtId="0" fontId="46" fillId="0" borderId="12" xfId="1" applyNumberFormat="1" applyFont="1" applyFill="1" applyBorder="1" applyAlignment="1">
      <alignment horizontal="left"/>
    </xf>
    <xf numFmtId="164" fontId="47" fillId="0" borderId="12" xfId="1" applyNumberFormat="1" applyFont="1" applyFill="1" applyBorder="1" applyAlignment="1">
      <alignment horizontal="right" vertical="top" wrapText="1"/>
    </xf>
    <xf numFmtId="3" fontId="46" fillId="7" borderId="24" xfId="0" applyNumberFormat="1" applyFont="1" applyFill="1" applyBorder="1" applyAlignment="1">
      <alignment horizontal="right" vertical="center"/>
    </xf>
    <xf numFmtId="0" fontId="46" fillId="0" borderId="16" xfId="1" applyNumberFormat="1" applyFont="1" applyFill="1" applyBorder="1" applyAlignment="1">
      <alignment horizontal="left"/>
    </xf>
    <xf numFmtId="164" fontId="47" fillId="0" borderId="16" xfId="1" applyNumberFormat="1" applyFont="1" applyFill="1" applyBorder="1" applyAlignment="1">
      <alignment horizontal="right" vertical="top" wrapText="1"/>
    </xf>
    <xf numFmtId="3" fontId="46" fillId="7" borderId="21" xfId="0" applyNumberFormat="1" applyFont="1" applyFill="1" applyBorder="1" applyAlignment="1">
      <alignment horizontal="right" vertical="center"/>
    </xf>
    <xf numFmtId="3" fontId="47" fillId="0" borderId="16" xfId="0" applyNumberFormat="1" applyFont="1" applyBorder="1" applyAlignment="1">
      <alignment horizontal="right" vertical="top" wrapText="1"/>
    </xf>
    <xf numFmtId="0" fontId="49" fillId="0" borderId="16" xfId="0" applyFont="1" applyBorder="1"/>
    <xf numFmtId="164" fontId="49" fillId="0" borderId="21" xfId="1" applyNumberFormat="1" applyFont="1" applyBorder="1"/>
    <xf numFmtId="3" fontId="3" fillId="0" borderId="0" xfId="0" applyNumberFormat="1" applyFont="1"/>
    <xf numFmtId="3" fontId="12" fillId="6" borderId="21" xfId="0" applyNumberFormat="1" applyFont="1" applyFill="1" applyBorder="1" applyAlignment="1">
      <alignment horizontal="right" vertical="center"/>
    </xf>
    <xf numFmtId="3" fontId="10" fillId="0" borderId="0" xfId="0" applyNumberFormat="1" applyFont="1" applyAlignment="1">
      <alignment horizontal="center"/>
    </xf>
    <xf numFmtId="3" fontId="12" fillId="6" borderId="26" xfId="0" applyNumberFormat="1" applyFont="1" applyFill="1" applyBorder="1" applyAlignment="1">
      <alignment horizontal="right" vertical="top" wrapText="1"/>
    </xf>
    <xf numFmtId="164" fontId="18" fillId="6" borderId="20" xfId="1" applyNumberFormat="1" applyFont="1" applyFill="1" applyBorder="1"/>
    <xf numFmtId="0" fontId="18" fillId="6" borderId="20" xfId="0" applyFont="1" applyFill="1" applyBorder="1"/>
    <xf numFmtId="164" fontId="2" fillId="7" borderId="0" xfId="1" applyNumberFormat="1" applyFont="1" applyFill="1"/>
    <xf numFmtId="164" fontId="8" fillId="0" borderId="12" xfId="1" applyNumberFormat="1" applyFont="1" applyFill="1" applyBorder="1" applyAlignment="1">
      <alignment horizontal="right" vertical="top" wrapText="1"/>
    </xf>
    <xf numFmtId="164" fontId="8" fillId="0" borderId="16" xfId="1" applyNumberFormat="1" applyFont="1" applyFill="1" applyBorder="1" applyAlignment="1">
      <alignment horizontal="right" vertical="top" wrapText="1"/>
    </xf>
    <xf numFmtId="164" fontId="8" fillId="0" borderId="0" xfId="1" applyNumberFormat="1" applyFont="1" applyFill="1" applyBorder="1" applyAlignment="1">
      <alignment horizontal="right" vertical="top" wrapText="1"/>
    </xf>
    <xf numFmtId="3" fontId="8" fillId="0" borderId="16" xfId="0" applyNumberFormat="1" applyFont="1" applyBorder="1" applyAlignment="1">
      <alignment horizontal="right" vertical="top" wrapText="1"/>
    </xf>
    <xf numFmtId="0" fontId="19" fillId="0" borderId="16" xfId="0" applyFont="1" applyBorder="1"/>
    <xf numFmtId="3" fontId="7" fillId="0" borderId="16" xfId="0" applyNumberFormat="1" applyFont="1" applyBorder="1" applyAlignment="1">
      <alignment horizontal="right" vertical="center"/>
    </xf>
    <xf numFmtId="164" fontId="19" fillId="0" borderId="21" xfId="1" applyNumberFormat="1" applyFont="1" applyBorder="1"/>
    <xf numFmtId="3" fontId="8" fillId="0" borderId="0" xfId="0" applyNumberFormat="1" applyFont="1" applyAlignment="1">
      <alignment horizontal="right" vertical="top" wrapText="1"/>
    </xf>
    <xf numFmtId="164" fontId="3" fillId="7" borderId="0" xfId="1" applyNumberFormat="1" applyFont="1" applyFill="1"/>
    <xf numFmtId="3" fontId="5" fillId="0" borderId="36" xfId="0" applyNumberFormat="1" applyFont="1" applyBorder="1" applyAlignment="1">
      <alignment horizontal="right" vertical="center"/>
    </xf>
    <xf numFmtId="3" fontId="5" fillId="18" borderId="21" xfId="0" applyNumberFormat="1" applyFont="1" applyFill="1" applyBorder="1" applyAlignment="1">
      <alignment horizontal="right" vertical="center"/>
    </xf>
    <xf numFmtId="169" fontId="5" fillId="0" borderId="21" xfId="0" applyNumberFormat="1" applyFont="1" applyBorder="1" applyAlignment="1">
      <alignment horizontal="right" vertical="center"/>
    </xf>
    <xf numFmtId="0" fontId="5" fillId="0" borderId="63" xfId="0" applyFont="1" applyBorder="1" applyAlignment="1">
      <alignment vertical="center" wrapText="1"/>
    </xf>
    <xf numFmtId="164" fontId="5" fillId="0" borderId="36" xfId="1" applyNumberFormat="1" applyFont="1" applyFill="1" applyBorder="1" applyAlignment="1">
      <alignment horizontal="right" vertical="top" wrapText="1"/>
    </xf>
    <xf numFmtId="164" fontId="8" fillId="0" borderId="63" xfId="1" applyNumberFormat="1" applyFont="1" applyFill="1" applyBorder="1" applyAlignment="1">
      <alignment horizontal="right" vertical="top" wrapText="1"/>
    </xf>
    <xf numFmtId="164" fontId="8" fillId="0" borderId="36" xfId="1" applyNumberFormat="1" applyFont="1" applyFill="1" applyBorder="1" applyAlignment="1">
      <alignment horizontal="right" vertical="top" wrapText="1"/>
    </xf>
    <xf numFmtId="3" fontId="7" fillId="7" borderId="36" xfId="0" applyNumberFormat="1" applyFont="1" applyFill="1" applyBorder="1" applyAlignment="1">
      <alignment horizontal="right" vertical="center"/>
    </xf>
    <xf numFmtId="3" fontId="5" fillId="7" borderId="36" xfId="0" applyNumberFormat="1" applyFont="1" applyFill="1" applyBorder="1" applyAlignment="1">
      <alignment horizontal="right" vertical="center"/>
    </xf>
    <xf numFmtId="164" fontId="5" fillId="0" borderId="36" xfId="1" applyNumberFormat="1" applyFont="1" applyBorder="1"/>
    <xf numFmtId="3" fontId="5" fillId="0" borderId="36" xfId="0" applyNumberFormat="1" applyFont="1" applyBorder="1" applyAlignment="1">
      <alignment horizontal="right" vertical="center" wrapText="1"/>
    </xf>
    <xf numFmtId="3" fontId="5" fillId="0" borderId="36" xfId="1" applyNumberFormat="1" applyFont="1" applyFill="1" applyBorder="1" applyAlignment="1">
      <alignment horizontal="right"/>
    </xf>
    <xf numFmtId="3" fontId="5" fillId="0" borderId="36" xfId="1" applyNumberFormat="1" applyFont="1" applyFill="1" applyBorder="1"/>
    <xf numFmtId="3" fontId="7" fillId="0" borderId="37" xfId="0" applyNumberFormat="1" applyFont="1" applyBorder="1" applyAlignment="1">
      <alignment horizontal="right" vertical="center"/>
    </xf>
    <xf numFmtId="164" fontId="19" fillId="0" borderId="37" xfId="1" applyNumberFormat="1" applyFont="1" applyBorder="1"/>
    <xf numFmtId="3" fontId="5" fillId="18" borderId="37" xfId="0" applyNumberFormat="1" applyFont="1" applyFill="1" applyBorder="1"/>
    <xf numFmtId="3" fontId="5" fillId="18" borderId="37" xfId="0" applyNumberFormat="1" applyFont="1" applyFill="1" applyBorder="1" applyAlignment="1">
      <alignment horizontal="right" vertical="center"/>
    </xf>
    <xf numFmtId="3" fontId="5" fillId="18" borderId="38" xfId="0" applyNumberFormat="1" applyFont="1" applyFill="1" applyBorder="1"/>
    <xf numFmtId="3" fontId="47" fillId="0" borderId="63" xfId="0" applyNumberFormat="1" applyFont="1" applyBorder="1" applyAlignment="1">
      <alignment horizontal="right" vertical="center"/>
    </xf>
    <xf numFmtId="3" fontId="47" fillId="0" borderId="36" xfId="0" applyNumberFormat="1" applyFont="1" applyBorder="1" applyAlignment="1">
      <alignment horizontal="right" vertical="center"/>
    </xf>
    <xf numFmtId="0" fontId="49" fillId="0" borderId="36" xfId="0" applyFont="1" applyBorder="1"/>
    <xf numFmtId="0" fontId="45" fillId="0" borderId="36" xfId="0" applyFont="1" applyBorder="1"/>
    <xf numFmtId="3" fontId="5" fillId="0" borderId="36" xfId="0" applyNumberFormat="1" applyFont="1" applyBorder="1" applyAlignment="1">
      <alignment horizontal="right" wrapText="1"/>
    </xf>
    <xf numFmtId="164" fontId="14" fillId="0" borderId="36" xfId="1" applyNumberFormat="1" applyFont="1" applyBorder="1"/>
    <xf numFmtId="164" fontId="48" fillId="0" borderId="39" xfId="1" applyNumberFormat="1" applyFont="1" applyFill="1" applyBorder="1"/>
    <xf numFmtId="164" fontId="48" fillId="0" borderId="37" xfId="1" applyNumberFormat="1" applyFont="1" applyFill="1" applyBorder="1"/>
    <xf numFmtId="164" fontId="49" fillId="0" borderId="37" xfId="1" applyNumberFormat="1" applyFont="1" applyBorder="1"/>
    <xf numFmtId="3" fontId="44" fillId="0" borderId="37" xfId="0" applyNumberFormat="1" applyFont="1" applyBorder="1" applyAlignment="1">
      <alignment horizontal="right" vertical="center"/>
    </xf>
    <xf numFmtId="164" fontId="45" fillId="0" borderId="37" xfId="1" applyNumberFormat="1" applyFont="1" applyBorder="1"/>
    <xf numFmtId="0" fontId="50" fillId="0" borderId="12" xfId="1" applyNumberFormat="1" applyFont="1" applyFill="1" applyBorder="1" applyAlignment="1">
      <alignment horizontal="left"/>
    </xf>
    <xf numFmtId="0" fontId="50" fillId="0" borderId="16" xfId="1" applyNumberFormat="1" applyFont="1" applyFill="1" applyBorder="1" applyAlignment="1">
      <alignment horizontal="left"/>
    </xf>
    <xf numFmtId="3" fontId="11" fillId="7" borderId="24" xfId="0" applyNumberFormat="1" applyFont="1" applyFill="1" applyBorder="1" applyAlignment="1">
      <alignment horizontal="right" vertical="center"/>
    </xf>
    <xf numFmtId="3" fontId="11" fillId="7" borderId="21" xfId="0" applyNumberFormat="1" applyFont="1" applyFill="1" applyBorder="1" applyAlignment="1">
      <alignment horizontal="right" vertical="center"/>
    </xf>
    <xf numFmtId="3" fontId="8" fillId="0" borderId="36" xfId="0" applyNumberFormat="1" applyFont="1" applyBorder="1" applyAlignment="1">
      <alignment horizontal="right" vertical="top" wrapText="1"/>
    </xf>
    <xf numFmtId="3" fontId="8" fillId="0" borderId="16" xfId="0" applyNumberFormat="1" applyFont="1" applyBorder="1" applyAlignment="1">
      <alignment horizontal="right" vertical="center"/>
    </xf>
    <xf numFmtId="3" fontId="15" fillId="7" borderId="36" xfId="0" applyNumberFormat="1" applyFont="1" applyFill="1" applyBorder="1" applyAlignment="1">
      <alignment horizontal="right" vertical="center"/>
    </xf>
    <xf numFmtId="164" fontId="41" fillId="0" borderId="37" xfId="1" applyNumberFormat="1" applyFont="1" applyBorder="1"/>
    <xf numFmtId="164" fontId="41" fillId="0" borderId="21" xfId="1" applyNumberFormat="1" applyFont="1" applyBorder="1"/>
    <xf numFmtId="0" fontId="51" fillId="0" borderId="16" xfId="0" applyFont="1" applyBorder="1"/>
    <xf numFmtId="3" fontId="10" fillId="0" borderId="0" xfId="0" applyNumberFormat="1" applyFont="1"/>
    <xf numFmtId="3" fontId="5" fillId="0" borderId="0" xfId="0" applyNumberFormat="1" applyFont="1" applyAlignment="1">
      <alignment horizontal="left" vertical="top" wrapText="1"/>
    </xf>
    <xf numFmtId="3" fontId="7" fillId="6" borderId="18" xfId="0" applyNumberFormat="1" applyFont="1" applyFill="1" applyBorder="1" applyAlignment="1">
      <alignment horizontal="right" vertical="center"/>
    </xf>
    <xf numFmtId="3" fontId="5" fillId="6" borderId="18" xfId="0" applyNumberFormat="1" applyFont="1" applyFill="1" applyBorder="1" applyAlignment="1">
      <alignment horizontal="right" vertical="top" wrapText="1"/>
    </xf>
    <xf numFmtId="3" fontId="8" fillId="0" borderId="18" xfId="1" applyNumberFormat="1" applyFont="1" applyFill="1" applyBorder="1"/>
    <xf numFmtId="43" fontId="3" fillId="0" borderId="18" xfId="1" applyFont="1" applyBorder="1"/>
    <xf numFmtId="3" fontId="7" fillId="6" borderId="18" xfId="0" applyNumberFormat="1" applyFont="1" applyFill="1" applyBorder="1"/>
    <xf numFmtId="166" fontId="3" fillId="0" borderId="23" xfId="0" applyNumberFormat="1" applyFont="1" applyBorder="1"/>
    <xf numFmtId="3" fontId="7" fillId="19" borderId="37" xfId="0" applyNumberFormat="1" applyFont="1" applyFill="1" applyBorder="1" applyAlignment="1">
      <alignment horizontal="right" vertical="center"/>
    </xf>
    <xf numFmtId="164" fontId="5" fillId="0" borderId="37" xfId="1" applyNumberFormat="1" applyFont="1" applyFill="1" applyBorder="1" applyAlignment="1">
      <alignment horizontal="right" vertical="top" wrapText="1"/>
    </xf>
    <xf numFmtId="3" fontId="5" fillId="7" borderId="37" xfId="0" applyNumberFormat="1" applyFont="1" applyFill="1" applyBorder="1" applyAlignment="1">
      <alignment horizontal="right" vertical="top" wrapText="1"/>
    </xf>
    <xf numFmtId="3" fontId="5" fillId="0" borderId="37" xfId="1" applyNumberFormat="1" applyFont="1" applyFill="1" applyBorder="1"/>
    <xf numFmtId="3" fontId="5" fillId="0" borderId="37" xfId="0" applyNumberFormat="1" applyFont="1" applyBorder="1"/>
    <xf numFmtId="164" fontId="3" fillId="0" borderId="37" xfId="1" applyNumberFormat="1" applyFont="1" applyBorder="1"/>
    <xf numFmtId="3" fontId="7" fillId="19" borderId="37" xfId="0" applyNumberFormat="1" applyFont="1" applyFill="1" applyBorder="1"/>
    <xf numFmtId="3" fontId="5" fillId="0" borderId="38" xfId="0" applyNumberFormat="1" applyFont="1" applyBorder="1"/>
    <xf numFmtId="166" fontId="3" fillId="0" borderId="0" xfId="0" applyNumberFormat="1" applyFont="1"/>
    <xf numFmtId="0" fontId="19" fillId="0" borderId="30" xfId="0" applyFont="1" applyBorder="1"/>
    <xf numFmtId="0" fontId="52" fillId="0" borderId="0" xfId="0" applyFont="1"/>
    <xf numFmtId="164" fontId="5" fillId="0" borderId="60" xfId="1" applyNumberFormat="1" applyFont="1" applyBorder="1"/>
    <xf numFmtId="3" fontId="5" fillId="7" borderId="37" xfId="0" applyNumberFormat="1" applyFont="1" applyFill="1" applyBorder="1" applyAlignment="1">
      <alignment horizontal="right" vertical="center"/>
    </xf>
    <xf numFmtId="164" fontId="5" fillId="0" borderId="37" xfId="1" applyNumberFormat="1" applyFont="1" applyBorder="1"/>
    <xf numFmtId="3" fontId="7" fillId="18" borderId="18" xfId="0" applyNumberFormat="1" applyFont="1" applyFill="1" applyBorder="1" applyAlignment="1">
      <alignment horizontal="right" vertical="center"/>
    </xf>
    <xf numFmtId="3" fontId="5" fillId="18" borderId="18" xfId="0" applyNumberFormat="1" applyFont="1" applyFill="1" applyBorder="1" applyAlignment="1">
      <alignment horizontal="right" vertical="top" wrapText="1"/>
    </xf>
    <xf numFmtId="3" fontId="5" fillId="8" borderId="18" xfId="0" applyNumberFormat="1" applyFont="1" applyFill="1" applyBorder="1" applyAlignment="1">
      <alignment horizontal="right" vertical="top" wrapText="1"/>
    </xf>
    <xf numFmtId="164" fontId="8" fillId="0" borderId="37" xfId="1" applyNumberFormat="1" applyFont="1" applyFill="1" applyBorder="1" applyAlignment="1">
      <alignment horizontal="right" vertical="top" wrapText="1"/>
    </xf>
    <xf numFmtId="3" fontId="8" fillId="0" borderId="37" xfId="0" applyNumberFormat="1" applyFont="1" applyBorder="1" applyAlignment="1">
      <alignment horizontal="right" vertical="top" wrapText="1"/>
    </xf>
    <xf numFmtId="3" fontId="8" fillId="0" borderId="37" xfId="0" applyNumberFormat="1" applyFont="1" applyBorder="1" applyAlignment="1">
      <alignment horizontal="right" vertical="center"/>
    </xf>
    <xf numFmtId="3" fontId="5" fillId="6" borderId="18" xfId="0" applyNumberFormat="1" applyFont="1" applyFill="1" applyBorder="1" applyAlignment="1">
      <alignment horizontal="right" vertical="center"/>
    </xf>
    <xf numFmtId="164" fontId="8" fillId="0" borderId="18" xfId="1" applyNumberFormat="1" applyFont="1" applyBorder="1"/>
    <xf numFmtId="3" fontId="5" fillId="18" borderId="18" xfId="0" applyNumberFormat="1" applyFont="1" applyFill="1" applyBorder="1"/>
    <xf numFmtId="3" fontId="5" fillId="18" borderId="18" xfId="0" applyNumberFormat="1" applyFont="1" applyFill="1" applyBorder="1" applyAlignment="1">
      <alignment horizontal="right" vertical="center"/>
    </xf>
    <xf numFmtId="3" fontId="5" fillId="18" borderId="23" xfId="0" applyNumberFormat="1" applyFont="1" applyFill="1" applyBorder="1"/>
    <xf numFmtId="0" fontId="5" fillId="4" borderId="4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3" fontId="8" fillId="10" borderId="11" xfId="0" applyNumberFormat="1" applyFont="1" applyFill="1" applyBorder="1" applyAlignment="1">
      <alignment horizontal="center" vertical="center" wrapText="1"/>
    </xf>
    <xf numFmtId="3" fontId="8" fillId="10" borderId="8" xfId="0" applyNumberFormat="1" applyFont="1" applyFill="1" applyBorder="1" applyAlignment="1">
      <alignment horizontal="center" vertical="center" wrapText="1"/>
    </xf>
    <xf numFmtId="3" fontId="5" fillId="0" borderId="37" xfId="0" applyNumberFormat="1" applyFont="1" applyBorder="1" applyAlignment="1">
      <alignment horizontal="right" vertical="center"/>
    </xf>
    <xf numFmtId="3" fontId="5" fillId="0" borderId="37" xfId="0" applyNumberFormat="1" applyFont="1" applyBorder="1" applyAlignment="1">
      <alignment horizontal="right" vertical="center" wrapText="1"/>
    </xf>
    <xf numFmtId="3" fontId="5" fillId="0" borderId="37" xfId="1" applyNumberFormat="1" applyFont="1" applyFill="1" applyBorder="1" applyAlignment="1">
      <alignment horizontal="right"/>
    </xf>
    <xf numFmtId="164" fontId="14" fillId="0" borderId="37" xfId="1" applyNumberFormat="1" applyFont="1" applyBorder="1"/>
    <xf numFmtId="3" fontId="10" fillId="6" borderId="37" xfId="0" applyNumberFormat="1" applyFont="1" applyFill="1" applyBorder="1" applyAlignment="1">
      <alignment horizontal="right" vertical="center"/>
    </xf>
    <xf numFmtId="3" fontId="10" fillId="6" borderId="21" xfId="0" applyNumberFormat="1" applyFont="1" applyFill="1" applyBorder="1" applyAlignment="1">
      <alignment horizontal="right" vertical="center"/>
    </xf>
    <xf numFmtId="3" fontId="16" fillId="0" borderId="0" xfId="0" applyNumberFormat="1" applyFont="1" applyAlignment="1">
      <alignment horizontal="left" vertical="top" wrapText="1"/>
    </xf>
    <xf numFmtId="164" fontId="5" fillId="18" borderId="18" xfId="1" applyNumberFormat="1" applyFont="1" applyFill="1" applyBorder="1" applyAlignment="1">
      <alignment horizontal="right" vertical="top" wrapText="1"/>
    </xf>
    <xf numFmtId="164" fontId="5" fillId="18" borderId="44" xfId="1" applyNumberFormat="1" applyFont="1" applyFill="1" applyBorder="1" applyAlignment="1">
      <alignment horizontal="right" vertical="top" wrapText="1"/>
    </xf>
    <xf numFmtId="164" fontId="5" fillId="6" borderId="18" xfId="1" applyNumberFormat="1" applyFont="1" applyFill="1" applyBorder="1" applyAlignment="1">
      <alignment horizontal="right"/>
    </xf>
    <xf numFmtId="3" fontId="5" fillId="6" borderId="18" xfId="1" applyNumberFormat="1" applyFont="1" applyFill="1" applyBorder="1"/>
    <xf numFmtId="3" fontId="5" fillId="6" borderId="18" xfId="0" applyNumberFormat="1" applyFont="1" applyFill="1" applyBorder="1"/>
    <xf numFmtId="9" fontId="19" fillId="7" borderId="20" xfId="2" applyFont="1" applyFill="1" applyBorder="1" applyProtection="1">
      <protection hidden="1"/>
    </xf>
    <xf numFmtId="0" fontId="19" fillId="0" borderId="0" xfId="0" applyFont="1"/>
    <xf numFmtId="164" fontId="8" fillId="0" borderId="39" xfId="1" applyNumberFormat="1" applyFont="1" applyFill="1" applyBorder="1" applyAlignment="1">
      <alignment horizontal="right" vertical="top" wrapText="1"/>
    </xf>
    <xf numFmtId="9" fontId="8" fillId="12" borderId="13" xfId="0" applyNumberFormat="1" applyFont="1" applyFill="1" applyBorder="1"/>
    <xf numFmtId="164" fontId="5" fillId="0" borderId="59" xfId="1" applyNumberFormat="1" applyFont="1" applyFill="1" applyBorder="1" applyAlignment="1">
      <alignment horizontal="right" vertical="top" wrapText="1"/>
    </xf>
    <xf numFmtId="0" fontId="53" fillId="0" borderId="12" xfId="1" applyNumberFormat="1" applyFont="1" applyFill="1" applyBorder="1" applyAlignment="1">
      <alignment horizontal="left"/>
    </xf>
    <xf numFmtId="164" fontId="54" fillId="0" borderId="12" xfId="1" applyNumberFormat="1" applyFont="1" applyFill="1" applyBorder="1" applyAlignment="1">
      <alignment horizontal="right" vertical="top" wrapText="1"/>
    </xf>
    <xf numFmtId="0" fontId="53" fillId="0" borderId="16" xfId="1" applyNumberFormat="1" applyFont="1" applyFill="1" applyBorder="1" applyAlignment="1">
      <alignment horizontal="left"/>
    </xf>
    <xf numFmtId="164" fontId="54" fillId="0" borderId="16" xfId="1" applyNumberFormat="1" applyFont="1" applyFill="1" applyBorder="1" applyAlignment="1">
      <alignment horizontal="right" vertical="top" wrapText="1"/>
    </xf>
    <xf numFmtId="3" fontId="54" fillId="0" borderId="16" xfId="0" applyNumberFormat="1" applyFont="1" applyBorder="1" applyAlignment="1">
      <alignment horizontal="right" vertical="top" wrapText="1"/>
    </xf>
    <xf numFmtId="0" fontId="55" fillId="0" borderId="16" xfId="0" applyFont="1" applyBorder="1"/>
    <xf numFmtId="3" fontId="54" fillId="0" borderId="16" xfId="0" applyNumberFormat="1" applyFont="1" applyBorder="1" applyAlignment="1">
      <alignment horizontal="right" vertical="center"/>
    </xf>
    <xf numFmtId="164" fontId="56" fillId="0" borderId="13" xfId="1" applyNumberFormat="1" applyFont="1" applyFill="1" applyBorder="1"/>
    <xf numFmtId="3" fontId="57" fillId="7" borderId="24" xfId="0" applyNumberFormat="1" applyFont="1" applyFill="1" applyBorder="1" applyAlignment="1">
      <alignment horizontal="right" vertical="center"/>
    </xf>
    <xf numFmtId="164" fontId="56" fillId="0" borderId="18" xfId="1" applyNumberFormat="1" applyFont="1" applyFill="1" applyBorder="1"/>
    <xf numFmtId="3" fontId="57" fillId="7" borderId="21" xfId="0" applyNumberFormat="1" applyFont="1" applyFill="1" applyBorder="1" applyAlignment="1">
      <alignment horizontal="right" vertical="center"/>
    </xf>
    <xf numFmtId="164" fontId="56" fillId="0" borderId="18" xfId="1" applyNumberFormat="1" applyFont="1" applyBorder="1"/>
    <xf numFmtId="164" fontId="56" fillId="0" borderId="21" xfId="1" applyNumberFormat="1" applyFont="1" applyBorder="1"/>
    <xf numFmtId="164" fontId="8" fillId="18" borderId="20" xfId="0" applyNumberFormat="1" applyFont="1" applyFill="1" applyBorder="1"/>
    <xf numFmtId="0" fontId="54" fillId="0" borderId="25" xfId="0" applyFont="1" applyBorder="1"/>
    <xf numFmtId="164" fontId="3" fillId="0" borderId="37" xfId="1" applyNumberFormat="1" applyFont="1" applyFill="1" applyBorder="1"/>
    <xf numFmtId="3" fontId="58" fillId="0" borderId="37" xfId="0" applyNumberFormat="1" applyFont="1" applyBorder="1" applyAlignment="1">
      <alignment horizontal="right" vertical="top" wrapText="1"/>
    </xf>
    <xf numFmtId="3" fontId="58" fillId="0" borderId="37" xfId="0" applyNumberFormat="1" applyFont="1" applyBorder="1" applyAlignment="1">
      <alignment horizontal="right" vertical="center"/>
    </xf>
    <xf numFmtId="3" fontId="58" fillId="0" borderId="37" xfId="0" applyNumberFormat="1" applyFont="1" applyBorder="1"/>
    <xf numFmtId="0" fontId="3" fillId="0" borderId="38" xfId="0" applyFont="1" applyBorder="1"/>
    <xf numFmtId="0" fontId="5" fillId="0" borderId="58" xfId="0" applyFont="1" applyBorder="1"/>
    <xf numFmtId="164" fontId="5" fillId="0" borderId="37" xfId="1" applyNumberFormat="1" applyFont="1" applyFill="1" applyBorder="1"/>
    <xf numFmtId="3" fontId="5" fillId="9" borderId="18" xfId="0" applyNumberFormat="1" applyFont="1" applyFill="1" applyBorder="1" applyAlignment="1">
      <alignment horizontal="right" vertical="top" wrapText="1"/>
    </xf>
    <xf numFmtId="164" fontId="59" fillId="0" borderId="37" xfId="1" applyNumberFormat="1" applyFont="1" applyFill="1" applyBorder="1"/>
    <xf numFmtId="0" fontId="7" fillId="0" borderId="16" xfId="0" applyFont="1" applyBorder="1"/>
    <xf numFmtId="3" fontId="5" fillId="6" borderId="18" xfId="0" applyNumberFormat="1" applyFont="1" applyFill="1" applyBorder="1" applyAlignment="1">
      <alignment horizontal="right" vertical="center" wrapText="1"/>
    </xf>
    <xf numFmtId="3" fontId="5" fillId="6" borderId="18" xfId="1" applyNumberFormat="1" applyFont="1" applyFill="1" applyBorder="1" applyAlignment="1">
      <alignment horizontal="right"/>
    </xf>
    <xf numFmtId="3" fontId="5" fillId="6" borderId="18" xfId="0" applyNumberFormat="1" applyFont="1" applyFill="1" applyBorder="1" applyAlignment="1">
      <alignment horizontal="right"/>
    </xf>
    <xf numFmtId="3" fontId="58" fillId="7" borderId="37" xfId="0" applyNumberFormat="1" applyFont="1" applyFill="1" applyBorder="1" applyAlignment="1">
      <alignment horizontal="right" vertical="top" wrapText="1"/>
    </xf>
    <xf numFmtId="3" fontId="7" fillId="17" borderId="37" xfId="0" applyNumberFormat="1" applyFont="1" applyFill="1" applyBorder="1" applyAlignment="1">
      <alignment horizontal="right" vertical="center"/>
    </xf>
    <xf numFmtId="164" fontId="13" fillId="0" borderId="0" xfId="1" applyNumberFormat="1" applyFont="1"/>
    <xf numFmtId="168" fontId="3" fillId="0" borderId="0" xfId="1" applyNumberFormat="1" applyFont="1"/>
    <xf numFmtId="164" fontId="13" fillId="6" borderId="20" xfId="0" applyNumberFormat="1" applyFont="1" applyFill="1" applyBorder="1"/>
    <xf numFmtId="164" fontId="19" fillId="0" borderId="15" xfId="0" applyNumberFormat="1" applyFont="1" applyBorder="1"/>
    <xf numFmtId="0" fontId="54" fillId="0" borderId="16" xfId="1" applyNumberFormat="1" applyFont="1" applyFill="1" applyBorder="1" applyAlignment="1">
      <alignment horizontal="left"/>
    </xf>
    <xf numFmtId="3" fontId="54" fillId="7" borderId="16" xfId="0" applyNumberFormat="1" applyFont="1" applyFill="1" applyBorder="1" applyAlignment="1">
      <alignment horizontal="right" vertical="center" wrapText="1"/>
    </xf>
    <xf numFmtId="3" fontId="54" fillId="0" borderId="37" xfId="0" applyNumberFormat="1" applyFont="1" applyBorder="1" applyAlignment="1">
      <alignment horizontal="right" vertical="center" wrapText="1"/>
    </xf>
    <xf numFmtId="3" fontId="54" fillId="6" borderId="18" xfId="0" applyNumberFormat="1" applyFont="1" applyFill="1" applyBorder="1" applyAlignment="1">
      <alignment horizontal="right" vertical="center" wrapText="1"/>
    </xf>
    <xf numFmtId="3" fontId="54" fillId="6" borderId="21" xfId="0" applyNumberFormat="1" applyFont="1" applyFill="1" applyBorder="1" applyAlignment="1">
      <alignment horizontal="right" vertical="center"/>
    </xf>
    <xf numFmtId="3" fontId="54" fillId="6" borderId="20" xfId="0" applyNumberFormat="1" applyFont="1" applyFill="1" applyBorder="1" applyAlignment="1">
      <alignment horizontal="right" vertical="center"/>
    </xf>
    <xf numFmtId="0" fontId="60" fillId="8" borderId="0" xfId="0" applyFont="1" applyFill="1"/>
    <xf numFmtId="164" fontId="54" fillId="0" borderId="39" xfId="1" applyNumberFormat="1" applyFont="1" applyFill="1" applyBorder="1" applyAlignment="1">
      <alignment horizontal="right" vertical="top" wrapText="1"/>
    </xf>
    <xf numFmtId="164" fontId="34" fillId="0" borderId="13" xfId="1" applyNumberFormat="1" applyFont="1" applyFill="1" applyBorder="1"/>
    <xf numFmtId="3" fontId="32" fillId="7" borderId="24" xfId="0" applyNumberFormat="1" applyFont="1" applyFill="1" applyBorder="1" applyAlignment="1">
      <alignment horizontal="right" vertical="center"/>
    </xf>
    <xf numFmtId="164" fontId="54" fillId="0" borderId="37" xfId="1" applyNumberFormat="1" applyFont="1" applyFill="1" applyBorder="1" applyAlignment="1">
      <alignment horizontal="right" vertical="top" wrapText="1"/>
    </xf>
    <xf numFmtId="164" fontId="34" fillId="0" borderId="18" xfId="1" applyNumberFormat="1" applyFont="1" applyFill="1" applyBorder="1"/>
    <xf numFmtId="3" fontId="32" fillId="7" borderId="21" xfId="0" applyNumberFormat="1" applyFont="1" applyFill="1" applyBorder="1" applyAlignment="1">
      <alignment horizontal="right" vertical="center"/>
    </xf>
    <xf numFmtId="3" fontId="54" fillId="0" borderId="37" xfId="0" applyNumberFormat="1" applyFont="1" applyBorder="1" applyAlignment="1">
      <alignment horizontal="right" vertical="top" wrapText="1"/>
    </xf>
    <xf numFmtId="3" fontId="61" fillId="0" borderId="31" xfId="0" applyNumberFormat="1" applyFont="1" applyBorder="1" applyAlignment="1">
      <alignment horizontal="right"/>
    </xf>
    <xf numFmtId="3" fontId="61" fillId="0" borderId="45" xfId="0" applyNumberFormat="1" applyFont="1" applyBorder="1" applyAlignment="1">
      <alignment horizontal="right"/>
    </xf>
    <xf numFmtId="3" fontId="54" fillId="0" borderId="27" xfId="0" applyNumberFormat="1" applyFont="1" applyBorder="1" applyAlignment="1">
      <alignment horizontal="right" vertical="center"/>
    </xf>
    <xf numFmtId="3" fontId="54" fillId="0" borderId="38" xfId="0" applyNumberFormat="1" applyFont="1" applyBorder="1" applyAlignment="1">
      <alignment horizontal="right" vertical="center"/>
    </xf>
    <xf numFmtId="164" fontId="34" fillId="0" borderId="23" xfId="1" applyNumberFormat="1" applyFont="1" applyBorder="1"/>
    <xf numFmtId="164" fontId="34" fillId="0" borderId="22" xfId="1" applyNumberFormat="1" applyFont="1" applyBorder="1"/>
    <xf numFmtId="3" fontId="5" fillId="0" borderId="12" xfId="0" applyNumberFormat="1" applyFont="1" applyBorder="1" applyAlignment="1">
      <alignment horizontal="right" vertical="center"/>
    </xf>
    <xf numFmtId="3" fontId="61" fillId="0" borderId="0" xfId="0" applyNumberFormat="1" applyFont="1" applyAlignment="1">
      <alignment horizontal="right"/>
    </xf>
    <xf numFmtId="9" fontId="61" fillId="12" borderId="45" xfId="0" applyNumberFormat="1" applyFont="1" applyFill="1" applyBorder="1" applyAlignment="1">
      <alignment vertical="center"/>
    </xf>
    <xf numFmtId="0" fontId="53" fillId="0" borderId="45" xfId="0" applyFont="1" applyBorder="1"/>
    <xf numFmtId="3" fontId="10" fillId="9" borderId="20" xfId="0" applyNumberFormat="1" applyFont="1" applyFill="1" applyBorder="1" applyAlignment="1">
      <alignment horizontal="right" vertical="top" wrapText="1"/>
    </xf>
    <xf numFmtId="3" fontId="10" fillId="6" borderId="19" xfId="0" applyNumberFormat="1" applyFont="1" applyFill="1" applyBorder="1" applyAlignment="1">
      <alignment horizontal="right" vertical="center"/>
    </xf>
    <xf numFmtId="3" fontId="10" fillId="0" borderId="20" xfId="0" applyNumberFormat="1" applyFont="1" applyBorder="1" applyAlignment="1">
      <alignment horizontal="right" vertical="center"/>
    </xf>
    <xf numFmtId="3" fontId="10" fillId="0" borderId="20" xfId="0" applyNumberFormat="1" applyFont="1" applyBorder="1"/>
    <xf numFmtId="9" fontId="16" fillId="12" borderId="18" xfId="0" applyNumberFormat="1" applyFont="1" applyFill="1" applyBorder="1"/>
    <xf numFmtId="3" fontId="10" fillId="6" borderId="20" xfId="0" applyNumberFormat="1" applyFont="1" applyFill="1" applyBorder="1" applyAlignment="1">
      <alignment horizontal="right" vertical="center"/>
    </xf>
    <xf numFmtId="0" fontId="5" fillId="0" borderId="17" xfId="0" applyFont="1" applyBorder="1"/>
    <xf numFmtId="3" fontId="5" fillId="0" borderId="20" xfId="0" applyNumberFormat="1" applyFont="1" applyBorder="1" applyAlignment="1">
      <alignment horizontal="right" vertical="top" wrapText="1"/>
    </xf>
    <xf numFmtId="164" fontId="5" fillId="0" borderId="20" xfId="1" applyNumberFormat="1" applyFont="1" applyFill="1" applyBorder="1" applyAlignment="1">
      <alignment horizontal="right" vertical="top" wrapText="1"/>
    </xf>
    <xf numFmtId="3" fontId="6" fillId="6" borderId="20" xfId="0" applyNumberFormat="1" applyFont="1" applyFill="1" applyBorder="1" applyAlignment="1">
      <alignment horizontal="right" vertical="center"/>
    </xf>
    <xf numFmtId="0" fontId="18" fillId="8" borderId="0" xfId="0" applyFont="1" applyFill="1"/>
    <xf numFmtId="0" fontId="5" fillId="0" borderId="12" xfId="1" applyNumberFormat="1" applyFont="1" applyFill="1" applyBorder="1" applyAlignment="1">
      <alignment horizontal="left"/>
    </xf>
    <xf numFmtId="0" fontId="6" fillId="0" borderId="16" xfId="0" applyFont="1" applyBorder="1"/>
    <xf numFmtId="164" fontId="5" fillId="18" borderId="20" xfId="1" applyNumberFormat="1" applyFont="1" applyFill="1" applyBorder="1"/>
    <xf numFmtId="164" fontId="3" fillId="0" borderId="20" xfId="1" applyNumberFormat="1" applyFont="1" applyFill="1" applyBorder="1"/>
    <xf numFmtId="0" fontId="5" fillId="2" borderId="16" xfId="1" applyNumberFormat="1" applyFont="1" applyFill="1" applyBorder="1" applyAlignment="1">
      <alignment horizontal="left"/>
    </xf>
    <xf numFmtId="3" fontId="5" fillId="7" borderId="20" xfId="0" applyNumberFormat="1" applyFont="1" applyFill="1" applyBorder="1" applyAlignment="1">
      <alignment horizontal="right" vertical="center"/>
    </xf>
    <xf numFmtId="3" fontId="5" fillId="7" borderId="17" xfId="0" applyNumberFormat="1" applyFont="1" applyFill="1" applyBorder="1" applyAlignment="1">
      <alignment horizontal="right" vertical="center"/>
    </xf>
    <xf numFmtId="3" fontId="8" fillId="7" borderId="16" xfId="0" applyNumberFormat="1" applyFont="1" applyFill="1" applyBorder="1" applyAlignment="1">
      <alignment horizontal="right" vertical="center" wrapText="1"/>
    </xf>
    <xf numFmtId="3" fontId="5" fillId="0" borderId="20" xfId="0" applyNumberFormat="1" applyFont="1" applyBorder="1" applyAlignment="1">
      <alignment horizontal="right" vertical="center" wrapText="1"/>
    </xf>
    <xf numFmtId="3" fontId="8" fillId="6" borderId="18" xfId="0" applyNumberFormat="1" applyFont="1" applyFill="1" applyBorder="1" applyAlignment="1">
      <alignment horizontal="right" vertical="center" wrapText="1"/>
    </xf>
    <xf numFmtId="3" fontId="8" fillId="6" borderId="21" xfId="0" applyNumberFormat="1" applyFont="1" applyFill="1" applyBorder="1" applyAlignment="1">
      <alignment horizontal="right" vertical="center"/>
    </xf>
    <xf numFmtId="3" fontId="5" fillId="0" borderId="20" xfId="1" applyNumberFormat="1" applyFont="1" applyFill="1" applyBorder="1" applyAlignment="1">
      <alignment horizontal="right"/>
    </xf>
    <xf numFmtId="3" fontId="5" fillId="0" borderId="20" xfId="1" applyNumberFormat="1" applyFont="1" applyFill="1" applyBorder="1"/>
    <xf numFmtId="3" fontId="64" fillId="0" borderId="20" xfId="0" applyNumberFormat="1" applyFont="1" applyBorder="1"/>
    <xf numFmtId="0" fontId="5" fillId="2" borderId="16" xfId="0" applyFont="1" applyFill="1" applyBorder="1"/>
    <xf numFmtId="3" fontId="5" fillId="5" borderId="16" xfId="0" applyNumberFormat="1" applyFont="1" applyFill="1" applyBorder="1"/>
    <xf numFmtId="3" fontId="5" fillId="6" borderId="20" xfId="0" applyNumberFormat="1" applyFont="1" applyFill="1" applyBorder="1"/>
    <xf numFmtId="3" fontId="5" fillId="7" borderId="20" xfId="0" applyNumberFormat="1" applyFont="1" applyFill="1" applyBorder="1"/>
    <xf numFmtId="3" fontId="5" fillId="7" borderId="17" xfId="0" applyNumberFormat="1" applyFont="1" applyFill="1" applyBorder="1"/>
    <xf numFmtId="164" fontId="13" fillId="0" borderId="20" xfId="1" applyNumberFormat="1" applyFont="1" applyBorder="1"/>
    <xf numFmtId="9" fontId="8" fillId="12" borderId="59" xfId="0" applyNumberFormat="1" applyFont="1" applyFill="1" applyBorder="1"/>
    <xf numFmtId="3" fontId="8" fillId="0" borderId="0" xfId="0" applyNumberFormat="1" applyFont="1" applyAlignment="1">
      <alignment horizontal="right"/>
    </xf>
    <xf numFmtId="164" fontId="32" fillId="0" borderId="16" xfId="1" applyNumberFormat="1" applyFont="1" applyFill="1" applyBorder="1" applyAlignment="1">
      <alignment horizontal="right" vertical="top" wrapText="1"/>
    </xf>
    <xf numFmtId="164" fontId="32" fillId="0" borderId="20" xfId="1" applyNumberFormat="1" applyFont="1" applyFill="1" applyBorder="1" applyAlignment="1">
      <alignment horizontal="right" vertical="top" wrapText="1"/>
    </xf>
    <xf numFmtId="3" fontId="32" fillId="0" borderId="16" xfId="0" applyNumberFormat="1" applyFont="1" applyBorder="1" applyAlignment="1">
      <alignment horizontal="right" vertical="top" wrapText="1"/>
    </xf>
    <xf numFmtId="3" fontId="32" fillId="0" borderId="20" xfId="0" applyNumberFormat="1" applyFont="1" applyBorder="1" applyAlignment="1">
      <alignment horizontal="right" vertical="top" wrapText="1"/>
    </xf>
    <xf numFmtId="3" fontId="32" fillId="0" borderId="27" xfId="0" applyNumberFormat="1" applyFont="1" applyBorder="1" applyAlignment="1">
      <alignment horizontal="right" vertical="center"/>
    </xf>
    <xf numFmtId="3" fontId="32" fillId="0" borderId="20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3" fontId="5" fillId="18" borderId="20" xfId="0" applyNumberFormat="1" applyFont="1" applyFill="1" applyBorder="1" applyAlignment="1">
      <alignment horizontal="right" vertical="center"/>
    </xf>
    <xf numFmtId="3" fontId="7" fillId="17" borderId="20" xfId="0" applyNumberFormat="1" applyFont="1" applyFill="1" applyBorder="1" applyAlignment="1">
      <alignment horizontal="right" vertical="center"/>
    </xf>
    <xf numFmtId="164" fontId="32" fillId="0" borderId="12" xfId="1" applyNumberFormat="1" applyFont="1" applyFill="1" applyBorder="1" applyAlignment="1">
      <alignment horizontal="right" vertical="top" wrapText="1"/>
    </xf>
    <xf numFmtId="3" fontId="61" fillId="0" borderId="31" xfId="0" applyNumberFormat="1" applyFont="1" applyBorder="1" applyAlignment="1">
      <alignment horizontal="right" vertical="center"/>
    </xf>
    <xf numFmtId="3" fontId="66" fillId="0" borderId="20" xfId="0" applyNumberFormat="1" applyFont="1" applyBorder="1" applyAlignment="1">
      <alignment horizontal="right" vertical="center"/>
    </xf>
    <xf numFmtId="164" fontId="65" fillId="18" borderId="13" xfId="1" applyNumberFormat="1" applyFont="1" applyFill="1" applyBorder="1"/>
    <xf numFmtId="3" fontId="54" fillId="18" borderId="24" xfId="0" applyNumberFormat="1" applyFont="1" applyFill="1" applyBorder="1" applyAlignment="1">
      <alignment horizontal="right" vertical="center"/>
    </xf>
    <xf numFmtId="3" fontId="5" fillId="18" borderId="15" xfId="0" applyNumberFormat="1" applyFont="1" applyFill="1" applyBorder="1" applyAlignment="1">
      <alignment horizontal="right" vertical="center"/>
    </xf>
    <xf numFmtId="164" fontId="65" fillId="18" borderId="18" xfId="1" applyNumberFormat="1" applyFont="1" applyFill="1" applyBorder="1"/>
    <xf numFmtId="3" fontId="54" fillId="18" borderId="21" xfId="0" applyNumberFormat="1" applyFont="1" applyFill="1" applyBorder="1" applyAlignment="1">
      <alignment horizontal="right" vertical="center"/>
    </xf>
    <xf numFmtId="165" fontId="5" fillId="18" borderId="20" xfId="0" applyNumberFormat="1" applyFont="1" applyFill="1" applyBorder="1" applyAlignment="1">
      <alignment horizontal="right" vertical="center"/>
    </xf>
    <xf numFmtId="0" fontId="3" fillId="18" borderId="20" xfId="0" applyFont="1" applyFill="1" applyBorder="1"/>
    <xf numFmtId="164" fontId="3" fillId="18" borderId="13" xfId="1" applyNumberFormat="1" applyFont="1" applyFill="1" applyBorder="1"/>
    <xf numFmtId="164" fontId="3" fillId="18" borderId="24" xfId="1" applyNumberFormat="1" applyFont="1" applyFill="1" applyBorder="1"/>
    <xf numFmtId="0" fontId="3" fillId="18" borderId="0" xfId="0" applyFont="1" applyFill="1"/>
    <xf numFmtId="3" fontId="7" fillId="17" borderId="20" xfId="0" applyNumberFormat="1" applyFont="1" applyFill="1" applyBorder="1"/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9" fontId="8" fillId="7" borderId="0" xfId="0" applyNumberFormat="1" applyFont="1" applyFill="1" applyAlignment="1">
      <alignment vertical="center"/>
    </xf>
    <xf numFmtId="166" fontId="3" fillId="0" borderId="30" xfId="0" applyNumberFormat="1" applyFont="1" applyBorder="1"/>
    <xf numFmtId="164" fontId="32" fillId="0" borderId="15" xfId="1" applyNumberFormat="1" applyFont="1" applyFill="1" applyBorder="1" applyAlignment="1">
      <alignment horizontal="right" vertical="top" wrapText="1"/>
    </xf>
    <xf numFmtId="164" fontId="5" fillId="0" borderId="11" xfId="1" applyNumberFormat="1" applyFont="1" applyFill="1" applyBorder="1" applyAlignment="1">
      <alignment horizontal="right" vertical="top" wrapText="1"/>
    </xf>
    <xf numFmtId="3" fontId="61" fillId="0" borderId="21" xfId="0" applyNumberFormat="1" applyFont="1" applyBorder="1" applyAlignment="1">
      <alignment horizontal="right" vertical="center"/>
    </xf>
    <xf numFmtId="3" fontId="61" fillId="18" borderId="47" xfId="0" applyNumberFormat="1" applyFont="1" applyFill="1" applyBorder="1" applyAlignment="1">
      <alignment horizontal="right" vertical="center"/>
    </xf>
    <xf numFmtId="164" fontId="65" fillId="18" borderId="17" xfId="1" applyNumberFormat="1" applyFont="1" applyFill="1" applyBorder="1"/>
    <xf numFmtId="3" fontId="61" fillId="18" borderId="39" xfId="0" applyNumberFormat="1" applyFont="1" applyFill="1" applyBorder="1" applyAlignment="1">
      <alignment horizontal="right" vertical="center"/>
    </xf>
    <xf numFmtId="164" fontId="65" fillId="18" borderId="21" xfId="1" applyNumberFormat="1" applyFont="1" applyFill="1" applyBorder="1"/>
    <xf numFmtId="0" fontId="62" fillId="0" borderId="45" xfId="0" applyFont="1" applyBorder="1" applyAlignment="1">
      <alignment vertical="center"/>
    </xf>
    <xf numFmtId="3" fontId="61" fillId="0" borderId="45" xfId="0" applyNumberFormat="1" applyFont="1" applyBorder="1" applyAlignment="1">
      <alignment horizontal="right" vertical="center"/>
    </xf>
    <xf numFmtId="3" fontId="61" fillId="0" borderId="54" xfId="0" applyNumberFormat="1" applyFont="1" applyBorder="1" applyAlignment="1">
      <alignment horizontal="right" vertical="center"/>
    </xf>
    <xf numFmtId="0" fontId="19" fillId="4" borderId="36" xfId="0" applyFont="1" applyFill="1" applyBorder="1"/>
    <xf numFmtId="0" fontId="67" fillId="4" borderId="20" xfId="0" applyFont="1" applyFill="1" applyBorder="1" applyAlignment="1">
      <alignment horizontal="right"/>
    </xf>
    <xf numFmtId="0" fontId="19" fillId="4" borderId="20" xfId="0" applyFont="1" applyFill="1" applyBorder="1" applyAlignment="1">
      <alignment horizontal="right"/>
    </xf>
    <xf numFmtId="164" fontId="19" fillId="4" borderId="20" xfId="1" applyNumberFormat="1" applyFont="1" applyFill="1" applyBorder="1" applyAlignment="1">
      <alignment horizontal="right"/>
    </xf>
    <xf numFmtId="0" fontId="19" fillId="4" borderId="20" xfId="0" applyFont="1" applyFill="1" applyBorder="1" applyProtection="1">
      <protection hidden="1"/>
    </xf>
    <xf numFmtId="3" fontId="62" fillId="0" borderId="37" xfId="0" applyNumberFormat="1" applyFont="1" applyBorder="1" applyAlignment="1">
      <alignment horizontal="right" vertical="center"/>
    </xf>
    <xf numFmtId="3" fontId="62" fillId="0" borderId="38" xfId="0" applyNumberFormat="1" applyFont="1" applyBorder="1" applyAlignment="1">
      <alignment horizontal="right" vertical="center"/>
    </xf>
    <xf numFmtId="164" fontId="11" fillId="0" borderId="20" xfId="1" applyNumberFormat="1" applyFont="1" applyFill="1" applyBorder="1" applyAlignment="1">
      <alignment horizontal="right" vertical="top" wrapText="1"/>
    </xf>
    <xf numFmtId="3" fontId="11" fillId="0" borderId="20" xfId="0" applyNumberFormat="1" applyFont="1" applyBorder="1" applyAlignment="1">
      <alignment horizontal="right" vertical="top" wrapText="1"/>
    </xf>
    <xf numFmtId="3" fontId="5" fillId="0" borderId="53" xfId="0" applyNumberFormat="1" applyFont="1" applyBorder="1"/>
    <xf numFmtId="3" fontId="61" fillId="0" borderId="16" xfId="0" applyNumberFormat="1" applyFont="1" applyBorder="1" applyAlignment="1">
      <alignment horizontal="right" vertical="center"/>
    </xf>
    <xf numFmtId="3" fontId="61" fillId="18" borderId="13" xfId="0" applyNumberFormat="1" applyFont="1" applyFill="1" applyBorder="1" applyAlignment="1">
      <alignment horizontal="right" vertical="center"/>
    </xf>
    <xf numFmtId="3" fontId="8" fillId="0" borderId="20" xfId="0" applyNumberFormat="1" applyFont="1" applyBorder="1" applyAlignment="1">
      <alignment horizontal="right" vertical="top" wrapText="1"/>
    </xf>
    <xf numFmtId="164" fontId="8" fillId="0" borderId="20" xfId="1" applyNumberFormat="1" applyFont="1" applyFill="1" applyBorder="1" applyAlignment="1">
      <alignment horizontal="right" vertical="top" wrapText="1"/>
    </xf>
    <xf numFmtId="3" fontId="8" fillId="0" borderId="20" xfId="0" applyNumberFormat="1" applyFont="1" applyBorder="1"/>
    <xf numFmtId="3" fontId="7" fillId="6" borderId="19" xfId="0" applyNumberFormat="1" applyFont="1" applyFill="1" applyBorder="1"/>
    <xf numFmtId="3" fontId="8" fillId="0" borderId="26" xfId="0" applyNumberFormat="1" applyFont="1" applyBorder="1"/>
    <xf numFmtId="3" fontId="7" fillId="6" borderId="19" xfId="0" applyNumberFormat="1" applyFont="1" applyFill="1" applyBorder="1" applyAlignment="1">
      <alignment horizontal="right" vertical="center"/>
    </xf>
    <xf numFmtId="3" fontId="5" fillId="0" borderId="26" xfId="0" applyNumberFormat="1" applyFont="1" applyBorder="1"/>
    <xf numFmtId="164" fontId="14" fillId="0" borderId="26" xfId="1" applyNumberFormat="1" applyFont="1" applyBorder="1"/>
    <xf numFmtId="3" fontId="68" fillId="7" borderId="30" xfId="0" applyNumberFormat="1" applyFont="1" applyFill="1" applyBorder="1" applyAlignment="1">
      <alignment horizontal="right" vertical="center"/>
    </xf>
    <xf numFmtId="3" fontId="7" fillId="17" borderId="26" xfId="0" applyNumberFormat="1" applyFont="1" applyFill="1" applyBorder="1"/>
    <xf numFmtId="3" fontId="7" fillId="6" borderId="16" xfId="0" applyNumberFormat="1" applyFont="1" applyFill="1" applyBorder="1" applyAlignment="1">
      <alignment horizontal="righ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0" borderId="14" xfId="0" applyFont="1" applyBorder="1"/>
    <xf numFmtId="3" fontId="5" fillId="6" borderId="10" xfId="0" applyNumberFormat="1" applyFont="1" applyFill="1" applyBorder="1" applyAlignment="1">
      <alignment horizontal="right" vertical="center"/>
    </xf>
    <xf numFmtId="3" fontId="54" fillId="18" borderId="14" xfId="0" applyNumberFormat="1" applyFont="1" applyFill="1" applyBorder="1" applyAlignment="1">
      <alignment horizontal="right" vertical="center"/>
    </xf>
    <xf numFmtId="3" fontId="54" fillId="18" borderId="19" xfId="0" applyNumberFormat="1" applyFont="1" applyFill="1" applyBorder="1" applyAlignment="1">
      <alignment horizontal="right" vertical="center"/>
    </xf>
    <xf numFmtId="164" fontId="65" fillId="18" borderId="19" xfId="1" applyNumberFormat="1" applyFont="1" applyFill="1" applyBorder="1"/>
    <xf numFmtId="164" fontId="3" fillId="18" borderId="14" xfId="1" applyNumberFormat="1" applyFont="1" applyFill="1" applyBorder="1"/>
    <xf numFmtId="3" fontId="5" fillId="0" borderId="19" xfId="0" applyNumberFormat="1" applyFont="1" applyBorder="1" applyAlignment="1">
      <alignment horizontal="right" vertical="center"/>
    </xf>
    <xf numFmtId="3" fontId="8" fillId="6" borderId="19" xfId="0" applyNumberFormat="1" applyFont="1" applyFill="1" applyBorder="1" applyAlignment="1">
      <alignment horizontal="right" vertical="center"/>
    </xf>
    <xf numFmtId="3" fontId="8" fillId="0" borderId="19" xfId="1" applyNumberFormat="1" applyFont="1" applyFill="1" applyBorder="1"/>
    <xf numFmtId="3" fontId="3" fillId="0" borderId="29" xfId="0" applyNumberFormat="1" applyFont="1" applyBorder="1"/>
    <xf numFmtId="0" fontId="5" fillId="2" borderId="25" xfId="0" applyFont="1" applyFill="1" applyBorder="1" applyAlignment="1">
      <alignment horizontal="left" vertical="center"/>
    </xf>
    <xf numFmtId="3" fontId="7" fillId="6" borderId="17" xfId="0" applyNumberFormat="1" applyFont="1" applyFill="1" applyBorder="1"/>
    <xf numFmtId="3" fontId="5" fillId="18" borderId="17" xfId="0" applyNumberFormat="1" applyFont="1" applyFill="1" applyBorder="1"/>
    <xf numFmtId="3" fontId="5" fillId="18" borderId="17" xfId="0" applyNumberFormat="1" applyFont="1" applyFill="1" applyBorder="1" applyAlignment="1">
      <alignment horizontal="right" vertical="top" wrapText="1"/>
    </xf>
    <xf numFmtId="3" fontId="5" fillId="18" borderId="17" xfId="0" applyNumberFormat="1" applyFont="1" applyFill="1" applyBorder="1" applyAlignment="1">
      <alignment horizontal="right" vertical="center"/>
    </xf>
    <xf numFmtId="3" fontId="5" fillId="9" borderId="17" xfId="0" applyNumberFormat="1" applyFont="1" applyFill="1" applyBorder="1" applyAlignment="1">
      <alignment horizontal="right" vertical="top" wrapText="1"/>
    </xf>
    <xf numFmtId="0" fontId="5" fillId="7" borderId="6" xfId="0" applyFont="1" applyFill="1" applyBorder="1" applyAlignment="1">
      <alignment horizontal="left" vertical="center"/>
    </xf>
    <xf numFmtId="166" fontId="3" fillId="0" borderId="7" xfId="0" applyNumberFormat="1" applyFont="1" applyBorder="1"/>
    <xf numFmtId="166" fontId="3" fillId="0" borderId="11" xfId="0" applyNumberFormat="1" applyFont="1" applyBorder="1"/>
    <xf numFmtId="166" fontId="3" fillId="0" borderId="44" xfId="0" applyNumberFormat="1" applyFont="1" applyBorder="1"/>
    <xf numFmtId="3" fontId="8" fillId="10" borderId="62" xfId="0" applyNumberFormat="1" applyFont="1" applyFill="1" applyBorder="1" applyAlignment="1">
      <alignment horizontal="center" vertical="center" wrapText="1"/>
    </xf>
    <xf numFmtId="3" fontId="8" fillId="0" borderId="63" xfId="0" applyNumberFormat="1" applyFont="1" applyBorder="1"/>
    <xf numFmtId="164" fontId="5" fillId="0" borderId="36" xfId="1" applyNumberFormat="1" applyFont="1" applyBorder="1" applyAlignment="1">
      <alignment horizontal="right"/>
    </xf>
    <xf numFmtId="3" fontId="5" fillId="0" borderId="62" xfId="0" applyNumberFormat="1" applyFont="1" applyBorder="1" applyAlignment="1">
      <alignment horizontal="right" vertical="center"/>
    </xf>
    <xf numFmtId="3" fontId="5" fillId="0" borderId="63" xfId="0" applyNumberFormat="1" applyFont="1" applyBorder="1" applyAlignment="1">
      <alignment horizontal="right" vertical="center"/>
    </xf>
    <xf numFmtId="0" fontId="5" fillId="0" borderId="36" xfId="0" applyFont="1" applyBorder="1"/>
    <xf numFmtId="3" fontId="5" fillId="0" borderId="36" xfId="1" applyNumberFormat="1" applyFont="1" applyFill="1" applyBorder="1" applyAlignment="1">
      <alignment horizontal="right" vertical="center"/>
    </xf>
    <xf numFmtId="3" fontId="8" fillId="0" borderId="36" xfId="1" applyNumberFormat="1" applyFont="1" applyFill="1" applyBorder="1"/>
    <xf numFmtId="3" fontId="8" fillId="0" borderId="36" xfId="0" applyNumberFormat="1" applyFont="1" applyBorder="1" applyAlignment="1">
      <alignment horizontal="right" vertical="center"/>
    </xf>
    <xf numFmtId="0" fontId="3" fillId="0" borderId="66" xfId="0" applyFont="1" applyBorder="1"/>
    <xf numFmtId="9" fontId="15" fillId="12" borderId="37" xfId="0" applyNumberFormat="1" applyFont="1" applyFill="1" applyBorder="1"/>
    <xf numFmtId="9" fontId="8" fillId="12" borderId="37" xfId="0" applyNumberFormat="1" applyFont="1" applyFill="1" applyBorder="1"/>
    <xf numFmtId="9" fontId="8" fillId="12" borderId="39" xfId="0" applyNumberFormat="1" applyFont="1" applyFill="1" applyBorder="1"/>
    <xf numFmtId="164" fontId="11" fillId="0" borderId="15" xfId="1" applyNumberFormat="1" applyFont="1" applyFill="1" applyBorder="1" applyAlignment="1">
      <alignment horizontal="right" vertical="top" wrapText="1"/>
    </xf>
    <xf numFmtId="164" fontId="8" fillId="0" borderId="11" xfId="1" applyNumberFormat="1" applyFont="1" applyFill="1" applyBorder="1" applyAlignment="1">
      <alignment horizontal="right" vertical="top" wrapText="1"/>
    </xf>
    <xf numFmtId="3" fontId="7" fillId="7" borderId="69" xfId="0" applyNumberFormat="1" applyFont="1" applyFill="1" applyBorder="1" applyAlignment="1">
      <alignment horizontal="right" vertical="center"/>
    </xf>
    <xf numFmtId="9" fontId="15" fillId="12" borderId="59" xfId="0" applyNumberFormat="1" applyFont="1" applyFill="1" applyBorder="1" applyAlignment="1">
      <alignment vertical="center"/>
    </xf>
    <xf numFmtId="168" fontId="8" fillId="7" borderId="20" xfId="0" applyNumberFormat="1" applyFont="1" applyFill="1" applyBorder="1"/>
    <xf numFmtId="3" fontId="61" fillId="0" borderId="56" xfId="0" applyNumberFormat="1" applyFont="1" applyBorder="1" applyAlignment="1">
      <alignment horizontal="right" vertical="center"/>
    </xf>
    <xf numFmtId="3" fontId="10" fillId="9" borderId="26" xfId="0" applyNumberFormat="1" applyFont="1" applyFill="1" applyBorder="1" applyAlignment="1">
      <alignment horizontal="right" vertical="top" wrapText="1"/>
    </xf>
    <xf numFmtId="3" fontId="10" fillId="6" borderId="16" xfId="0" applyNumberFormat="1" applyFont="1" applyFill="1" applyBorder="1" applyAlignment="1">
      <alignment horizontal="right" vertical="center"/>
    </xf>
    <xf numFmtId="3" fontId="61" fillId="0" borderId="20" xfId="0" applyNumberFormat="1" applyFont="1" applyBorder="1" applyAlignment="1">
      <alignment horizontal="right" vertical="center"/>
    </xf>
    <xf numFmtId="3" fontId="5" fillId="7" borderId="32" xfId="0" applyNumberFormat="1" applyFont="1" applyFill="1" applyBorder="1" applyAlignment="1">
      <alignment horizontal="right" vertical="center"/>
    </xf>
    <xf numFmtId="3" fontId="69" fillId="0" borderId="20" xfId="0" applyNumberFormat="1" applyFont="1" applyBorder="1" applyAlignment="1">
      <alignment horizontal="right" vertical="center"/>
    </xf>
    <xf numFmtId="3" fontId="7" fillId="18" borderId="18" xfId="0" applyNumberFormat="1" applyFont="1" applyFill="1" applyBorder="1"/>
    <xf numFmtId="164" fontId="19" fillId="0" borderId="0" xfId="1" applyNumberFormat="1" applyFont="1"/>
    <xf numFmtId="3" fontId="7" fillId="18" borderId="18" xfId="0" applyNumberFormat="1" applyFont="1" applyFill="1" applyBorder="1" applyAlignment="1">
      <alignment horizontal="right" vertical="top" wrapText="1"/>
    </xf>
    <xf numFmtId="168" fontId="3" fillId="7" borderId="0" xfId="1" applyNumberFormat="1" applyFont="1" applyFill="1"/>
    <xf numFmtId="0" fontId="5" fillId="0" borderId="68" xfId="0" applyFont="1" applyBorder="1"/>
    <xf numFmtId="3" fontId="8" fillId="0" borderId="61" xfId="0" applyNumberFormat="1" applyFont="1" applyBorder="1"/>
    <xf numFmtId="164" fontId="70" fillId="18" borderId="13" xfId="1" applyNumberFormat="1" applyFont="1" applyFill="1" applyBorder="1"/>
    <xf numFmtId="3" fontId="61" fillId="18" borderId="14" xfId="0" applyNumberFormat="1" applyFont="1" applyFill="1" applyBorder="1" applyAlignment="1">
      <alignment horizontal="right" vertical="center"/>
    </xf>
    <xf numFmtId="164" fontId="70" fillId="18" borderId="18" xfId="1" applyNumberFormat="1" applyFont="1" applyFill="1" applyBorder="1"/>
    <xf numFmtId="3" fontId="61" fillId="18" borderId="19" xfId="0" applyNumberFormat="1" applyFont="1" applyFill="1" applyBorder="1" applyAlignment="1">
      <alignment horizontal="right" vertical="center"/>
    </xf>
    <xf numFmtId="164" fontId="70" fillId="18" borderId="19" xfId="1" applyNumberFormat="1" applyFont="1" applyFill="1" applyBorder="1"/>
    <xf numFmtId="3" fontId="5" fillId="7" borderId="20" xfId="0" applyNumberFormat="1" applyFont="1" applyFill="1" applyBorder="1" applyAlignment="1">
      <alignment horizontal="right" vertical="top" wrapText="1"/>
    </xf>
    <xf numFmtId="164" fontId="5" fillId="7" borderId="70" xfId="1" applyNumberFormat="1" applyFont="1" applyFill="1" applyBorder="1"/>
    <xf numFmtId="3" fontId="5" fillId="7" borderId="20" xfId="1" applyNumberFormat="1" applyFont="1" applyFill="1" applyBorder="1"/>
    <xf numFmtId="0" fontId="3" fillId="7" borderId="70" xfId="0" applyFont="1" applyFill="1" applyBorder="1"/>
    <xf numFmtId="3" fontId="16" fillId="6" borderId="18" xfId="0" applyNumberFormat="1" applyFont="1" applyFill="1" applyBorder="1" applyAlignment="1">
      <alignment horizontal="right" vertical="center" wrapText="1"/>
    </xf>
    <xf numFmtId="164" fontId="18" fillId="8" borderId="0" xfId="1" applyNumberFormat="1" applyFont="1" applyFill="1"/>
    <xf numFmtId="0" fontId="6" fillId="0" borderId="0" xfId="0" applyFont="1"/>
    <xf numFmtId="164" fontId="6" fillId="0" borderId="0" xfId="1" applyNumberFormat="1" applyFont="1"/>
    <xf numFmtId="164" fontId="71" fillId="0" borderId="0" xfId="1" applyNumberFormat="1" applyFont="1"/>
    <xf numFmtId="0" fontId="6" fillId="0" borderId="0" xfId="0" applyFont="1" applyAlignment="1">
      <alignment vertical="center"/>
    </xf>
    <xf numFmtId="3" fontId="10" fillId="7" borderId="16" xfId="1" applyNumberFormat="1" applyFont="1" applyFill="1" applyBorder="1" applyAlignment="1">
      <alignment horizontal="right"/>
    </xf>
    <xf numFmtId="3" fontId="10" fillId="0" borderId="20" xfId="1" applyNumberFormat="1" applyFont="1" applyFill="1" applyBorder="1" applyAlignment="1">
      <alignment horizontal="right"/>
    </xf>
    <xf numFmtId="3" fontId="10" fillId="0" borderId="20" xfId="1" applyNumberFormat="1" applyFont="1" applyFill="1" applyBorder="1" applyAlignment="1">
      <alignment horizontal="right" vertical="center"/>
    </xf>
    <xf numFmtId="3" fontId="10" fillId="0" borderId="36" xfId="1" applyNumberFormat="1" applyFont="1" applyFill="1" applyBorder="1" applyAlignment="1">
      <alignment horizontal="right" vertical="center"/>
    </xf>
    <xf numFmtId="9" fontId="16" fillId="12" borderId="37" xfId="0" applyNumberFormat="1" applyFont="1" applyFill="1" applyBorder="1"/>
    <xf numFmtId="0" fontId="63" fillId="0" borderId="0" xfId="0" applyFont="1"/>
    <xf numFmtId="164" fontId="5" fillId="7" borderId="20" xfId="1" applyNumberFormat="1" applyFont="1" applyFill="1" applyBorder="1" applyAlignment="1">
      <alignment horizontal="right" vertical="top" wrapText="1"/>
    </xf>
    <xf numFmtId="3" fontId="71" fillId="0" borderId="0" xfId="0" applyNumberFormat="1" applyFont="1" applyAlignment="1">
      <alignment horizontal="right" vertical="top" wrapText="1"/>
    </xf>
    <xf numFmtId="164" fontId="71" fillId="0" borderId="0" xfId="1" applyNumberFormat="1" applyFont="1" applyFill="1" applyBorder="1" applyAlignment="1">
      <alignment horizontal="right" vertical="top" wrapText="1"/>
    </xf>
    <xf numFmtId="164" fontId="5" fillId="7" borderId="20" xfId="1" applyNumberFormat="1" applyFont="1" applyFill="1" applyBorder="1"/>
    <xf numFmtId="3" fontId="5" fillId="7" borderId="20" xfId="0" applyNumberFormat="1" applyFont="1" applyFill="1" applyBorder="1" applyAlignment="1">
      <alignment horizontal="right" vertical="center" wrapText="1"/>
    </xf>
    <xf numFmtId="3" fontId="5" fillId="7" borderId="20" xfId="1" applyNumberFormat="1" applyFont="1" applyFill="1" applyBorder="1" applyAlignment="1">
      <alignment horizontal="right"/>
    </xf>
    <xf numFmtId="0" fontId="71" fillId="0" borderId="0" xfId="0" applyFont="1"/>
    <xf numFmtId="0" fontId="5" fillId="2" borderId="6" xfId="0" applyFont="1" applyFill="1" applyBorder="1" applyAlignment="1">
      <alignment horizontal="left" vertical="center"/>
    </xf>
    <xf numFmtId="3" fontId="5" fillId="5" borderId="16" xfId="0" applyNumberFormat="1" applyFont="1" applyFill="1" applyBorder="1" applyAlignment="1">
      <alignment horizontal="right" vertical="center"/>
    </xf>
    <xf numFmtId="3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top" wrapText="1"/>
    </xf>
    <xf numFmtId="3" fontId="6" fillId="0" borderId="0" xfId="0" applyNumberFormat="1" applyFont="1" applyAlignment="1">
      <alignment horizontal="right" vertical="top" wrapText="1"/>
    </xf>
    <xf numFmtId="3" fontId="5" fillId="17" borderId="20" xfId="0" applyNumberFormat="1" applyFont="1" applyFill="1" applyBorder="1" applyAlignment="1">
      <alignment horizontal="right" vertical="center"/>
    </xf>
    <xf numFmtId="3" fontId="5" fillId="17" borderId="20" xfId="0" applyNumberFormat="1" applyFont="1" applyFill="1" applyBorder="1"/>
    <xf numFmtId="3" fontId="5" fillId="6" borderId="17" xfId="0" applyNumberFormat="1" applyFont="1" applyFill="1" applyBorder="1"/>
    <xf numFmtId="3" fontId="5" fillId="6" borderId="19" xfId="0" applyNumberFormat="1" applyFont="1" applyFill="1" applyBorder="1"/>
    <xf numFmtId="3" fontId="5" fillId="6" borderId="35" xfId="0" applyNumberFormat="1" applyFont="1" applyFill="1" applyBorder="1" applyAlignment="1">
      <alignment horizontal="right" vertical="center"/>
    </xf>
    <xf numFmtId="3" fontId="5" fillId="4" borderId="35" xfId="0" applyNumberFormat="1" applyFont="1" applyFill="1" applyBorder="1" applyAlignment="1">
      <alignment horizontal="right" vertical="center"/>
    </xf>
    <xf numFmtId="3" fontId="5" fillId="7" borderId="35" xfId="0" applyNumberFormat="1" applyFont="1" applyFill="1" applyBorder="1" applyAlignment="1">
      <alignment horizontal="right" vertical="center"/>
    </xf>
    <xf numFmtId="3" fontId="5" fillId="7" borderId="69" xfId="0" applyNumberFormat="1" applyFont="1" applyFill="1" applyBorder="1" applyAlignment="1">
      <alignment horizontal="right" vertical="center"/>
    </xf>
    <xf numFmtId="0" fontId="5" fillId="0" borderId="45" xfId="0" applyFont="1" applyBorder="1" applyAlignment="1">
      <alignment vertical="center"/>
    </xf>
    <xf numFmtId="3" fontId="3" fillId="0" borderId="20" xfId="0" applyNumberFormat="1" applyFont="1" applyBorder="1"/>
    <xf numFmtId="164" fontId="3" fillId="0" borderId="15" xfId="0" applyNumberFormat="1" applyFont="1" applyBorder="1"/>
    <xf numFmtId="0" fontId="72" fillId="0" borderId="0" xfId="0" applyFont="1"/>
    <xf numFmtId="3" fontId="5" fillId="6" borderId="17" xfId="0" applyNumberFormat="1" applyFont="1" applyFill="1" applyBorder="1" applyAlignment="1">
      <alignment horizontal="right" vertical="center"/>
    </xf>
    <xf numFmtId="3" fontId="5" fillId="6" borderId="36" xfId="0" applyNumberFormat="1" applyFont="1" applyFill="1" applyBorder="1" applyAlignment="1">
      <alignment horizontal="right" vertical="center"/>
    </xf>
    <xf numFmtId="9" fontId="8" fillId="12" borderId="38" xfId="0" applyNumberFormat="1" applyFont="1" applyFill="1" applyBorder="1"/>
    <xf numFmtId="0" fontId="5" fillId="2" borderId="31" xfId="0" applyFont="1" applyFill="1" applyBorder="1" applyAlignment="1">
      <alignment horizontal="left" vertical="center"/>
    </xf>
    <xf numFmtId="9" fontId="8" fillId="12" borderId="45" xfId="0" applyNumberFormat="1" applyFont="1" applyFill="1" applyBorder="1" applyAlignment="1">
      <alignment vertical="center"/>
    </xf>
    <xf numFmtId="0" fontId="8" fillId="0" borderId="12" xfId="1" applyNumberFormat="1" applyFont="1" applyFill="1" applyBorder="1" applyAlignment="1">
      <alignment horizontal="left"/>
    </xf>
    <xf numFmtId="3" fontId="5" fillId="0" borderId="30" xfId="0" applyNumberFormat="1" applyFont="1" applyBorder="1"/>
    <xf numFmtId="3" fontId="5" fillId="0" borderId="66" xfId="0" applyNumberFormat="1" applyFont="1" applyBorder="1"/>
    <xf numFmtId="3" fontId="5" fillId="0" borderId="15" xfId="1" applyNumberFormat="1" applyFont="1" applyFill="1" applyBorder="1" applyAlignment="1">
      <alignment horizontal="right" vertical="center"/>
    </xf>
    <xf numFmtId="3" fontId="5" fillId="0" borderId="63" xfId="1" applyNumberFormat="1" applyFont="1" applyFill="1" applyBorder="1" applyAlignment="1">
      <alignment horizontal="right" vertical="center"/>
    </xf>
    <xf numFmtId="164" fontId="10" fillId="6" borderId="20" xfId="1" applyNumberFormat="1" applyFont="1" applyFill="1" applyBorder="1"/>
    <xf numFmtId="0" fontId="10" fillId="0" borderId="16" xfId="0" applyFont="1" applyBorder="1" applyAlignment="1">
      <alignment horizontal="left"/>
    </xf>
    <xf numFmtId="3" fontId="10" fillId="6" borderId="18" xfId="1" applyNumberFormat="1" applyFont="1" applyFill="1" applyBorder="1" applyAlignment="1">
      <alignment horizontal="right"/>
    </xf>
    <xf numFmtId="3" fontId="10" fillId="6" borderId="20" xfId="0" applyNumberFormat="1" applyFont="1" applyFill="1" applyBorder="1" applyAlignment="1">
      <alignment vertical="center"/>
    </xf>
    <xf numFmtId="3" fontId="10" fillId="0" borderId="20" xfId="0" applyNumberFormat="1" applyFont="1" applyBorder="1" applyAlignment="1">
      <alignment vertical="center"/>
    </xf>
    <xf numFmtId="164" fontId="19" fillId="16" borderId="20" xfId="2" applyNumberFormat="1" applyFont="1" applyFill="1" applyBorder="1"/>
    <xf numFmtId="164" fontId="74" fillId="18" borderId="13" xfId="1" applyNumberFormat="1" applyFont="1" applyFill="1" applyBorder="1"/>
    <xf numFmtId="3" fontId="32" fillId="18" borderId="14" xfId="0" applyNumberFormat="1" applyFont="1" applyFill="1" applyBorder="1" applyAlignment="1">
      <alignment horizontal="right" vertical="center"/>
    </xf>
    <xf numFmtId="3" fontId="11" fillId="0" borderId="16" xfId="0" applyNumberFormat="1" applyFont="1" applyBorder="1" applyAlignment="1">
      <alignment horizontal="right" vertical="center"/>
    </xf>
    <xf numFmtId="3" fontId="50" fillId="18" borderId="13" xfId="0" applyNumberFormat="1" applyFont="1" applyFill="1" applyBorder="1" applyAlignment="1">
      <alignment horizontal="right" vertical="center"/>
    </xf>
    <xf numFmtId="164" fontId="10" fillId="18" borderId="44" xfId="1" applyNumberFormat="1" applyFont="1" applyFill="1" applyBorder="1" applyAlignment="1">
      <alignment horizontal="right" vertical="top" wrapText="1"/>
    </xf>
    <xf numFmtId="3" fontId="10" fillId="6" borderId="10" xfId="0" applyNumberFormat="1" applyFont="1" applyFill="1" applyBorder="1" applyAlignment="1">
      <alignment horizontal="right" vertical="center"/>
    </xf>
    <xf numFmtId="3" fontId="50" fillId="18" borderId="52" xfId="0" applyNumberFormat="1" applyFont="1" applyFill="1" applyBorder="1" applyAlignment="1">
      <alignment horizontal="right" vertical="center"/>
    </xf>
    <xf numFmtId="164" fontId="36" fillId="18" borderId="18" xfId="1" applyNumberFormat="1" applyFont="1" applyFill="1" applyBorder="1"/>
    <xf numFmtId="3" fontId="37" fillId="18" borderId="19" xfId="0" applyNumberFormat="1" applyFont="1" applyFill="1" applyBorder="1" applyAlignment="1">
      <alignment horizontal="right" vertical="center"/>
    </xf>
    <xf numFmtId="164" fontId="37" fillId="18" borderId="18" xfId="1" applyNumberFormat="1" applyFont="1" applyFill="1" applyBorder="1"/>
    <xf numFmtId="164" fontId="37" fillId="18" borderId="19" xfId="1" applyNumberFormat="1" applyFont="1" applyFill="1" applyBorder="1"/>
    <xf numFmtId="3" fontId="16" fillId="0" borderId="56" xfId="0" applyNumberFormat="1" applyFont="1" applyBorder="1" applyAlignment="1">
      <alignment horizontal="right" vertical="center"/>
    </xf>
    <xf numFmtId="3" fontId="16" fillId="0" borderId="45" xfId="0" applyNumberFormat="1" applyFont="1" applyBorder="1" applyAlignment="1">
      <alignment horizontal="right" vertical="center"/>
    </xf>
    <xf numFmtId="3" fontId="5" fillId="5" borderId="20" xfId="0" applyNumberFormat="1" applyFont="1" applyFill="1" applyBorder="1" applyAlignment="1">
      <alignment horizontal="right" vertical="center"/>
    </xf>
    <xf numFmtId="3" fontId="5" fillId="5" borderId="20" xfId="0" applyNumberFormat="1" applyFont="1" applyFill="1" applyBorder="1"/>
    <xf numFmtId="164" fontId="13" fillId="7" borderId="20" xfId="1" applyNumberFormat="1" applyFont="1" applyFill="1" applyBorder="1"/>
    <xf numFmtId="166" fontId="3" fillId="0" borderId="20" xfId="0" applyNumberFormat="1" applyFont="1" applyBorder="1"/>
    <xf numFmtId="164" fontId="13" fillId="18" borderId="13" xfId="1" applyNumberFormat="1" applyFont="1" applyFill="1" applyBorder="1"/>
    <xf numFmtId="164" fontId="3" fillId="18" borderId="18" xfId="1" applyNumberFormat="1" applyFont="1" applyFill="1" applyBorder="1"/>
    <xf numFmtId="3" fontId="8" fillId="0" borderId="27" xfId="0" applyNumberFormat="1" applyFont="1" applyBorder="1" applyAlignment="1">
      <alignment horizontal="right" vertical="center"/>
    </xf>
    <xf numFmtId="164" fontId="5" fillId="18" borderId="18" xfId="1" applyNumberFormat="1" applyFont="1" applyFill="1" applyBorder="1"/>
    <xf numFmtId="0" fontId="16" fillId="0" borderId="25" xfId="0" applyFont="1" applyBorder="1"/>
    <xf numFmtId="3" fontId="72" fillId="0" borderId="0" xfId="0" applyNumberFormat="1" applyFont="1" applyAlignment="1">
      <alignment horizontal="left" vertical="top" wrapText="1"/>
    </xf>
    <xf numFmtId="3" fontId="5" fillId="18" borderId="13" xfId="0" applyNumberFormat="1" applyFont="1" applyFill="1" applyBorder="1" applyAlignment="1">
      <alignment horizontal="right" vertical="center"/>
    </xf>
    <xf numFmtId="3" fontId="5" fillId="18" borderId="52" xfId="0" applyNumberFormat="1" applyFont="1" applyFill="1" applyBorder="1" applyAlignment="1">
      <alignment horizontal="right" vertical="center"/>
    </xf>
    <xf numFmtId="3" fontId="8" fillId="7" borderId="20" xfId="0" applyNumberFormat="1" applyFont="1" applyFill="1" applyBorder="1" applyAlignment="1">
      <alignment horizontal="right" vertical="center" wrapText="1"/>
    </xf>
    <xf numFmtId="3" fontId="5" fillId="7" borderId="20" xfId="0" applyNumberFormat="1" applyFont="1" applyFill="1" applyBorder="1" applyAlignment="1">
      <alignment horizontal="right"/>
    </xf>
    <xf numFmtId="3" fontId="12" fillId="6" borderId="34" xfId="0" applyNumberFormat="1" applyFont="1" applyFill="1" applyBorder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3" fontId="75" fillId="18" borderId="14" xfId="0" applyNumberFormat="1" applyFont="1" applyFill="1" applyBorder="1" applyAlignment="1">
      <alignment horizontal="right" vertical="center"/>
    </xf>
    <xf numFmtId="3" fontId="76" fillId="18" borderId="19" xfId="0" applyNumberFormat="1" applyFont="1" applyFill="1" applyBorder="1" applyAlignment="1">
      <alignment horizontal="right" vertical="center"/>
    </xf>
    <xf numFmtId="164" fontId="76" fillId="18" borderId="19" xfId="1" applyNumberFormat="1" applyFont="1" applyFill="1" applyBorder="1"/>
    <xf numFmtId="3" fontId="16" fillId="7" borderId="16" xfId="0" applyNumberFormat="1" applyFont="1" applyFill="1" applyBorder="1" applyAlignment="1">
      <alignment horizontal="right" vertical="center"/>
    </xf>
    <xf numFmtId="3" fontId="10" fillId="7" borderId="20" xfId="0" applyNumberFormat="1" applyFont="1" applyFill="1" applyBorder="1"/>
    <xf numFmtId="3" fontId="16" fillId="6" borderId="18" xfId="0" applyNumberFormat="1" applyFont="1" applyFill="1" applyBorder="1" applyAlignment="1">
      <alignment horizontal="right" vertical="center"/>
    </xf>
    <xf numFmtId="164" fontId="10" fillId="18" borderId="20" xfId="1" applyNumberFormat="1" applyFont="1" applyFill="1" applyBorder="1"/>
    <xf numFmtId="164" fontId="16" fillId="18" borderId="20" xfId="0" applyNumberFormat="1" applyFont="1" applyFill="1" applyBorder="1"/>
    <xf numFmtId="3" fontId="16" fillId="6" borderId="20" xfId="0" applyNumberFormat="1" applyFont="1" applyFill="1" applyBorder="1"/>
    <xf numFmtId="3" fontId="16" fillId="0" borderId="20" xfId="0" applyNumberFormat="1" applyFont="1" applyBorder="1" applyAlignment="1">
      <alignment horizontal="right" vertical="center"/>
    </xf>
    <xf numFmtId="3" fontId="10" fillId="5" borderId="16" xfId="0" applyNumberFormat="1" applyFont="1" applyFill="1" applyBorder="1" applyAlignment="1">
      <alignment horizontal="right" vertical="center"/>
    </xf>
    <xf numFmtId="3" fontId="10" fillId="17" borderId="20" xfId="0" applyNumberFormat="1" applyFont="1" applyFill="1" applyBorder="1" applyAlignment="1">
      <alignment horizontal="right" vertical="center"/>
    </xf>
    <xf numFmtId="3" fontId="10" fillId="6" borderId="18" xfId="0" applyNumberFormat="1" applyFont="1" applyFill="1" applyBorder="1" applyAlignment="1">
      <alignment horizontal="right" vertical="center"/>
    </xf>
    <xf numFmtId="9" fontId="8" fillId="7" borderId="20" xfId="2" applyFont="1" applyFill="1" applyBorder="1"/>
    <xf numFmtId="3" fontId="16" fillId="7" borderId="19" xfId="0" applyNumberFormat="1" applyFont="1" applyFill="1" applyBorder="1" applyAlignment="1">
      <alignment horizontal="right" vertical="center"/>
    </xf>
    <xf numFmtId="3" fontId="10" fillId="0" borderId="18" xfId="0" applyNumberFormat="1" applyFont="1" applyBorder="1" applyAlignment="1">
      <alignment horizontal="right" vertical="center"/>
    </xf>
    <xf numFmtId="3" fontId="16" fillId="6" borderId="26" xfId="0" applyNumberFormat="1" applyFont="1" applyFill="1" applyBorder="1" applyAlignment="1">
      <alignment horizontal="right" vertical="center"/>
    </xf>
    <xf numFmtId="0" fontId="16" fillId="0" borderId="60" xfId="0" applyFont="1" applyBorder="1"/>
    <xf numFmtId="164" fontId="16" fillId="11" borderId="20" xfId="0" applyNumberFormat="1" applyFont="1" applyFill="1" applyBorder="1"/>
    <xf numFmtId="43" fontId="52" fillId="6" borderId="20" xfId="0" applyNumberFormat="1" applyFont="1" applyFill="1" applyBorder="1"/>
    <xf numFmtId="3" fontId="16" fillId="6" borderId="20" xfId="0" applyNumberFormat="1" applyFont="1" applyFill="1" applyBorder="1" applyAlignment="1">
      <alignment horizontal="right" vertical="center"/>
    </xf>
    <xf numFmtId="3" fontId="16" fillId="0" borderId="17" xfId="0" applyNumberFormat="1" applyFont="1" applyBorder="1" applyAlignment="1">
      <alignment horizontal="right" vertical="center"/>
    </xf>
    <xf numFmtId="3" fontId="12" fillId="5" borderId="19" xfId="0" applyNumberFormat="1" applyFont="1" applyFill="1" applyBorder="1" applyAlignment="1">
      <alignment horizontal="right" vertical="center"/>
    </xf>
    <xf numFmtId="3" fontId="12" fillId="6" borderId="20" xfId="0" applyNumberFormat="1" applyFont="1" applyFill="1" applyBorder="1" applyAlignment="1">
      <alignment horizontal="right" vertical="center"/>
    </xf>
    <xf numFmtId="3" fontId="12" fillId="5" borderId="73" xfId="0" applyNumberFormat="1" applyFont="1" applyFill="1" applyBorder="1" applyAlignment="1">
      <alignment horizontal="right" vertical="center"/>
    </xf>
    <xf numFmtId="3" fontId="16" fillId="0" borderId="17" xfId="0" applyNumberFormat="1" applyFont="1" applyBorder="1"/>
    <xf numFmtId="3" fontId="12" fillId="5" borderId="16" xfId="0" applyNumberFormat="1" applyFont="1" applyFill="1" applyBorder="1" applyAlignment="1">
      <alignment horizontal="right" vertical="center"/>
    </xf>
    <xf numFmtId="3" fontId="16" fillId="0" borderId="36" xfId="0" applyNumberFormat="1" applyFont="1" applyBorder="1"/>
    <xf numFmtId="3" fontId="16" fillId="6" borderId="37" xfId="0" applyNumberFormat="1" applyFont="1" applyFill="1" applyBorder="1" applyAlignment="1">
      <alignment horizontal="right" vertical="center"/>
    </xf>
    <xf numFmtId="3" fontId="12" fillId="6" borderId="45" xfId="0" applyNumberFormat="1" applyFont="1" applyFill="1" applyBorder="1" applyAlignment="1">
      <alignment horizontal="right" vertical="center"/>
    </xf>
    <xf numFmtId="3" fontId="12" fillId="6" borderId="32" xfId="0" applyNumberFormat="1" applyFont="1" applyFill="1" applyBorder="1" applyAlignment="1">
      <alignment horizontal="right" vertical="center"/>
    </xf>
    <xf numFmtId="3" fontId="12" fillId="6" borderId="54" xfId="0" applyNumberFormat="1" applyFont="1" applyFill="1" applyBorder="1" applyAlignment="1">
      <alignment horizontal="right" vertical="center"/>
    </xf>
    <xf numFmtId="3" fontId="12" fillId="6" borderId="35" xfId="0" applyNumberFormat="1" applyFont="1" applyFill="1" applyBorder="1" applyAlignment="1">
      <alignment horizontal="right" vertical="center"/>
    </xf>
    <xf numFmtId="3" fontId="12" fillId="4" borderId="35" xfId="0" applyNumberFormat="1" applyFont="1" applyFill="1" applyBorder="1" applyAlignment="1">
      <alignment horizontal="right" vertical="center"/>
    </xf>
    <xf numFmtId="3" fontId="12" fillId="6" borderId="37" xfId="0" applyNumberFormat="1" applyFont="1" applyFill="1" applyBorder="1" applyAlignment="1">
      <alignment horizontal="right" vertical="center"/>
    </xf>
    <xf numFmtId="9" fontId="3" fillId="7" borderId="0" xfId="2" applyFont="1" applyFill="1"/>
    <xf numFmtId="3" fontId="12" fillId="0" borderId="66" xfId="0" applyNumberFormat="1" applyFont="1" applyBorder="1" applyAlignment="1">
      <alignment vertical="center"/>
    </xf>
    <xf numFmtId="3" fontId="16" fillId="0" borderId="37" xfId="1" applyNumberFormat="1" applyFont="1" applyFill="1" applyBorder="1"/>
    <xf numFmtId="3" fontId="16" fillId="0" borderId="21" xfId="1" applyNumberFormat="1" applyFont="1" applyFill="1" applyBorder="1"/>
    <xf numFmtId="3" fontId="16" fillId="0" borderId="20" xfId="1" applyNumberFormat="1" applyFont="1" applyFill="1" applyBorder="1"/>
    <xf numFmtId="3" fontId="12" fillId="5" borderId="31" xfId="0" applyNumberFormat="1" applyFont="1" applyFill="1" applyBorder="1" applyAlignment="1">
      <alignment horizontal="right" vertical="center"/>
    </xf>
    <xf numFmtId="3" fontId="16" fillId="0" borderId="37" xfId="0" applyNumberFormat="1" applyFont="1" applyBorder="1" applyAlignment="1">
      <alignment horizontal="right" vertical="center"/>
    </xf>
    <xf numFmtId="3" fontId="12" fillId="6" borderId="33" xfId="0" applyNumberFormat="1" applyFont="1" applyFill="1" applyBorder="1" applyAlignment="1">
      <alignment horizontal="right" vertical="center"/>
    </xf>
    <xf numFmtId="3" fontId="12" fillId="5" borderId="16" xfId="0" applyNumberFormat="1" applyFont="1" applyFill="1" applyBorder="1"/>
    <xf numFmtId="3" fontId="12" fillId="17" borderId="37" xfId="0" applyNumberFormat="1" applyFont="1" applyFill="1" applyBorder="1"/>
    <xf numFmtId="3" fontId="12" fillId="6" borderId="18" xfId="0" applyNumberFormat="1" applyFont="1" applyFill="1" applyBorder="1"/>
    <xf numFmtId="3" fontId="12" fillId="6" borderId="21" xfId="0" applyNumberFormat="1" applyFont="1" applyFill="1" applyBorder="1"/>
    <xf numFmtId="3" fontId="12" fillId="6" borderId="18" xfId="0" applyNumberFormat="1" applyFont="1" applyFill="1" applyBorder="1" applyAlignment="1">
      <alignment horizontal="right" vertical="center"/>
    </xf>
    <xf numFmtId="3" fontId="12" fillId="5" borderId="1" xfId="0" applyNumberFormat="1" applyFont="1" applyFill="1" applyBorder="1" applyAlignment="1">
      <alignment horizontal="right" vertical="center"/>
    </xf>
    <xf numFmtId="3" fontId="12" fillId="6" borderId="67" xfId="0" applyNumberFormat="1" applyFont="1" applyFill="1" applyBorder="1" applyAlignment="1">
      <alignment horizontal="right" vertical="center"/>
    </xf>
    <xf numFmtId="3" fontId="10" fillId="6" borderId="43" xfId="0" applyNumberFormat="1" applyFont="1" applyFill="1" applyBorder="1" applyAlignment="1">
      <alignment horizontal="right" vertical="center"/>
    </xf>
    <xf numFmtId="0" fontId="10" fillId="0" borderId="7" xfId="1" applyNumberFormat="1" applyFont="1" applyFill="1" applyBorder="1" applyAlignment="1">
      <alignment horizontal="left"/>
    </xf>
    <xf numFmtId="164" fontId="10" fillId="0" borderId="7" xfId="1" applyNumberFormat="1" applyFont="1" applyFill="1" applyBorder="1" applyAlignment="1">
      <alignment horizontal="right" vertical="top" wrapText="1"/>
    </xf>
    <xf numFmtId="164" fontId="10" fillId="0" borderId="11" xfId="1" applyNumberFormat="1" applyFont="1" applyFill="1" applyBorder="1" applyAlignment="1">
      <alignment horizontal="right" vertical="top" wrapText="1"/>
    </xf>
    <xf numFmtId="3" fontId="16" fillId="0" borderId="20" xfId="0" applyNumberFormat="1" applyFont="1" applyBorder="1"/>
    <xf numFmtId="3" fontId="12" fillId="6" borderId="19" xfId="0" applyNumberFormat="1" applyFont="1" applyFill="1" applyBorder="1" applyAlignment="1">
      <alignment horizontal="right" vertical="center"/>
    </xf>
    <xf numFmtId="3" fontId="10" fillId="5" borderId="6" xfId="0" applyNumberFormat="1" applyFont="1" applyFill="1" applyBorder="1" applyAlignment="1">
      <alignment horizontal="right" vertical="center"/>
    </xf>
    <xf numFmtId="3" fontId="12" fillId="20" borderId="72" xfId="0" applyNumberFormat="1" applyFont="1" applyFill="1" applyBorder="1" applyAlignment="1">
      <alignment horizontal="right" vertical="center"/>
    </xf>
    <xf numFmtId="3" fontId="12" fillId="6" borderId="9" xfId="0" applyNumberFormat="1" applyFont="1" applyFill="1" applyBorder="1" applyAlignment="1">
      <alignment horizontal="right" vertical="center"/>
    </xf>
    <xf numFmtId="3" fontId="12" fillId="6" borderId="71" xfId="0" applyNumberFormat="1" applyFont="1" applyFill="1" applyBorder="1" applyAlignment="1">
      <alignment horizontal="right" vertical="center"/>
    </xf>
    <xf numFmtId="3" fontId="10" fillId="5" borderId="31" xfId="0" applyNumberFormat="1" applyFont="1" applyFill="1" applyBorder="1" applyAlignment="1">
      <alignment horizontal="right" vertical="center"/>
    </xf>
    <xf numFmtId="3" fontId="10" fillId="5" borderId="69" xfId="0" applyNumberFormat="1" applyFont="1" applyFill="1" applyBorder="1" applyAlignment="1">
      <alignment horizontal="right" vertical="center"/>
    </xf>
    <xf numFmtId="3" fontId="10" fillId="6" borderId="56" xfId="0" applyNumberFormat="1" applyFont="1" applyFill="1" applyBorder="1" applyAlignment="1">
      <alignment horizontal="right" vertical="center"/>
    </xf>
    <xf numFmtId="3" fontId="10" fillId="6" borderId="35" xfId="0" applyNumberFormat="1" applyFont="1" applyFill="1" applyBorder="1" applyAlignment="1">
      <alignment horizontal="right" vertical="center"/>
    </xf>
    <xf numFmtId="3" fontId="10" fillId="4" borderId="35" xfId="0" applyNumberFormat="1" applyFont="1" applyFill="1" applyBorder="1" applyAlignment="1">
      <alignment horizontal="right" vertical="center"/>
    </xf>
    <xf numFmtId="3" fontId="16" fillId="0" borderId="37" xfId="0" applyNumberFormat="1" applyFont="1" applyBorder="1"/>
    <xf numFmtId="3" fontId="12" fillId="17" borderId="31" xfId="0" applyNumberFormat="1" applyFont="1" applyFill="1" applyBorder="1" applyAlignment="1">
      <alignment horizontal="right" vertical="center"/>
    </xf>
    <xf numFmtId="3" fontId="10" fillId="5" borderId="20" xfId="0" applyNumberFormat="1" applyFont="1" applyFill="1" applyBorder="1" applyAlignment="1">
      <alignment horizontal="right" vertical="center"/>
    </xf>
    <xf numFmtId="3" fontId="10" fillId="6" borderId="33" xfId="0" applyNumberFormat="1" applyFont="1" applyFill="1" applyBorder="1" applyAlignment="1">
      <alignment horizontal="right" vertical="center"/>
    </xf>
    <xf numFmtId="3" fontId="10" fillId="6" borderId="34" xfId="0" applyNumberFormat="1" applyFont="1" applyFill="1" applyBorder="1" applyAlignment="1">
      <alignment horizontal="right" vertical="center"/>
    </xf>
    <xf numFmtId="3" fontId="10" fillId="18" borderId="18" xfId="0" applyNumberFormat="1" applyFont="1" applyFill="1" applyBorder="1" applyAlignment="1">
      <alignment horizontal="right" vertical="center"/>
    </xf>
    <xf numFmtId="3" fontId="10" fillId="18" borderId="19" xfId="0" applyNumberFormat="1" applyFont="1" applyFill="1" applyBorder="1" applyAlignment="1">
      <alignment horizontal="right" vertical="center"/>
    </xf>
    <xf numFmtId="3" fontId="10" fillId="17" borderId="16" xfId="0" applyNumberFormat="1" applyFont="1" applyFill="1" applyBorder="1" applyAlignment="1">
      <alignment horizontal="right" vertical="center"/>
    </xf>
    <xf numFmtId="3" fontId="16" fillId="17" borderId="20" xfId="0" applyNumberFormat="1" applyFont="1" applyFill="1" applyBorder="1" applyAlignment="1">
      <alignment horizontal="right" vertical="center"/>
    </xf>
    <xf numFmtId="3" fontId="16" fillId="17" borderId="18" xfId="0" applyNumberFormat="1" applyFont="1" applyFill="1" applyBorder="1" applyAlignment="1">
      <alignment horizontal="right" vertical="center"/>
    </xf>
    <xf numFmtId="3" fontId="10" fillId="17" borderId="19" xfId="0" applyNumberFormat="1" applyFont="1" applyFill="1" applyBorder="1" applyAlignment="1">
      <alignment horizontal="right" vertical="center"/>
    </xf>
    <xf numFmtId="3" fontId="12" fillId="5" borderId="34" xfId="0" applyNumberFormat="1" applyFont="1" applyFill="1" applyBorder="1" applyAlignment="1">
      <alignment horizontal="right" vertical="center"/>
    </xf>
    <xf numFmtId="3" fontId="12" fillId="5" borderId="32" xfId="0" applyNumberFormat="1" applyFont="1" applyFill="1" applyBorder="1" applyAlignment="1">
      <alignment horizontal="right" vertical="center"/>
    </xf>
    <xf numFmtId="3" fontId="12" fillId="2" borderId="33" xfId="0" applyNumberFormat="1" applyFont="1" applyFill="1" applyBorder="1" applyAlignment="1">
      <alignment horizontal="right" vertical="center"/>
    </xf>
    <xf numFmtId="3" fontId="12" fillId="17" borderId="20" xfId="0" applyNumberFormat="1" applyFont="1" applyFill="1" applyBorder="1" applyAlignment="1">
      <alignment horizontal="right" vertical="center"/>
    </xf>
    <xf numFmtId="3" fontId="16" fillId="0" borderId="31" xfId="0" applyNumberFormat="1" applyFont="1" applyBorder="1" applyAlignment="1">
      <alignment horizontal="right" vertical="center"/>
    </xf>
    <xf numFmtId="3" fontId="16" fillId="0" borderId="33" xfId="0" applyNumberFormat="1" applyFont="1" applyBorder="1" applyAlignment="1">
      <alignment horizontal="right" vertical="center"/>
    </xf>
    <xf numFmtId="3" fontId="16" fillId="0" borderId="69" xfId="0" applyNumberFormat="1" applyFont="1" applyBorder="1" applyAlignment="1">
      <alignment horizontal="right" vertical="center"/>
    </xf>
    <xf numFmtId="3" fontId="10" fillId="5" borderId="25" xfId="0" applyNumberFormat="1" applyFont="1" applyFill="1" applyBorder="1" applyAlignment="1">
      <alignment horizontal="right" vertical="center"/>
    </xf>
    <xf numFmtId="3" fontId="12" fillId="20" borderId="15" xfId="0" applyNumberFormat="1" applyFont="1" applyFill="1" applyBorder="1" applyAlignment="1">
      <alignment horizontal="right" vertical="center"/>
    </xf>
    <xf numFmtId="3" fontId="12" fillId="6" borderId="28" xfId="0" applyNumberFormat="1" applyFont="1" applyFill="1" applyBorder="1" applyAlignment="1">
      <alignment horizontal="right" vertical="center"/>
    </xf>
    <xf numFmtId="3" fontId="77" fillId="0" borderId="31" xfId="0" applyNumberFormat="1" applyFont="1" applyBorder="1" applyAlignment="1">
      <alignment horizontal="right" vertical="center"/>
    </xf>
    <xf numFmtId="3" fontId="77" fillId="0" borderId="54" xfId="0" applyNumberFormat="1" applyFont="1" applyBorder="1" applyAlignment="1">
      <alignment horizontal="right" vertical="center"/>
    </xf>
    <xf numFmtId="3" fontId="77" fillId="0" borderId="45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vertical="center"/>
    </xf>
    <xf numFmtId="0" fontId="7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3" fontId="15" fillId="7" borderId="0" xfId="0" applyNumberFormat="1" applyFont="1" applyFill="1" applyAlignment="1">
      <alignment horizontal="center" vertical="center" wrapText="1"/>
    </xf>
    <xf numFmtId="0" fontId="69" fillId="7" borderId="0" xfId="0" applyFont="1" applyFill="1" applyAlignment="1">
      <alignment horizontal="center" vertical="center" wrapText="1"/>
    </xf>
    <xf numFmtId="0" fontId="80" fillId="7" borderId="0" xfId="0" applyFont="1" applyFill="1" applyAlignment="1">
      <alignment horizontal="center" vertical="center" wrapText="1"/>
    </xf>
    <xf numFmtId="3" fontId="80" fillId="7" borderId="0" xfId="0" applyNumberFormat="1" applyFont="1" applyFill="1" applyAlignment="1">
      <alignment horizontal="center" vertical="center" wrapText="1"/>
    </xf>
    <xf numFmtId="3" fontId="17" fillId="7" borderId="0" xfId="0" applyNumberFormat="1" applyFont="1" applyFill="1" applyAlignment="1">
      <alignment horizontal="right" vertical="center"/>
    </xf>
    <xf numFmtId="3" fontId="17" fillId="7" borderId="0" xfId="0" applyNumberFormat="1" applyFont="1" applyFill="1" applyAlignment="1">
      <alignment vertical="center"/>
    </xf>
    <xf numFmtId="3" fontId="17" fillId="7" borderId="0" xfId="1" applyNumberFormat="1" applyFont="1" applyFill="1" applyBorder="1" applyAlignment="1">
      <alignment horizontal="right" vertical="center"/>
    </xf>
    <xf numFmtId="3" fontId="81" fillId="7" borderId="0" xfId="0" applyNumberFormat="1" applyFont="1" applyFill="1" applyAlignment="1">
      <alignment horizontal="right" vertical="center"/>
    </xf>
    <xf numFmtId="3" fontId="69" fillId="7" borderId="0" xfId="0" applyNumberFormat="1" applyFont="1" applyFill="1" applyAlignment="1">
      <alignment horizontal="right" vertical="center"/>
    </xf>
    <xf numFmtId="0" fontId="78" fillId="7" borderId="0" xfId="0" applyFont="1" applyFill="1" applyAlignment="1">
      <alignment vertical="center"/>
    </xf>
    <xf numFmtId="0" fontId="83" fillId="7" borderId="0" xfId="0" applyFont="1" applyFill="1" applyAlignment="1">
      <alignment vertical="center"/>
    </xf>
    <xf numFmtId="0" fontId="79" fillId="7" borderId="0" xfId="0" applyFont="1" applyFill="1" applyAlignment="1">
      <alignment horizontal="left" vertical="center"/>
    </xf>
    <xf numFmtId="0" fontId="79" fillId="7" borderId="0" xfId="0" applyFont="1" applyFill="1" applyAlignment="1">
      <alignment vertical="center"/>
    </xf>
    <xf numFmtId="3" fontId="82" fillId="7" borderId="0" xfId="0" applyNumberFormat="1" applyFont="1" applyFill="1" applyAlignment="1">
      <alignment vertical="center"/>
    </xf>
    <xf numFmtId="3" fontId="79" fillId="7" borderId="0" xfId="0" applyNumberFormat="1" applyFont="1" applyFill="1" applyAlignment="1">
      <alignment vertical="center"/>
    </xf>
    <xf numFmtId="9" fontId="79" fillId="7" borderId="0" xfId="2" applyFont="1" applyFill="1" applyAlignment="1">
      <alignment vertical="center"/>
    </xf>
    <xf numFmtId="164" fontId="17" fillId="7" borderId="0" xfId="1" applyNumberFormat="1" applyFont="1" applyFill="1" applyBorder="1" applyAlignment="1">
      <alignment horizontal="right" vertical="center"/>
    </xf>
    <xf numFmtId="164" fontId="17" fillId="7" borderId="0" xfId="1" applyNumberFormat="1" applyFont="1" applyFill="1" applyBorder="1" applyAlignment="1">
      <alignment vertical="center"/>
    </xf>
    <xf numFmtId="3" fontId="81" fillId="7" borderId="0" xfId="0" applyNumberFormat="1" applyFont="1" applyFill="1" applyAlignment="1">
      <alignment vertical="center"/>
    </xf>
    <xf numFmtId="0" fontId="7" fillId="7" borderId="0" xfId="0" applyFont="1" applyFill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5" fillId="6" borderId="20" xfId="0" applyNumberFormat="1" applyFont="1" applyFill="1" applyBorder="1" applyAlignment="1">
      <alignment horizontal="right" vertical="center"/>
    </xf>
    <xf numFmtId="3" fontId="5" fillId="0" borderId="20" xfId="0" applyNumberFormat="1" applyFont="1" applyBorder="1" applyAlignment="1">
      <alignment horizontal="right" vertical="center"/>
    </xf>
    <xf numFmtId="3" fontId="5" fillId="0" borderId="17" xfId="0" applyNumberFormat="1" applyFont="1" applyBorder="1" applyAlignment="1">
      <alignment horizontal="right" vertical="center"/>
    </xf>
    <xf numFmtId="3" fontId="5" fillId="6" borderId="22" xfId="0" applyNumberFormat="1" applyFont="1" applyFill="1" applyBorder="1" applyAlignment="1">
      <alignment horizontal="right" vertical="center"/>
    </xf>
    <xf numFmtId="3" fontId="5" fillId="6" borderId="24" xfId="0" applyNumberFormat="1" applyFont="1" applyFill="1" applyBorder="1" applyAlignment="1">
      <alignment horizontal="right" vertical="center"/>
    </xf>
    <xf numFmtId="3" fontId="5" fillId="7" borderId="29" xfId="0" applyNumberFormat="1" applyFont="1" applyFill="1" applyBorder="1" applyAlignment="1">
      <alignment horizontal="right" vertical="center"/>
    </xf>
    <xf numFmtId="3" fontId="5" fillId="7" borderId="14" xfId="0" applyNumberFormat="1" applyFont="1" applyFill="1" applyBorder="1" applyAlignment="1">
      <alignment horizontal="right" vertical="center"/>
    </xf>
    <xf numFmtId="0" fontId="28" fillId="3" borderId="3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3" fontId="5" fillId="0" borderId="23" xfId="0" applyNumberFormat="1" applyFont="1" applyBorder="1" applyAlignment="1">
      <alignment horizontal="right" vertical="center"/>
    </xf>
    <xf numFmtId="3" fontId="5" fillId="0" borderId="13" xfId="0" applyNumberFormat="1" applyFont="1" applyBorder="1" applyAlignment="1">
      <alignment horizontal="right" vertical="center"/>
    </xf>
    <xf numFmtId="0" fontId="28" fillId="4" borderId="48" xfId="0" applyFont="1" applyFill="1" applyBorder="1" applyAlignment="1">
      <alignment horizontal="center" vertical="center" wrapText="1"/>
    </xf>
    <xf numFmtId="0" fontId="28" fillId="4" borderId="49" xfId="0" applyFont="1" applyFill="1" applyBorder="1" applyAlignment="1">
      <alignment horizontal="center" vertical="center" wrapText="1"/>
    </xf>
    <xf numFmtId="3" fontId="5" fillId="6" borderId="53" xfId="0" applyNumberFormat="1" applyFont="1" applyFill="1" applyBorder="1" applyAlignment="1">
      <alignment horizontal="right" vertical="center"/>
    </xf>
    <xf numFmtId="3" fontId="5" fillId="6" borderId="5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8" fillId="4" borderId="5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/>
    </xf>
    <xf numFmtId="0" fontId="38" fillId="4" borderId="3" xfId="0" applyFont="1" applyFill="1" applyBorder="1" applyAlignment="1">
      <alignment horizontal="center"/>
    </xf>
    <xf numFmtId="3" fontId="5" fillId="6" borderId="20" xfId="0" applyNumberFormat="1" applyFont="1" applyFill="1" applyBorder="1" applyAlignment="1">
      <alignment horizontal="center" vertical="center"/>
    </xf>
    <xf numFmtId="0" fontId="28" fillId="2" borderId="57" xfId="0" applyFont="1" applyFill="1" applyBorder="1" applyAlignment="1">
      <alignment horizontal="left" vertical="center"/>
    </xf>
    <xf numFmtId="0" fontId="28" fillId="2" borderId="40" xfId="0" applyFont="1" applyFill="1" applyBorder="1" applyAlignment="1">
      <alignment horizontal="left" vertical="center"/>
    </xf>
    <xf numFmtId="0" fontId="28" fillId="2" borderId="50" xfId="0" applyFont="1" applyFill="1" applyBorder="1" applyAlignment="1">
      <alignment horizontal="center" vertical="center" wrapText="1"/>
    </xf>
    <xf numFmtId="0" fontId="28" fillId="2" borderId="51" xfId="0" applyFont="1" applyFill="1" applyBorder="1" applyAlignment="1">
      <alignment horizontal="center" vertical="center" wrapText="1"/>
    </xf>
    <xf numFmtId="0" fontId="28" fillId="12" borderId="4" xfId="0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horizontal="center" vertical="center" wrapText="1"/>
    </xf>
    <xf numFmtId="3" fontId="22" fillId="7" borderId="27" xfId="0" applyNumberFormat="1" applyFont="1" applyFill="1" applyBorder="1" applyAlignment="1">
      <alignment horizontal="right" vertical="center"/>
    </xf>
    <xf numFmtId="3" fontId="22" fillId="7" borderId="12" xfId="0" applyNumberFormat="1" applyFont="1" applyFill="1" applyBorder="1" applyAlignment="1">
      <alignment horizontal="right" vertical="center"/>
    </xf>
    <xf numFmtId="3" fontId="22" fillId="0" borderId="41" xfId="0" applyNumberFormat="1" applyFont="1" applyBorder="1" applyAlignment="1">
      <alignment horizontal="right" vertical="center"/>
    </xf>
    <xf numFmtId="3" fontId="22" fillId="0" borderId="47" xfId="0" applyNumberFormat="1" applyFont="1" applyBorder="1" applyAlignment="1">
      <alignment horizontal="right" vertical="center"/>
    </xf>
    <xf numFmtId="3" fontId="22" fillId="6" borderId="53" xfId="0" applyNumberFormat="1" applyFont="1" applyFill="1" applyBorder="1" applyAlignment="1">
      <alignment horizontal="right" vertical="center"/>
    </xf>
    <xf numFmtId="3" fontId="22" fillId="6" borderId="52" xfId="0" applyNumberFormat="1" applyFont="1" applyFill="1" applyBorder="1" applyAlignment="1">
      <alignment horizontal="right" vertical="center"/>
    </xf>
    <xf numFmtId="3" fontId="22" fillId="6" borderId="22" xfId="0" applyNumberFormat="1" applyFont="1" applyFill="1" applyBorder="1" applyAlignment="1">
      <alignment horizontal="right" vertical="center"/>
    </xf>
    <xf numFmtId="3" fontId="22" fillId="6" borderId="24" xfId="0" applyNumberFormat="1" applyFont="1" applyFill="1" applyBorder="1" applyAlignment="1">
      <alignment horizontal="right" vertical="center"/>
    </xf>
    <xf numFmtId="0" fontId="28" fillId="2" borderId="1" xfId="0" applyFont="1" applyFill="1" applyBorder="1" applyAlignment="1">
      <alignment horizontal="left" vertical="center"/>
    </xf>
    <xf numFmtId="0" fontId="28" fillId="2" borderId="6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28" fillId="3" borderId="61" xfId="0" applyFont="1" applyFill="1" applyBorder="1" applyAlignment="1">
      <alignment horizontal="center" vertical="center" wrapText="1"/>
    </xf>
    <xf numFmtId="0" fontId="28" fillId="3" borderId="62" xfId="0" applyFont="1" applyFill="1" applyBorder="1" applyAlignment="1">
      <alignment horizontal="center" vertical="center" wrapText="1"/>
    </xf>
    <xf numFmtId="3" fontId="5" fillId="7" borderId="27" xfId="0" applyNumberFormat="1" applyFont="1" applyFill="1" applyBorder="1" applyAlignment="1">
      <alignment horizontal="right" vertical="center"/>
    </xf>
    <xf numFmtId="3" fontId="5" fillId="7" borderId="12" xfId="0" applyNumberFormat="1" applyFont="1" applyFill="1" applyBorder="1" applyAlignment="1">
      <alignment horizontal="right" vertical="center"/>
    </xf>
    <xf numFmtId="3" fontId="5" fillId="6" borderId="38" xfId="0" applyNumberFormat="1" applyFont="1" applyFill="1" applyBorder="1" applyAlignment="1">
      <alignment horizontal="right" vertical="center"/>
    </xf>
    <xf numFmtId="3" fontId="5" fillId="6" borderId="39" xfId="0" applyNumberFormat="1" applyFont="1" applyFill="1" applyBorder="1" applyAlignment="1">
      <alignment horizontal="right" vertical="center"/>
    </xf>
    <xf numFmtId="3" fontId="5" fillId="0" borderId="41" xfId="0" applyNumberFormat="1" applyFont="1" applyBorder="1" applyAlignment="1">
      <alignment horizontal="right" vertical="center"/>
    </xf>
    <xf numFmtId="3" fontId="5" fillId="0" borderId="47" xfId="0" applyNumberFormat="1" applyFont="1" applyBorder="1" applyAlignment="1">
      <alignment horizontal="right" vertical="center"/>
    </xf>
    <xf numFmtId="0" fontId="7" fillId="4" borderId="57" xfId="0" applyFont="1" applyFill="1" applyBorder="1" applyAlignment="1">
      <alignment horizontal="center" vertical="center" wrapText="1"/>
    </xf>
    <xf numFmtId="0" fontId="28" fillId="4" borderId="40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 wrapText="1"/>
    </xf>
    <xf numFmtId="0" fontId="7" fillId="3" borderId="62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3" fontId="5" fillId="0" borderId="36" xfId="0" applyNumberFormat="1" applyFont="1" applyBorder="1" applyAlignment="1">
      <alignment horizontal="right" vertical="center"/>
    </xf>
    <xf numFmtId="9" fontId="8" fillId="12" borderId="38" xfId="0" applyNumberFormat="1" applyFont="1" applyFill="1" applyBorder="1" applyAlignment="1">
      <alignment horizontal="center" vertical="center"/>
    </xf>
    <xf numFmtId="9" fontId="8" fillId="12" borderId="39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" fillId="17" borderId="64" xfId="0" applyFont="1" applyFill="1" applyBorder="1" applyAlignment="1">
      <alignment horizontal="center" vertical="center" wrapText="1"/>
    </xf>
    <xf numFmtId="0" fontId="7" fillId="17" borderId="65" xfId="0" applyFont="1" applyFill="1" applyBorder="1" applyAlignment="1">
      <alignment horizontal="center" vertical="center" wrapText="1"/>
    </xf>
    <xf numFmtId="3" fontId="10" fillId="6" borderId="20" xfId="0" applyNumberFormat="1" applyFont="1" applyFill="1" applyBorder="1" applyAlignment="1">
      <alignment horizontal="right" vertical="center"/>
    </xf>
    <xf numFmtId="9" fontId="8" fillId="12" borderId="38" xfId="0" applyNumberFormat="1" applyFont="1" applyFill="1" applyBorder="1" applyAlignment="1">
      <alignment horizontal="right" vertical="center"/>
    </xf>
    <xf numFmtId="9" fontId="8" fillId="12" borderId="39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17" borderId="57" xfId="0" applyFont="1" applyFill="1" applyBorder="1" applyAlignment="1">
      <alignment horizontal="center" vertical="center" wrapText="1"/>
    </xf>
    <xf numFmtId="0" fontId="5" fillId="17" borderId="4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6" fillId="4" borderId="5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3" fontId="5" fillId="0" borderId="38" xfId="0" applyNumberFormat="1" applyFont="1" applyBorder="1" applyAlignment="1">
      <alignment horizontal="center" vertical="center"/>
    </xf>
    <xf numFmtId="3" fontId="5" fillId="0" borderId="39" xfId="0" applyNumberFormat="1" applyFont="1" applyBorder="1" applyAlignment="1">
      <alignment horizontal="center" vertical="center"/>
    </xf>
    <xf numFmtId="3" fontId="5" fillId="0" borderId="38" xfId="0" applyNumberFormat="1" applyFont="1" applyBorder="1" applyAlignment="1">
      <alignment horizontal="right" vertical="center"/>
    </xf>
    <xf numFmtId="3" fontId="5" fillId="0" borderId="39" xfId="0" applyNumberFormat="1" applyFont="1" applyBorder="1" applyAlignment="1">
      <alignment horizontal="right" vertical="center"/>
    </xf>
    <xf numFmtId="3" fontId="5" fillId="6" borderId="23" xfId="0" applyNumberFormat="1" applyFont="1" applyFill="1" applyBorder="1" applyAlignment="1">
      <alignment horizontal="right" vertical="center"/>
    </xf>
    <xf numFmtId="3" fontId="5" fillId="6" borderId="13" xfId="0" applyNumberFormat="1" applyFont="1" applyFill="1" applyBorder="1" applyAlignment="1">
      <alignment horizontal="right" vertical="center"/>
    </xf>
    <xf numFmtId="0" fontId="5" fillId="17" borderId="5" xfId="0" applyFont="1" applyFill="1" applyBorder="1" applyAlignment="1">
      <alignment horizontal="center" vertical="center" wrapText="1"/>
    </xf>
    <xf numFmtId="0" fontId="5" fillId="17" borderId="11" xfId="0" applyFont="1" applyFill="1" applyBorder="1" applyAlignment="1">
      <alignment horizontal="center" vertical="center" wrapText="1"/>
    </xf>
    <xf numFmtId="3" fontId="5" fillId="7" borderId="20" xfId="0" applyNumberFormat="1" applyFont="1" applyFill="1" applyBorder="1" applyAlignment="1">
      <alignment horizontal="right" vertical="center"/>
    </xf>
    <xf numFmtId="3" fontId="5" fillId="0" borderId="20" xfId="0" applyNumberFormat="1" applyFont="1" applyBorder="1" applyAlignment="1">
      <alignment horizontal="center" vertical="center"/>
    </xf>
    <xf numFmtId="3" fontId="5" fillId="6" borderId="29" xfId="0" applyNumberFormat="1" applyFont="1" applyFill="1" applyBorder="1" applyAlignment="1">
      <alignment horizontal="right" vertical="center"/>
    </xf>
    <xf numFmtId="3" fontId="5" fillId="6" borderId="14" xfId="0" applyNumberFormat="1" applyFont="1" applyFill="1" applyBorder="1" applyAlignment="1">
      <alignment horizontal="right" vertical="center"/>
    </xf>
    <xf numFmtId="0" fontId="6" fillId="4" borderId="68" xfId="0" applyFont="1" applyFill="1" applyBorder="1" applyAlignment="1">
      <alignment horizontal="center" vertical="center"/>
    </xf>
    <xf numFmtId="0" fontId="6" fillId="4" borderId="61" xfId="0" applyFont="1" applyFill="1" applyBorder="1" applyAlignment="1">
      <alignment horizontal="center"/>
    </xf>
    <xf numFmtId="0" fontId="5" fillId="12" borderId="57" xfId="0" applyFont="1" applyFill="1" applyBorder="1" applyAlignment="1">
      <alignment horizontal="center" vertical="center" wrapText="1"/>
    </xf>
    <xf numFmtId="0" fontId="5" fillId="12" borderId="40" xfId="0" applyFont="1" applyFill="1" applyBorder="1" applyAlignment="1">
      <alignment horizontal="center" vertical="center" wrapText="1"/>
    </xf>
    <xf numFmtId="3" fontId="5" fillId="0" borderId="30" xfId="0" applyNumberFormat="1" applyFont="1" applyBorder="1" applyAlignment="1">
      <alignment horizontal="right" vertical="center"/>
    </xf>
    <xf numFmtId="3" fontId="5" fillId="0" borderId="15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5" fillId="4" borderId="6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3" fontId="10" fillId="7" borderId="30" xfId="0" applyNumberFormat="1" applyFont="1" applyFill="1" applyBorder="1" applyAlignment="1">
      <alignment horizontal="center" vertical="center"/>
    </xf>
    <xf numFmtId="3" fontId="10" fillId="7" borderId="1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3" fontId="73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5" fillId="17" borderId="20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4" xr:uid="{C317CEAA-D203-481D-A1D7-26074F9E365B}"/>
    <cellStyle name="Normal" xfId="0" builtinId="0"/>
    <cellStyle name="Normal 2" xfId="3" xr:uid="{E4425E13-DA57-4348-BFE1-E237B580EB0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zoomScale="90" zoomScaleNormal="90" workbookViewId="0">
      <pane xSplit="4" ySplit="4" topLeftCell="E5" activePane="bottomRight" state="frozen"/>
      <selection pane="topRight"/>
      <selection pane="bottomLeft"/>
      <selection pane="bottomRight" activeCell="B43" sqref="B43"/>
    </sheetView>
  </sheetViews>
  <sheetFormatPr defaultColWidth="8.5546875" defaultRowHeight="14.4"/>
  <cols>
    <col min="1" max="1" width="30.77734375" style="2" customWidth="1"/>
    <col min="2" max="2" width="11.5546875" style="2" customWidth="1"/>
    <col min="3" max="3" width="10" style="2" bestFit="1" customWidth="1"/>
    <col min="4" max="5" width="10.21875" style="2" bestFit="1" customWidth="1"/>
    <col min="6" max="6" width="9.21875" style="2" bestFit="1" customWidth="1"/>
    <col min="7" max="7" width="10.5546875" style="2" bestFit="1" customWidth="1"/>
    <col min="8" max="8" width="9" style="2" bestFit="1" customWidth="1"/>
    <col min="9" max="9" width="8.44140625" style="2" bestFit="1" customWidth="1"/>
    <col min="10" max="10" width="9.5546875" style="2" customWidth="1"/>
    <col min="11" max="11" width="9.5546875" style="2" bestFit="1" customWidth="1"/>
    <col min="12" max="12" width="8.44140625" style="2" bestFit="1" customWidth="1"/>
    <col min="13" max="13" width="7.44140625" style="2" customWidth="1"/>
    <col min="14" max="14" width="9.5546875" style="2" bestFit="1" customWidth="1"/>
    <col min="15" max="15" width="8.5546875" style="2" customWidth="1"/>
    <col min="16" max="16" width="10.21875" style="2" customWidth="1"/>
    <col min="17" max="17" width="14.21875" style="2" customWidth="1"/>
    <col min="18" max="16384" width="8.5546875" style="2"/>
  </cols>
  <sheetData>
    <row r="1" spans="1:17" s="1" customFormat="1" ht="26.85" customHeight="1">
      <c r="A1" s="1031" t="s">
        <v>0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67"/>
      <c r="Q1" s="99"/>
    </row>
    <row r="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36" t="s">
        <v>1</v>
      </c>
      <c r="B3" s="1038" t="s">
        <v>2</v>
      </c>
      <c r="C3" s="1023" t="s">
        <v>3</v>
      </c>
      <c r="D3" s="1027" t="s">
        <v>4</v>
      </c>
      <c r="E3" s="1032" t="s">
        <v>5</v>
      </c>
      <c r="F3" s="1033"/>
      <c r="G3" s="1033"/>
      <c r="H3" s="1033"/>
      <c r="I3" s="1033"/>
      <c r="J3" s="1033"/>
      <c r="K3" s="1033"/>
      <c r="L3" s="1033"/>
      <c r="M3" s="1033"/>
      <c r="N3" s="1034"/>
      <c r="O3" s="1040" t="s">
        <v>6</v>
      </c>
    </row>
    <row r="4" spans="1:17" ht="28.2" thickBot="1">
      <c r="A4" s="1037"/>
      <c r="B4" s="1039"/>
      <c r="C4" s="1024"/>
      <c r="D4" s="1028"/>
      <c r="E4" s="375" t="s">
        <v>7</v>
      </c>
      <c r="F4" s="376" t="s">
        <v>8</v>
      </c>
      <c r="G4" s="376" t="s">
        <v>9</v>
      </c>
      <c r="H4" s="376" t="s">
        <v>10</v>
      </c>
      <c r="I4" s="376" t="s">
        <v>11</v>
      </c>
      <c r="J4" s="377" t="s">
        <v>12</v>
      </c>
      <c r="K4" s="378" t="s">
        <v>13</v>
      </c>
      <c r="L4" s="378" t="s">
        <v>14</v>
      </c>
      <c r="M4" s="379" t="s">
        <v>15</v>
      </c>
      <c r="N4" s="380" t="s">
        <v>16</v>
      </c>
      <c r="O4" s="1041"/>
    </row>
    <row r="5" spans="1:17">
      <c r="A5" s="356"/>
      <c r="B5" s="303"/>
      <c r="C5" s="217"/>
      <c r="D5" s="303"/>
      <c r="E5" s="319"/>
      <c r="F5" s="5"/>
      <c r="G5" s="5"/>
      <c r="H5" s="5"/>
      <c r="I5" s="5"/>
      <c r="J5" s="69"/>
      <c r="K5" s="5"/>
      <c r="L5" s="70"/>
      <c r="M5" s="71"/>
      <c r="N5" s="320"/>
      <c r="O5" s="4"/>
    </row>
    <row r="6" spans="1:17">
      <c r="A6" s="357" t="s">
        <v>17</v>
      </c>
      <c r="B6" s="29">
        <f>SUM(B7:B18)</f>
        <v>4518182</v>
      </c>
      <c r="C6" s="8">
        <f>SUM(C7:C18)</f>
        <v>295945</v>
      </c>
      <c r="D6" s="253">
        <f>SUM(D8:D18)</f>
        <v>451236</v>
      </c>
      <c r="E6" s="274">
        <f>SUM(E8:E18)</f>
        <v>451236</v>
      </c>
      <c r="F6" s="9">
        <f t="shared" ref="F6:I6" si="0">SUM(F8:F17)</f>
        <v>184406</v>
      </c>
      <c r="G6" s="9">
        <f t="shared" si="0"/>
        <v>182272</v>
      </c>
      <c r="H6" s="9">
        <f t="shared" si="0"/>
        <v>34386</v>
      </c>
      <c r="I6" s="9">
        <f t="shared" si="0"/>
        <v>37691</v>
      </c>
      <c r="J6" s="9"/>
      <c r="K6" s="72"/>
      <c r="L6" s="72"/>
      <c r="M6" s="72"/>
      <c r="N6" s="275"/>
      <c r="O6" s="73">
        <f t="shared" ref="O6:O65" si="1">+D6/C6</f>
        <v>1.5247292571254794</v>
      </c>
      <c r="P6" s="1014"/>
    </row>
    <row r="7" spans="1:17" ht="15" thickBot="1">
      <c r="A7" s="358" t="s">
        <v>18</v>
      </c>
      <c r="B7" s="334"/>
      <c r="C7" s="188"/>
      <c r="D7" s="304"/>
      <c r="E7" s="215"/>
      <c r="F7" s="189"/>
      <c r="G7" s="189"/>
      <c r="H7" s="189"/>
      <c r="I7" s="189"/>
      <c r="J7" s="189"/>
      <c r="K7" s="66"/>
      <c r="L7" s="66"/>
      <c r="M7" s="66"/>
      <c r="N7" s="301"/>
      <c r="O7" s="190"/>
      <c r="P7" s="1014"/>
    </row>
    <row r="8" spans="1:17">
      <c r="A8" s="359" t="s">
        <v>19</v>
      </c>
      <c r="B8" s="335"/>
      <c r="C8" s="196"/>
      <c r="D8" s="305"/>
      <c r="E8" s="321">
        <f>F8+G8+H8+I8+J8</f>
        <v>0</v>
      </c>
      <c r="F8" s="197"/>
      <c r="G8" s="197"/>
      <c r="H8" s="197"/>
      <c r="I8" s="197"/>
      <c r="J8" s="197"/>
      <c r="K8" s="198"/>
      <c r="L8" s="198"/>
      <c r="M8" s="198"/>
      <c r="N8" s="322"/>
      <c r="O8" s="199"/>
      <c r="P8" s="3"/>
    </row>
    <row r="9" spans="1:17">
      <c r="A9" s="360" t="s">
        <v>120</v>
      </c>
      <c r="B9" s="336">
        <f>715133+126685+111732+106510+95851+111311</f>
        <v>1267222</v>
      </c>
      <c r="C9" s="10">
        <v>82758</v>
      </c>
      <c r="D9" s="256">
        <f>108077</f>
        <v>108077</v>
      </c>
      <c r="E9" s="323">
        <f t="shared" ref="E9:E17" si="2">SUM(F9:J9)</f>
        <v>108077</v>
      </c>
      <c r="F9" s="13">
        <v>38493</v>
      </c>
      <c r="G9" s="13">
        <v>37849</v>
      </c>
      <c r="H9" s="13">
        <v>14834</v>
      </c>
      <c r="I9" s="13">
        <v>16901</v>
      </c>
      <c r="J9" s="12"/>
      <c r="K9" s="28"/>
      <c r="L9" s="28"/>
      <c r="M9" s="22"/>
      <c r="N9" s="278"/>
      <c r="O9" s="181">
        <f t="shared" si="1"/>
        <v>1.3059402112182508</v>
      </c>
      <c r="P9" s="74"/>
    </row>
    <row r="10" spans="1:17">
      <c r="A10" s="360" t="s">
        <v>20</v>
      </c>
      <c r="B10" s="336">
        <v>1272859</v>
      </c>
      <c r="C10" s="10">
        <v>86070</v>
      </c>
      <c r="D10" s="306">
        <f>148719</f>
        <v>148719</v>
      </c>
      <c r="E10" s="323">
        <f t="shared" si="2"/>
        <v>148719</v>
      </c>
      <c r="F10" s="15">
        <v>73486</v>
      </c>
      <c r="G10" s="15">
        <v>75233</v>
      </c>
      <c r="H10" s="16"/>
      <c r="I10" s="16"/>
      <c r="J10" s="75"/>
      <c r="K10" s="76">
        <f>9953+8358</f>
        <v>18311</v>
      </c>
      <c r="L10" s="76">
        <f>2805+1881</f>
        <v>4686</v>
      </c>
      <c r="M10" s="77"/>
      <c r="N10" s="278"/>
      <c r="O10" s="181">
        <f t="shared" si="1"/>
        <v>1.7278842802370165</v>
      </c>
      <c r="P10" s="78"/>
    </row>
    <row r="11" spans="1:17">
      <c r="A11" s="360" t="s">
        <v>21</v>
      </c>
      <c r="B11" s="336"/>
      <c r="C11" s="10"/>
      <c r="D11" s="306"/>
      <c r="E11" s="323">
        <f t="shared" si="2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181"/>
      <c r="P11" s="78"/>
    </row>
    <row r="12" spans="1:17">
      <c r="A12" s="360" t="s">
        <v>22</v>
      </c>
      <c r="B12" s="336">
        <v>491959</v>
      </c>
      <c r="C12" s="10">
        <v>36966</v>
      </c>
      <c r="D12" s="306">
        <f>39231</f>
        <v>39231</v>
      </c>
      <c r="E12" s="323">
        <f t="shared" si="2"/>
        <v>39231</v>
      </c>
      <c r="F12" s="13">
        <v>19340</v>
      </c>
      <c r="G12" s="13">
        <v>18849</v>
      </c>
      <c r="H12" s="13">
        <v>648</v>
      </c>
      <c r="I12" s="13">
        <v>394</v>
      </c>
      <c r="J12" s="13"/>
      <c r="K12" s="22">
        <f>6080+2677+153+102</f>
        <v>9012</v>
      </c>
      <c r="L12" s="22">
        <f>26+2912+9</f>
        <v>2947</v>
      </c>
      <c r="M12" s="22"/>
      <c r="N12" s="278"/>
      <c r="O12" s="181">
        <f t="shared" si="1"/>
        <v>1.0612725206946925</v>
      </c>
      <c r="P12" s="79"/>
    </row>
    <row r="13" spans="1:17">
      <c r="A13" s="361" t="s">
        <v>23</v>
      </c>
      <c r="B13" s="336">
        <v>149160</v>
      </c>
      <c r="C13" s="10">
        <v>41503</v>
      </c>
      <c r="D13" s="306">
        <v>0</v>
      </c>
      <c r="E13" s="323">
        <f t="shared" si="2"/>
        <v>0</v>
      </c>
      <c r="F13" s="13"/>
      <c r="G13" s="13"/>
      <c r="H13" s="13"/>
      <c r="I13" s="13"/>
      <c r="J13" s="13"/>
      <c r="K13" s="22"/>
      <c r="L13" s="22"/>
      <c r="M13" s="22"/>
      <c r="N13" s="278"/>
      <c r="O13" s="181"/>
      <c r="P13" s="79"/>
    </row>
    <row r="14" spans="1:17">
      <c r="A14" s="362" t="s">
        <v>24</v>
      </c>
      <c r="B14" s="336">
        <f>27700+42263+60649+60306+68982+89333+103549+96251+80177+83538+83985+100491</f>
        <v>897224</v>
      </c>
      <c r="C14" s="10">
        <v>27700</v>
      </c>
      <c r="D14" s="256">
        <f>107401</f>
        <v>107401</v>
      </c>
      <c r="E14" s="323">
        <f t="shared" si="2"/>
        <v>107401</v>
      </c>
      <c r="F14" s="18">
        <v>50060</v>
      </c>
      <c r="G14" s="18">
        <v>47718</v>
      </c>
      <c r="H14" s="18">
        <v>4470</v>
      </c>
      <c r="I14" s="18">
        <v>5153</v>
      </c>
      <c r="J14" s="18"/>
      <c r="K14" s="80">
        <f>10956+8425+755+989</f>
        <v>21125</v>
      </c>
      <c r="L14" s="80">
        <f>1010+4403+61+58</f>
        <v>5532</v>
      </c>
      <c r="M14" s="80">
        <f>4682</f>
        <v>4682</v>
      </c>
      <c r="N14" s="279">
        <v>891</v>
      </c>
      <c r="O14" s="181">
        <f t="shared" si="1"/>
        <v>3.877292418772563</v>
      </c>
      <c r="P14" s="79"/>
    </row>
    <row r="15" spans="1:17">
      <c r="A15" s="360" t="s">
        <v>25</v>
      </c>
      <c r="B15" s="336">
        <f>6147+7479+7850+9613+8350+10297+8331+8950+9929+9191+7491+7125</f>
        <v>100753</v>
      </c>
      <c r="C15" s="10">
        <v>6147</v>
      </c>
      <c r="D15" s="256">
        <f>5818</f>
        <v>5818</v>
      </c>
      <c r="E15" s="323">
        <f t="shared" si="2"/>
        <v>5818</v>
      </c>
      <c r="F15" s="13"/>
      <c r="G15" s="13"/>
      <c r="H15" s="13">
        <v>2779</v>
      </c>
      <c r="I15" s="13">
        <v>3039</v>
      </c>
      <c r="J15" s="13"/>
      <c r="K15" s="81">
        <v>1864</v>
      </c>
      <c r="L15" s="22">
        <f>128+1843</f>
        <v>1971</v>
      </c>
      <c r="M15" s="22"/>
      <c r="N15" s="278"/>
      <c r="O15" s="181">
        <f t="shared" si="1"/>
        <v>0.94647795672685864</v>
      </c>
      <c r="P15" s="79"/>
    </row>
    <row r="16" spans="1:17">
      <c r="A16" s="360" t="s">
        <v>26</v>
      </c>
      <c r="B16" s="337">
        <f>540+350</f>
        <v>890</v>
      </c>
      <c r="C16" s="19">
        <v>0</v>
      </c>
      <c r="D16" s="502">
        <v>436</v>
      </c>
      <c r="E16" s="500">
        <v>436</v>
      </c>
      <c r="F16" s="13"/>
      <c r="G16" s="13"/>
      <c r="H16" s="13"/>
      <c r="I16" s="13"/>
      <c r="J16" s="13"/>
      <c r="K16" s="28"/>
      <c r="L16" s="36"/>
      <c r="M16" s="22"/>
      <c r="N16" s="278"/>
      <c r="O16" s="181"/>
      <c r="P16" s="78"/>
    </row>
    <row r="17" spans="1:16" ht="15">
      <c r="A17" s="360" t="s">
        <v>27</v>
      </c>
      <c r="B17" s="338">
        <f>14801+21013+19343+20052+25339+15490+23521+25450+24091+25115+25902+30182</f>
        <v>270299</v>
      </c>
      <c r="C17" s="20">
        <v>14801</v>
      </c>
      <c r="D17" s="307">
        <f>29509</f>
        <v>29509</v>
      </c>
      <c r="E17" s="323">
        <f t="shared" si="2"/>
        <v>29509</v>
      </c>
      <c r="F17" s="13">
        <v>3027</v>
      </c>
      <c r="G17" s="13">
        <v>2623</v>
      </c>
      <c r="H17" s="13">
        <v>11655</v>
      </c>
      <c r="I17" s="13">
        <v>12204</v>
      </c>
      <c r="J17" s="13"/>
      <c r="K17" s="22">
        <f>945+407+3282+3089</f>
        <v>7723</v>
      </c>
      <c r="L17" s="22">
        <f>406+23+253</f>
        <v>682</v>
      </c>
      <c r="M17" s="22"/>
      <c r="N17" s="278"/>
      <c r="O17" s="181">
        <f t="shared" si="1"/>
        <v>1.9937166407675158</v>
      </c>
      <c r="P17" s="79"/>
    </row>
    <row r="18" spans="1:16" ht="15" thickBot="1">
      <c r="A18" s="363" t="s">
        <v>28</v>
      </c>
      <c r="B18" s="339">
        <v>67816</v>
      </c>
      <c r="C18" s="201">
        <v>0</v>
      </c>
      <c r="D18" s="308">
        <v>12045</v>
      </c>
      <c r="E18" s="324">
        <v>12045</v>
      </c>
      <c r="F18" s="202"/>
      <c r="G18" s="202"/>
      <c r="H18" s="202"/>
      <c r="I18" s="202"/>
      <c r="J18" s="202"/>
      <c r="K18" s="203"/>
      <c r="L18" s="203"/>
      <c r="M18" s="203"/>
      <c r="N18" s="283"/>
      <c r="O18" s="204"/>
      <c r="P18" s="79"/>
    </row>
    <row r="19" spans="1:16" ht="15.6">
      <c r="A19" s="364" t="s">
        <v>29</v>
      </c>
      <c r="B19" s="340">
        <v>633659</v>
      </c>
      <c r="C19" s="192">
        <v>47086</v>
      </c>
      <c r="D19" s="462">
        <v>57024</v>
      </c>
      <c r="E19" s="327">
        <v>57024</v>
      </c>
      <c r="F19" s="193"/>
      <c r="G19" s="194"/>
      <c r="H19" s="194"/>
      <c r="I19" s="194"/>
      <c r="J19" s="194"/>
      <c r="K19" s="194"/>
      <c r="L19" s="194"/>
      <c r="M19" s="194"/>
      <c r="N19" s="284"/>
      <c r="O19" s="195">
        <f>+D19/C19</f>
        <v>1.2110606124962835</v>
      </c>
      <c r="P19" s="78"/>
    </row>
    <row r="20" spans="1:16" ht="15.6">
      <c r="A20" s="365" t="s">
        <v>30</v>
      </c>
      <c r="B20" s="341">
        <v>255481</v>
      </c>
      <c r="C20" s="184">
        <v>20295</v>
      </c>
      <c r="D20" s="463">
        <v>24857</v>
      </c>
      <c r="E20" s="328">
        <v>24857</v>
      </c>
      <c r="F20" s="21"/>
      <c r="G20" s="22"/>
      <c r="H20" s="22"/>
      <c r="I20" s="22"/>
      <c r="J20" s="22"/>
      <c r="K20" s="22"/>
      <c r="L20" s="22"/>
      <c r="M20" s="22"/>
      <c r="N20" s="278"/>
      <c r="O20" s="181">
        <f t="shared" si="1"/>
        <v>1.2247844296624784</v>
      </c>
      <c r="P20" s="82"/>
    </row>
    <row r="21" spans="1:16" ht="15.6">
      <c r="A21" s="365" t="s">
        <v>31</v>
      </c>
      <c r="B21" s="341">
        <v>92242</v>
      </c>
      <c r="C21" s="184">
        <v>15841</v>
      </c>
      <c r="D21" s="463">
        <v>4324</v>
      </c>
      <c r="E21" s="328">
        <v>4324</v>
      </c>
      <c r="F21" s="21"/>
      <c r="G21" s="22"/>
      <c r="H21" s="22"/>
      <c r="I21" s="22"/>
      <c r="J21" s="22"/>
      <c r="K21" s="22"/>
      <c r="L21" s="22"/>
      <c r="M21" s="22"/>
      <c r="N21" s="278"/>
      <c r="O21" s="181">
        <f t="shared" si="1"/>
        <v>0.27296256549460263</v>
      </c>
      <c r="P21" s="83"/>
    </row>
    <row r="22" spans="1:16" ht="15.6">
      <c r="A22" s="365" t="s">
        <v>32</v>
      </c>
      <c r="B22" s="341">
        <v>400078</v>
      </c>
      <c r="C22" s="185">
        <v>25414</v>
      </c>
      <c r="D22" s="463">
        <v>36183</v>
      </c>
      <c r="E22" s="328">
        <v>36183</v>
      </c>
      <c r="F22" s="21"/>
      <c r="G22" s="22"/>
      <c r="H22" s="22"/>
      <c r="I22" s="22"/>
      <c r="J22" s="22"/>
      <c r="K22" s="22"/>
      <c r="L22" s="22"/>
      <c r="M22" s="22"/>
      <c r="N22" s="278"/>
      <c r="O22" s="181">
        <f t="shared" si="1"/>
        <v>1.4237428189187062</v>
      </c>
      <c r="P22" s="84"/>
    </row>
    <row r="23" spans="1:16" ht="15.6">
      <c r="A23" s="365" t="s">
        <v>33</v>
      </c>
      <c r="B23" s="342">
        <v>171077</v>
      </c>
      <c r="C23" s="187">
        <v>13130</v>
      </c>
      <c r="D23" s="463">
        <v>14645</v>
      </c>
      <c r="E23" s="328">
        <v>14645</v>
      </c>
      <c r="F23" s="21"/>
      <c r="G23" s="22"/>
      <c r="H23" s="22"/>
      <c r="I23" s="22"/>
      <c r="J23" s="22"/>
      <c r="K23" s="22"/>
      <c r="L23" s="22"/>
      <c r="M23" s="22"/>
      <c r="N23" s="278"/>
      <c r="O23" s="181">
        <f t="shared" si="1"/>
        <v>1.1153846153846154</v>
      </c>
      <c r="P23" s="84"/>
    </row>
    <row r="24" spans="1:16" ht="15.6">
      <c r="A24" s="365" t="s">
        <v>34</v>
      </c>
      <c r="B24" s="342">
        <v>270677</v>
      </c>
      <c r="C24" s="187">
        <v>41503</v>
      </c>
      <c r="D24" s="463">
        <v>22071</v>
      </c>
      <c r="E24" s="328">
        <v>22071</v>
      </c>
      <c r="F24" s="22"/>
      <c r="G24" s="22"/>
      <c r="H24" s="25"/>
      <c r="I24" s="22"/>
      <c r="J24" s="22"/>
      <c r="K24" s="22"/>
      <c r="L24" s="22"/>
      <c r="M24" s="22"/>
      <c r="N24" s="278"/>
      <c r="O24" s="181">
        <f t="shared" si="1"/>
        <v>0.53179288244223311</v>
      </c>
      <c r="P24" s="84"/>
    </row>
    <row r="25" spans="1:16">
      <c r="A25" s="366"/>
      <c r="B25" s="343"/>
      <c r="C25" s="343"/>
      <c r="D25" s="309"/>
      <c r="E25" s="285"/>
      <c r="F25" s="28"/>
      <c r="G25" s="28"/>
      <c r="H25" s="28"/>
      <c r="I25" s="28"/>
      <c r="J25" s="28"/>
      <c r="K25" s="28"/>
      <c r="L25" s="28"/>
      <c r="M25" s="28"/>
      <c r="N25" s="277"/>
      <c r="O25" s="85"/>
      <c r="P25" s="84"/>
    </row>
    <row r="26" spans="1:16">
      <c r="A26" s="357" t="s">
        <v>35</v>
      </c>
      <c r="B26" s="344">
        <f>SUM(B27:B30)</f>
        <v>860026</v>
      </c>
      <c r="C26" s="29">
        <f>60154</f>
        <v>60154</v>
      </c>
      <c r="D26" s="253">
        <f t="shared" ref="D26:L26" si="3">SUM(D27:D30)</f>
        <v>93571</v>
      </c>
      <c r="E26" s="274">
        <f t="shared" si="3"/>
        <v>93571</v>
      </c>
      <c r="F26" s="9">
        <f t="shared" si="3"/>
        <v>36560</v>
      </c>
      <c r="G26" s="9">
        <f t="shared" si="3"/>
        <v>37251</v>
      </c>
      <c r="H26" s="9">
        <f t="shared" si="3"/>
        <v>13619</v>
      </c>
      <c r="I26" s="9">
        <f t="shared" si="3"/>
        <v>6141</v>
      </c>
      <c r="J26" s="9">
        <f t="shared" si="3"/>
        <v>0</v>
      </c>
      <c r="K26" s="72">
        <f t="shared" si="3"/>
        <v>14887</v>
      </c>
      <c r="L26" s="72">
        <f t="shared" si="3"/>
        <v>2813</v>
      </c>
      <c r="M26" s="72"/>
      <c r="N26" s="275">
        <f>SUM(N27:N30)</f>
        <v>0</v>
      </c>
      <c r="O26" s="73">
        <f t="shared" si="1"/>
        <v>1.5555241546696812</v>
      </c>
      <c r="P26" s="86"/>
    </row>
    <row r="27" spans="1:16">
      <c r="A27" s="360" t="s">
        <v>36</v>
      </c>
      <c r="B27" s="24">
        <f>30481+3346</f>
        <v>33827</v>
      </c>
      <c r="C27" s="30">
        <v>2482</v>
      </c>
      <c r="D27" s="56">
        <v>6576</v>
      </c>
      <c r="E27" s="286">
        <f>SUM(F27:J27)</f>
        <v>6576</v>
      </c>
      <c r="F27" s="13">
        <v>1932</v>
      </c>
      <c r="G27" s="13">
        <v>2256</v>
      </c>
      <c r="H27" s="13">
        <f>696+1176</f>
        <v>1872</v>
      </c>
      <c r="I27" s="13">
        <f>514+2</f>
        <v>516</v>
      </c>
      <c r="J27" s="12"/>
      <c r="K27" s="22"/>
      <c r="L27" s="22"/>
      <c r="M27" s="22"/>
      <c r="N27" s="278"/>
      <c r="O27" s="181">
        <f t="shared" si="1"/>
        <v>2.6494762288477034</v>
      </c>
      <c r="P27" s="86"/>
    </row>
    <row r="28" spans="1:16">
      <c r="A28" s="367" t="s">
        <v>37</v>
      </c>
      <c r="B28" s="24">
        <v>675254</v>
      </c>
      <c r="C28" s="32">
        <v>42268</v>
      </c>
      <c r="D28" s="56">
        <f>64505</f>
        <v>64505</v>
      </c>
      <c r="E28" s="323">
        <f t="shared" ref="E28:E30" si="4">SUM(F28:J28)</f>
        <v>64505</v>
      </c>
      <c r="F28" s="33">
        <v>26657</v>
      </c>
      <c r="G28" s="33">
        <v>24991</v>
      </c>
      <c r="H28" s="33">
        <v>7349</v>
      </c>
      <c r="I28" s="33">
        <v>5508</v>
      </c>
      <c r="J28" s="41"/>
      <c r="K28" s="52">
        <f>5262+5685+1790+503</f>
        <v>13240</v>
      </c>
      <c r="L28" s="52">
        <f>979+288+219</f>
        <v>1486</v>
      </c>
      <c r="M28" s="28"/>
      <c r="N28" s="277"/>
      <c r="O28" s="181">
        <f t="shared" si="1"/>
        <v>1.526095391312577</v>
      </c>
    </row>
    <row r="29" spans="1:16">
      <c r="A29" s="367" t="s">
        <v>38</v>
      </c>
      <c r="B29" s="345">
        <f>120488+12239+18218</f>
        <v>150945</v>
      </c>
      <c r="C29" s="34">
        <v>15404</v>
      </c>
      <c r="D29" s="310">
        <f>22490</f>
        <v>22490</v>
      </c>
      <c r="E29" s="323">
        <f t="shared" si="4"/>
        <v>22490</v>
      </c>
      <c r="F29" s="33">
        <v>7971</v>
      </c>
      <c r="G29" s="33">
        <v>10004</v>
      </c>
      <c r="H29" s="33">
        <v>4398</v>
      </c>
      <c r="I29" s="33">
        <v>117</v>
      </c>
      <c r="J29" s="12"/>
      <c r="K29" s="87">
        <f>401+1205+41</f>
        <v>1647</v>
      </c>
      <c r="L29" s="87">
        <f>820+3+436+68</f>
        <v>1327</v>
      </c>
      <c r="M29" s="22"/>
      <c r="N29" s="278"/>
      <c r="O29" s="181">
        <f t="shared" si="1"/>
        <v>1.4600103869124903</v>
      </c>
    </row>
    <row r="30" spans="1:16">
      <c r="A30" s="367" t="s">
        <v>39</v>
      </c>
      <c r="B30" s="337">
        <v>0</v>
      </c>
      <c r="C30" s="19"/>
      <c r="D30" s="256">
        <v>0</v>
      </c>
      <c r="E30" s="286">
        <f t="shared" si="4"/>
        <v>0</v>
      </c>
      <c r="F30" s="13"/>
      <c r="G30" s="13"/>
      <c r="H30" s="13"/>
      <c r="I30" s="13"/>
      <c r="J30" s="13"/>
      <c r="K30" s="22"/>
      <c r="L30" s="22"/>
      <c r="M30" s="22"/>
      <c r="N30" s="278"/>
      <c r="O30" s="73"/>
    </row>
    <row r="31" spans="1:16">
      <c r="A31" s="367"/>
      <c r="B31" s="346"/>
      <c r="C31" s="35"/>
      <c r="D31" s="257"/>
      <c r="E31" s="287"/>
      <c r="F31" s="36"/>
      <c r="G31" s="36"/>
      <c r="H31" s="36"/>
      <c r="I31" s="36"/>
      <c r="J31" s="36"/>
      <c r="K31" s="36"/>
      <c r="L31" s="36"/>
      <c r="M31" s="36"/>
      <c r="N31" s="288"/>
      <c r="O31" s="85"/>
    </row>
    <row r="32" spans="1:16">
      <c r="A32" s="357" t="s">
        <v>40</v>
      </c>
      <c r="B32" s="344">
        <f>SUM(B33:B43)</f>
        <v>8314054</v>
      </c>
      <c r="C32" s="37">
        <f>559851</f>
        <v>559851</v>
      </c>
      <c r="D32" s="253">
        <f t="shared" ref="D32:N32" si="5">SUM(D33:D43)</f>
        <v>775273</v>
      </c>
      <c r="E32" s="274">
        <f t="shared" si="5"/>
        <v>775273</v>
      </c>
      <c r="F32" s="9">
        <f t="shared" si="5"/>
        <v>291934</v>
      </c>
      <c r="G32" s="9">
        <f t="shared" si="5"/>
        <v>262156</v>
      </c>
      <c r="H32" s="9">
        <f t="shared" si="5"/>
        <v>106822</v>
      </c>
      <c r="I32" s="9">
        <f t="shared" si="5"/>
        <v>112238</v>
      </c>
      <c r="J32" s="9">
        <f t="shared" si="5"/>
        <v>2123</v>
      </c>
      <c r="K32" s="72">
        <f t="shared" si="5"/>
        <v>161941</v>
      </c>
      <c r="L32" s="72">
        <f t="shared" si="5"/>
        <v>29680</v>
      </c>
      <c r="M32" s="72">
        <f t="shared" si="5"/>
        <v>406</v>
      </c>
      <c r="N32" s="275">
        <f t="shared" si="5"/>
        <v>63835</v>
      </c>
      <c r="O32" s="73">
        <f t="shared" si="1"/>
        <v>1.3847845230248763</v>
      </c>
    </row>
    <row r="33" spans="1:16">
      <c r="A33" s="360" t="s">
        <v>41</v>
      </c>
      <c r="B33" s="337">
        <f>439746+58130+61049</f>
        <v>558925</v>
      </c>
      <c r="C33" s="19">
        <v>39360</v>
      </c>
      <c r="D33" s="256">
        <f>67666</f>
        <v>67666</v>
      </c>
      <c r="E33" s="286">
        <f t="shared" ref="E33:E40" si="6">SUM(F33:J33)</f>
        <v>67666</v>
      </c>
      <c r="F33" s="13"/>
      <c r="G33" s="13"/>
      <c r="H33" s="13">
        <v>23881</v>
      </c>
      <c r="I33" s="13">
        <v>43785</v>
      </c>
      <c r="J33" s="13"/>
      <c r="K33" s="88">
        <f>24+1809</f>
        <v>1833</v>
      </c>
      <c r="L33" s="88">
        <f>1221</f>
        <v>1221</v>
      </c>
      <c r="M33" s="88"/>
      <c r="N33" s="289"/>
      <c r="O33" s="181">
        <f t="shared" si="1"/>
        <v>1.7191565040650407</v>
      </c>
    </row>
    <row r="34" spans="1:16">
      <c r="A34" s="360" t="s">
        <v>42</v>
      </c>
      <c r="B34" s="337">
        <f>506252+63971</f>
        <v>570223</v>
      </c>
      <c r="C34" s="19">
        <v>32272</v>
      </c>
      <c r="D34" s="256">
        <f>58796</f>
        <v>58796</v>
      </c>
      <c r="E34" s="286">
        <f t="shared" si="6"/>
        <v>58796</v>
      </c>
      <c r="F34" s="12"/>
      <c r="G34" s="12"/>
      <c r="H34" s="13">
        <v>11346</v>
      </c>
      <c r="I34" s="13">
        <v>47450</v>
      </c>
      <c r="J34" s="13"/>
      <c r="K34" s="88">
        <v>1886</v>
      </c>
      <c r="L34" s="88">
        <f>11140+12</f>
        <v>11152</v>
      </c>
      <c r="M34" s="88"/>
      <c r="N34" s="289">
        <v>58796</v>
      </c>
      <c r="O34" s="181">
        <f t="shared" si="1"/>
        <v>1.8218889439762023</v>
      </c>
    </row>
    <row r="35" spans="1:16">
      <c r="A35" s="360" t="s">
        <v>43</v>
      </c>
      <c r="B35" s="347">
        <f>42017+51282+45948+47390+55304+49234+45680+47437+43911+34616+30188+41910</f>
        <v>534917</v>
      </c>
      <c r="C35" s="38">
        <v>42017</v>
      </c>
      <c r="D35" s="311">
        <f>43919</f>
        <v>43919</v>
      </c>
      <c r="E35" s="286">
        <f t="shared" si="6"/>
        <v>43919</v>
      </c>
      <c r="F35" s="13">
        <v>13854</v>
      </c>
      <c r="G35" s="13">
        <v>22333</v>
      </c>
      <c r="H35" s="13">
        <v>2841</v>
      </c>
      <c r="I35" s="291">
        <v>2768</v>
      </c>
      <c r="J35" s="13">
        <v>2123</v>
      </c>
      <c r="K35" s="88">
        <f>2577+5338+567+423+86</f>
        <v>8991</v>
      </c>
      <c r="L35" s="88">
        <f>343+17+58+31+41</f>
        <v>490</v>
      </c>
      <c r="M35" s="88"/>
      <c r="N35" s="289">
        <v>3133</v>
      </c>
      <c r="O35" s="181">
        <f t="shared" si="1"/>
        <v>1.0452673917699979</v>
      </c>
    </row>
    <row r="36" spans="1:16">
      <c r="A36" s="367" t="s">
        <v>44</v>
      </c>
      <c r="B36" s="348">
        <f>154869+18461+17185+18184+22072</f>
        <v>230771</v>
      </c>
      <c r="C36" s="39">
        <v>9329</v>
      </c>
      <c r="D36" s="312">
        <f>20214</f>
        <v>20214</v>
      </c>
      <c r="E36" s="286">
        <f>SUM(G36:H36)</f>
        <v>20214</v>
      </c>
      <c r="F36" s="13"/>
      <c r="G36" s="13">
        <v>10023</v>
      </c>
      <c r="H36" s="13">
        <v>10191</v>
      </c>
      <c r="I36" s="13"/>
      <c r="J36" s="89"/>
      <c r="K36" s="90">
        <f>677+588</f>
        <v>1265</v>
      </c>
      <c r="L36" s="88">
        <v>42</v>
      </c>
      <c r="M36" s="88"/>
      <c r="N36" s="289"/>
      <c r="O36" s="181">
        <f t="shared" si="1"/>
        <v>2.1667917247293387</v>
      </c>
    </row>
    <row r="37" spans="1:16">
      <c r="A37" s="367" t="s">
        <v>45</v>
      </c>
      <c r="B37" s="349">
        <f>50925+32855+32535+28886+28236+30552+33558+32390+29858+33841+31383</f>
        <v>365019</v>
      </c>
      <c r="C37" s="40">
        <v>23096</v>
      </c>
      <c r="D37" s="313">
        <f>36191</f>
        <v>36191</v>
      </c>
      <c r="E37" s="286">
        <f t="shared" si="6"/>
        <v>36191</v>
      </c>
      <c r="F37" s="292"/>
      <c r="G37" s="292"/>
      <c r="H37" s="41">
        <v>18661</v>
      </c>
      <c r="I37" s="12">
        <v>17530</v>
      </c>
      <c r="J37" s="13"/>
      <c r="K37" s="52">
        <f>414+366</f>
        <v>780</v>
      </c>
      <c r="L37" s="22"/>
      <c r="M37" s="22">
        <v>406</v>
      </c>
      <c r="N37" s="278">
        <v>563</v>
      </c>
      <c r="O37" s="181">
        <f t="shared" si="1"/>
        <v>1.5669812954624178</v>
      </c>
    </row>
    <row r="38" spans="1:16">
      <c r="A38" s="367" t="s">
        <v>46</v>
      </c>
      <c r="B38" s="349">
        <f>5696+3958+5815+9110+7468+13154+12856+16704+16494+13524+11707+13991</f>
        <v>130477</v>
      </c>
      <c r="C38" s="40">
        <v>5696</v>
      </c>
      <c r="D38" s="260">
        <v>12008</v>
      </c>
      <c r="E38" s="276">
        <f t="shared" si="6"/>
        <v>12008</v>
      </c>
      <c r="F38" s="13">
        <v>2972</v>
      </c>
      <c r="G38" s="13">
        <v>9036</v>
      </c>
      <c r="H38" s="13"/>
      <c r="I38" s="13"/>
      <c r="J38" s="13"/>
      <c r="K38" s="22">
        <v>5158</v>
      </c>
      <c r="L38" s="22">
        <f>103+2944</f>
        <v>3047</v>
      </c>
      <c r="M38" s="88"/>
      <c r="N38" s="289">
        <v>22</v>
      </c>
      <c r="O38" s="181">
        <f t="shared" si="1"/>
        <v>2.1081460674157304</v>
      </c>
      <c r="P38" s="176"/>
    </row>
    <row r="39" spans="1:16">
      <c r="A39" s="367" t="s">
        <v>47</v>
      </c>
      <c r="B39" s="349">
        <f>372397+393542+480876+438506+433683+444706+469051+460647+432596+460939+470477+474708</f>
        <v>5332128</v>
      </c>
      <c r="C39" s="40">
        <v>372397</v>
      </c>
      <c r="D39" s="313">
        <f>492323</f>
        <v>492323</v>
      </c>
      <c r="E39" s="286">
        <f t="shared" si="6"/>
        <v>492323</v>
      </c>
      <c r="F39" s="13">
        <v>272540</v>
      </c>
      <c r="G39" s="13">
        <v>219783</v>
      </c>
      <c r="H39" s="13"/>
      <c r="I39" s="12"/>
      <c r="J39" s="13"/>
      <c r="K39" s="87">
        <f>71459+69689</f>
        <v>141148</v>
      </c>
      <c r="L39" s="87">
        <f>7525+5664</f>
        <v>13189</v>
      </c>
      <c r="M39" s="88"/>
      <c r="N39" s="289"/>
      <c r="O39" s="181">
        <f t="shared" si="1"/>
        <v>1.3220380400486578</v>
      </c>
    </row>
    <row r="40" spans="1:16">
      <c r="A40" s="367" t="s">
        <v>48</v>
      </c>
      <c r="B40" s="349">
        <f>32440+39588+48102+43548+41412+40968+51704+51435+55440+57617+45700+41689</f>
        <v>549643</v>
      </c>
      <c r="C40" s="40">
        <v>32440</v>
      </c>
      <c r="D40" s="313">
        <f>41444</f>
        <v>41444</v>
      </c>
      <c r="E40" s="286">
        <f t="shared" si="6"/>
        <v>41444</v>
      </c>
      <c r="F40" s="1035">
        <v>2287</v>
      </c>
      <c r="G40" s="1035"/>
      <c r="H40" s="1035">
        <v>39157</v>
      </c>
      <c r="I40" s="1035"/>
      <c r="J40" s="13"/>
      <c r="K40" s="88"/>
      <c r="L40" s="88"/>
      <c r="M40" s="88"/>
      <c r="N40" s="289"/>
      <c r="O40" s="181">
        <f t="shared" si="1"/>
        <v>1.2775585696670777</v>
      </c>
    </row>
    <row r="41" spans="1:16">
      <c r="A41" s="367" t="s">
        <v>49</v>
      </c>
      <c r="B41" s="24">
        <f>SUM(C41:G41)</f>
        <v>0</v>
      </c>
      <c r="C41" s="30">
        <f>SUM(D41:H41)</f>
        <v>0</v>
      </c>
      <c r="D41" s="56"/>
      <c r="E41" s="286">
        <f t="shared" ref="E41:E43" si="7">SUM(F41:J41)</f>
        <v>0</v>
      </c>
      <c r="F41" s="13"/>
      <c r="G41" s="13"/>
      <c r="H41" s="13"/>
      <c r="I41" s="13"/>
      <c r="J41" s="13"/>
      <c r="K41" s="88"/>
      <c r="L41" s="88"/>
      <c r="M41" s="88"/>
      <c r="N41" s="289"/>
      <c r="O41" s="181"/>
    </row>
    <row r="42" spans="1:16">
      <c r="A42" s="367" t="s">
        <v>50</v>
      </c>
      <c r="B42" s="350">
        <f>2388+2166+2181+2143+2735+2159+2232+3124+2401+2891+2264+3229</f>
        <v>29913</v>
      </c>
      <c r="C42" s="42">
        <v>2388</v>
      </c>
      <c r="D42" s="314">
        <f>1591</f>
        <v>1591</v>
      </c>
      <c r="E42" s="286">
        <f t="shared" si="7"/>
        <v>1591</v>
      </c>
      <c r="F42" s="13">
        <v>21</v>
      </c>
      <c r="G42" s="13">
        <v>120</v>
      </c>
      <c r="H42" s="13">
        <v>745</v>
      </c>
      <c r="I42" s="13">
        <v>705</v>
      </c>
      <c r="J42" s="13"/>
      <c r="K42" s="88">
        <v>661</v>
      </c>
      <c r="L42" s="88">
        <f>21+212+90</f>
        <v>323</v>
      </c>
      <c r="M42" s="88"/>
      <c r="N42" s="289">
        <v>200</v>
      </c>
      <c r="O42" s="181">
        <f t="shared" si="1"/>
        <v>0.66624790619765495</v>
      </c>
    </row>
    <row r="43" spans="1:16">
      <c r="A43" s="367" t="s">
        <v>51</v>
      </c>
      <c r="B43" s="350">
        <v>12038</v>
      </c>
      <c r="C43" s="42">
        <v>856</v>
      </c>
      <c r="D43" s="314">
        <f>1121</f>
        <v>1121</v>
      </c>
      <c r="E43" s="286">
        <f t="shared" si="7"/>
        <v>1121</v>
      </c>
      <c r="F43" s="13">
        <v>260</v>
      </c>
      <c r="G43" s="13">
        <v>861</v>
      </c>
      <c r="H43" s="13"/>
      <c r="I43" s="13"/>
      <c r="J43" s="91"/>
      <c r="K43" s="90">
        <v>219</v>
      </c>
      <c r="L43" s="88">
        <f>216</f>
        <v>216</v>
      </c>
      <c r="M43" s="88"/>
      <c r="N43" s="289">
        <v>1121</v>
      </c>
      <c r="O43" s="181">
        <f t="shared" si="1"/>
        <v>1.3095794392523366</v>
      </c>
    </row>
    <row r="44" spans="1:16" ht="17.100000000000001" customHeight="1">
      <c r="A44" s="367"/>
      <c r="B44" s="351"/>
      <c r="C44" s="43"/>
      <c r="D44" s="262"/>
      <c r="E44" s="294"/>
      <c r="F44" s="44"/>
      <c r="G44" s="44"/>
      <c r="H44" s="44"/>
      <c r="I44" s="44"/>
      <c r="J44" s="44"/>
      <c r="K44" s="44"/>
      <c r="L44" s="44"/>
      <c r="M44" s="44"/>
      <c r="N44" s="295"/>
      <c r="O44" s="85"/>
    </row>
    <row r="45" spans="1:16">
      <c r="A45" s="368" t="s">
        <v>52</v>
      </c>
      <c r="B45" s="924">
        <f t="shared" ref="B45:G45" si="8">SUM(B46:B53)</f>
        <v>4797590</v>
      </c>
      <c r="C45" s="924">
        <f t="shared" si="8"/>
        <v>307532</v>
      </c>
      <c r="D45" s="926">
        <f t="shared" si="8"/>
        <v>469512</v>
      </c>
      <c r="E45" s="924">
        <f t="shared" si="8"/>
        <v>469512</v>
      </c>
      <c r="F45" s="924">
        <f t="shared" si="8"/>
        <v>207190</v>
      </c>
      <c r="G45" s="924">
        <f t="shared" si="8"/>
        <v>229771</v>
      </c>
      <c r="H45" s="9">
        <f t="shared" ref="H45:N45" si="9">SUM(H46:H53)</f>
        <v>5268</v>
      </c>
      <c r="I45" s="9">
        <f t="shared" si="9"/>
        <v>3932</v>
      </c>
      <c r="J45" s="9">
        <f t="shared" si="9"/>
        <v>23351</v>
      </c>
      <c r="K45" s="72">
        <f t="shared" si="9"/>
        <v>31812</v>
      </c>
      <c r="L45" s="72">
        <f t="shared" si="9"/>
        <v>30554</v>
      </c>
      <c r="M45" s="72">
        <f t="shared" si="9"/>
        <v>833</v>
      </c>
      <c r="N45" s="275">
        <f t="shared" si="9"/>
        <v>48129</v>
      </c>
      <c r="O45" s="73">
        <f t="shared" si="1"/>
        <v>1.5267094156055305</v>
      </c>
    </row>
    <row r="46" spans="1:16">
      <c r="A46" s="367" t="s">
        <v>53</v>
      </c>
      <c r="B46" s="337">
        <v>0</v>
      </c>
      <c r="C46" s="19">
        <v>0</v>
      </c>
      <c r="D46" s="256"/>
      <c r="E46" s="286">
        <f>F46+G46+H46+I46+J46</f>
        <v>0</v>
      </c>
      <c r="F46" s="13"/>
      <c r="G46" s="13"/>
      <c r="H46" s="13"/>
      <c r="I46" s="13"/>
      <c r="J46" s="13"/>
      <c r="K46" s="36"/>
      <c r="L46" s="36"/>
      <c r="M46" s="36"/>
      <c r="N46" s="288"/>
      <c r="O46" s="181"/>
    </row>
    <row r="47" spans="1:16">
      <c r="A47" s="369" t="s">
        <v>54</v>
      </c>
      <c r="B47" s="1021">
        <f>127394+89400+147995+127434+174236+176428+189135+187087+174544+192913+163797+135579</f>
        <v>1885942</v>
      </c>
      <c r="C47" s="1025">
        <v>127394</v>
      </c>
      <c r="D47" s="1029">
        <f>152617</f>
        <v>152617</v>
      </c>
      <c r="E47" s="1019">
        <f t="shared" ref="E47:E51" si="10">SUM(F47:J47)</f>
        <v>152617</v>
      </c>
      <c r="F47" s="1016">
        <v>65133</v>
      </c>
      <c r="G47" s="1016">
        <v>71081</v>
      </c>
      <c r="H47" s="1016">
        <v>5268</v>
      </c>
      <c r="I47" s="1016">
        <v>3932</v>
      </c>
      <c r="J47" s="1016">
        <v>7203</v>
      </c>
      <c r="K47" s="1017">
        <f>3593+6819+785+297+490</f>
        <v>11984</v>
      </c>
      <c r="L47" s="1017">
        <f>4220+88+97+225+253</f>
        <v>4883</v>
      </c>
      <c r="M47" s="1017"/>
      <c r="N47" s="1018"/>
      <c r="O47" s="181">
        <f t="shared" si="1"/>
        <v>1.1979920561407915</v>
      </c>
      <c r="P47" s="1015"/>
    </row>
    <row r="48" spans="1:16">
      <c r="A48" s="369" t="s">
        <v>55</v>
      </c>
      <c r="B48" s="1022"/>
      <c r="C48" s="1026"/>
      <c r="D48" s="1030"/>
      <c r="E48" s="1020"/>
      <c r="F48" s="1016"/>
      <c r="G48" s="1016"/>
      <c r="H48" s="1016"/>
      <c r="I48" s="1016"/>
      <c r="J48" s="1016"/>
      <c r="K48" s="1017"/>
      <c r="L48" s="1017"/>
      <c r="M48" s="1017"/>
      <c r="N48" s="1018"/>
      <c r="O48" s="181"/>
      <c r="P48" s="1015"/>
    </row>
    <row r="49" spans="1:16">
      <c r="A49" s="362" t="s">
        <v>56</v>
      </c>
      <c r="B49" s="350">
        <f>47356+52560+79724+85499+66734+68133+73487+69407+60723+61109+72181+84025</f>
        <v>820938</v>
      </c>
      <c r="C49" s="42">
        <v>47356</v>
      </c>
      <c r="D49" s="314">
        <f>97537</f>
        <v>97537</v>
      </c>
      <c r="E49" s="286">
        <f t="shared" si="10"/>
        <v>97537</v>
      </c>
      <c r="F49" s="45">
        <v>48710</v>
      </c>
      <c r="G49" s="33">
        <v>45167</v>
      </c>
      <c r="H49" s="46"/>
      <c r="I49" s="12"/>
      <c r="J49" s="33">
        <v>3660</v>
      </c>
      <c r="K49" s="87">
        <f>1413+4183+271</f>
        <v>5867</v>
      </c>
      <c r="L49" s="81">
        <f>3849+76+65</f>
        <v>3990</v>
      </c>
      <c r="M49" s="36"/>
      <c r="N49" s="288">
        <v>3623</v>
      </c>
      <c r="O49" s="181">
        <f t="shared" si="1"/>
        <v>2.0596545316327393</v>
      </c>
    </row>
    <row r="50" spans="1:16">
      <c r="A50" s="362" t="s">
        <v>57</v>
      </c>
      <c r="B50" s="350">
        <f>38855+42860+48337+46082+47751+44611+75076+55809+60576+63502+55882+64932</f>
        <v>644273</v>
      </c>
      <c r="C50" s="42">
        <v>38855</v>
      </c>
      <c r="D50" s="314">
        <v>59734</v>
      </c>
      <c r="E50" s="286">
        <f t="shared" si="10"/>
        <v>59734</v>
      </c>
      <c r="F50" s="13">
        <v>23982</v>
      </c>
      <c r="G50" s="13">
        <v>28872</v>
      </c>
      <c r="H50" s="13"/>
      <c r="I50" s="92"/>
      <c r="J50" s="13">
        <v>6880</v>
      </c>
      <c r="K50" s="22">
        <f>719+4304+1522</f>
        <v>6545</v>
      </c>
      <c r="L50" s="22">
        <f>3637+6</f>
        <v>3643</v>
      </c>
      <c r="M50" s="36"/>
      <c r="N50" s="288"/>
      <c r="O50" s="181">
        <f t="shared" si="1"/>
        <v>1.5373568395315917</v>
      </c>
    </row>
    <row r="51" spans="1:16">
      <c r="A51" s="362" t="s">
        <v>58</v>
      </c>
      <c r="B51" s="350">
        <f>38927+25455+65397+44769+34250+34453+44944+60275+38990+46527+28707+33843</f>
        <v>496537</v>
      </c>
      <c r="C51" s="42">
        <v>38927</v>
      </c>
      <c r="D51" s="314">
        <f>47624</f>
        <v>47624</v>
      </c>
      <c r="E51" s="286">
        <f t="shared" si="10"/>
        <v>47624</v>
      </c>
      <c r="F51" s="13">
        <v>16913</v>
      </c>
      <c r="G51" s="13">
        <v>25103</v>
      </c>
      <c r="H51" s="13"/>
      <c r="I51" s="13"/>
      <c r="J51" s="13">
        <v>5608</v>
      </c>
      <c r="K51" s="88">
        <v>7416</v>
      </c>
      <c r="L51" s="88">
        <f>12927+2064+3047</f>
        <v>18038</v>
      </c>
      <c r="M51" s="88">
        <v>833</v>
      </c>
      <c r="N51" s="289">
        <v>44506</v>
      </c>
      <c r="O51" s="181">
        <f t="shared" si="1"/>
        <v>1.2234181930279755</v>
      </c>
    </row>
    <row r="52" spans="1:16" s="385" customFormat="1">
      <c r="A52" s="919" t="s">
        <v>59</v>
      </c>
      <c r="B52" s="916">
        <v>949900</v>
      </c>
      <c r="C52" s="917">
        <v>55000</v>
      </c>
      <c r="D52" s="918">
        <v>112000</v>
      </c>
      <c r="E52" s="598">
        <f>SUM(F52:G52)</f>
        <v>112000</v>
      </c>
      <c r="F52" s="920">
        <v>52452</v>
      </c>
      <c r="G52" s="920">
        <v>59548</v>
      </c>
      <c r="H52" s="921"/>
      <c r="I52" s="910"/>
      <c r="J52" s="922"/>
      <c r="K52" s="911"/>
      <c r="L52" s="911"/>
      <c r="M52" s="911"/>
      <c r="N52" s="923"/>
      <c r="O52" s="672">
        <f t="shared" si="1"/>
        <v>2.0363636363636362</v>
      </c>
      <c r="P52" s="572"/>
    </row>
    <row r="53" spans="1:16">
      <c r="A53" s="362" t="s">
        <v>60</v>
      </c>
      <c r="B53" s="352"/>
      <c r="C53" s="50"/>
      <c r="D53" s="264"/>
      <c r="E53" s="287"/>
      <c r="F53" s="915"/>
      <c r="G53" s="915"/>
      <c r="H53" s="52"/>
      <c r="I53" s="28"/>
      <c r="J53" s="22"/>
      <c r="K53" s="36"/>
      <c r="L53" s="36"/>
      <c r="M53" s="36"/>
      <c r="N53" s="288"/>
      <c r="O53" s="181"/>
    </row>
    <row r="54" spans="1:16">
      <c r="A54" s="362"/>
      <c r="B54" s="352"/>
      <c r="C54" s="50"/>
      <c r="D54" s="265"/>
      <c r="E54" s="297"/>
      <c r="F54" s="53"/>
      <c r="G54" s="53"/>
      <c r="H54" s="52"/>
      <c r="I54" s="28"/>
      <c r="J54" s="22"/>
      <c r="K54" s="36"/>
      <c r="L54" s="36"/>
      <c r="M54" s="36"/>
      <c r="N54" s="288"/>
      <c r="O54" s="85"/>
    </row>
    <row r="55" spans="1:16">
      <c r="A55" s="370" t="s">
        <v>61</v>
      </c>
      <c r="B55" s="353">
        <f>SUM(B56:B63)</f>
        <v>71421</v>
      </c>
      <c r="C55" s="353">
        <f>SUM(C56:C63)</f>
        <v>2573</v>
      </c>
      <c r="D55" s="266">
        <f>SUM(D56:D63)</f>
        <v>4746</v>
      </c>
      <c r="E55" s="298">
        <f>SUM(E56:E63)</f>
        <v>4746</v>
      </c>
      <c r="F55" s="55">
        <f t="shared" ref="F55:N55" si="11">SUM(F56:F63)</f>
        <v>66</v>
      </c>
      <c r="G55" s="55">
        <f t="shared" si="11"/>
        <v>66</v>
      </c>
      <c r="H55" s="55">
        <f t="shared" si="11"/>
        <v>2268</v>
      </c>
      <c r="I55" s="55">
        <f t="shared" si="11"/>
        <v>2346</v>
      </c>
      <c r="J55" s="55">
        <f t="shared" si="11"/>
        <v>0</v>
      </c>
      <c r="K55" s="97">
        <f t="shared" si="11"/>
        <v>2535</v>
      </c>
      <c r="L55" s="97">
        <f t="shared" si="11"/>
        <v>1816</v>
      </c>
      <c r="M55" s="97">
        <f t="shared" si="11"/>
        <v>0</v>
      </c>
      <c r="N55" s="299">
        <f t="shared" si="11"/>
        <v>4129</v>
      </c>
      <c r="O55" s="73">
        <f t="shared" si="1"/>
        <v>1.8445394481150408</v>
      </c>
    </row>
    <row r="56" spans="1:16">
      <c r="A56" s="362" t="s">
        <v>62</v>
      </c>
      <c r="B56" s="350">
        <f>122+557+792+366+499+468+393+769+628+559+497+230</f>
        <v>5880</v>
      </c>
      <c r="C56" s="42">
        <v>122</v>
      </c>
      <c r="D56" s="315">
        <f>335</f>
        <v>335</v>
      </c>
      <c r="E56" s="286">
        <f>SUM(F56:J56)</f>
        <v>335</v>
      </c>
      <c r="F56" s="291"/>
      <c r="G56" s="13"/>
      <c r="H56" s="57">
        <v>145</v>
      </c>
      <c r="I56" s="13">
        <v>190</v>
      </c>
      <c r="J56" s="13"/>
      <c r="K56" s="36">
        <f>27+129</f>
        <v>156</v>
      </c>
      <c r="L56" s="36">
        <f>82+25</f>
        <v>107</v>
      </c>
      <c r="M56" s="36"/>
      <c r="N56" s="288"/>
      <c r="O56" s="181">
        <f t="shared" si="1"/>
        <v>2.7459016393442623</v>
      </c>
    </row>
    <row r="57" spans="1:16">
      <c r="A57" s="362" t="s">
        <v>63</v>
      </c>
      <c r="B57" s="337"/>
      <c r="C57" s="19"/>
      <c r="D57" s="316"/>
      <c r="E57" s="325">
        <f t="shared" ref="E57:E63" si="12">SUM(F57:J57)</f>
        <v>0</v>
      </c>
      <c r="F57" s="58"/>
      <c r="G57" s="11"/>
      <c r="H57" s="13"/>
      <c r="I57" s="13"/>
      <c r="J57" s="13"/>
      <c r="K57" s="36"/>
      <c r="L57" s="36"/>
      <c r="M57" s="36"/>
      <c r="N57" s="288"/>
      <c r="O57" s="181"/>
    </row>
    <row r="58" spans="1:16">
      <c r="A58" s="362" t="s">
        <v>64</v>
      </c>
      <c r="B58" s="350">
        <f>774+884+1093+1806+989+1127+1587+1317+1182+1138+1729+1456</f>
        <v>15082</v>
      </c>
      <c r="C58" s="42">
        <v>774</v>
      </c>
      <c r="D58" s="315">
        <f>1670</f>
        <v>1670</v>
      </c>
      <c r="E58" s="325">
        <f t="shared" si="12"/>
        <v>1670</v>
      </c>
      <c r="F58" s="57"/>
      <c r="G58" s="11"/>
      <c r="H58" s="13">
        <v>829</v>
      </c>
      <c r="I58" s="13">
        <v>841</v>
      </c>
      <c r="J58" s="13"/>
      <c r="K58" s="36">
        <f>354+408</f>
        <v>762</v>
      </c>
      <c r="L58" s="36">
        <f>383+341</f>
        <v>724</v>
      </c>
      <c r="M58" s="36"/>
      <c r="N58" s="288">
        <v>1670</v>
      </c>
      <c r="O58" s="181">
        <f t="shared" si="1"/>
        <v>2.157622739018088</v>
      </c>
    </row>
    <row r="59" spans="1:16">
      <c r="A59" s="362" t="s">
        <v>65</v>
      </c>
      <c r="B59" s="337">
        <f>19101+1605+2057+920+1082</f>
        <v>24765</v>
      </c>
      <c r="C59" s="19">
        <v>888</v>
      </c>
      <c r="D59" s="801">
        <f>1089</f>
        <v>1089</v>
      </c>
      <c r="E59" s="802">
        <f t="shared" si="12"/>
        <v>1089</v>
      </c>
      <c r="F59" s="58">
        <v>66</v>
      </c>
      <c r="G59" s="11">
        <v>66</v>
      </c>
      <c r="H59" s="13">
        <v>476</v>
      </c>
      <c r="I59" s="13">
        <v>481</v>
      </c>
      <c r="J59" s="13"/>
      <c r="K59" s="22">
        <f>66+1+338</f>
        <v>405</v>
      </c>
      <c r="L59" s="22">
        <f>66+335+1</f>
        <v>402</v>
      </c>
      <c r="M59" s="36"/>
      <c r="N59" s="288">
        <v>807</v>
      </c>
      <c r="O59" s="181">
        <f t="shared" si="1"/>
        <v>1.2263513513513513</v>
      </c>
    </row>
    <row r="60" spans="1:16">
      <c r="A60" s="371" t="s">
        <v>66</v>
      </c>
      <c r="B60" s="24">
        <f>SUM(C60:G60)</f>
        <v>0</v>
      </c>
      <c r="C60" s="59">
        <v>0</v>
      </c>
      <c r="D60" s="317"/>
      <c r="E60" s="325">
        <f t="shared" si="12"/>
        <v>0</v>
      </c>
      <c r="F60" s="60"/>
      <c r="G60" s="11"/>
      <c r="H60" s="13"/>
      <c r="I60" s="13"/>
      <c r="J60" s="13"/>
      <c r="K60" s="36"/>
      <c r="L60" s="36"/>
      <c r="M60" s="36"/>
      <c r="N60" s="288"/>
      <c r="O60" s="181"/>
    </row>
    <row r="61" spans="1:16">
      <c r="A61" s="362" t="s">
        <v>67</v>
      </c>
      <c r="B61" s="337">
        <v>19597</v>
      </c>
      <c r="C61" s="19">
        <v>607</v>
      </c>
      <c r="D61" s="316">
        <f>949</f>
        <v>949</v>
      </c>
      <c r="E61" s="325">
        <f t="shared" si="12"/>
        <v>949</v>
      </c>
      <c r="F61" s="58"/>
      <c r="G61" s="11"/>
      <c r="H61" s="13">
        <v>479</v>
      </c>
      <c r="I61" s="13">
        <v>470</v>
      </c>
      <c r="J61" s="13"/>
      <c r="K61" s="22">
        <v>949</v>
      </c>
      <c r="L61" s="22">
        <f>479</f>
        <v>479</v>
      </c>
      <c r="M61" s="36"/>
      <c r="N61" s="288">
        <v>949</v>
      </c>
      <c r="O61" s="181">
        <f t="shared" si="1"/>
        <v>1.5634266886326194</v>
      </c>
    </row>
    <row r="62" spans="1:16">
      <c r="A62" s="372" t="s">
        <v>68</v>
      </c>
      <c r="B62" s="354"/>
      <c r="C62" s="61">
        <v>182</v>
      </c>
      <c r="D62" s="318"/>
      <c r="E62" s="325">
        <f t="shared" si="12"/>
        <v>0</v>
      </c>
      <c r="F62" s="57"/>
      <c r="G62" s="62"/>
      <c r="H62" s="12"/>
      <c r="I62" s="12"/>
      <c r="J62" s="12"/>
      <c r="K62" s="28"/>
      <c r="L62" s="28"/>
      <c r="M62" s="28"/>
      <c r="N62" s="277"/>
      <c r="O62" s="181">
        <f t="shared" si="1"/>
        <v>0</v>
      </c>
    </row>
    <row r="63" spans="1:16">
      <c r="A63" s="362" t="s">
        <v>69</v>
      </c>
      <c r="B63" s="350">
        <f>3284+527+85+247+741+628+585</f>
        <v>6097</v>
      </c>
      <c r="C63" s="63"/>
      <c r="D63" s="314">
        <f>703</f>
        <v>703</v>
      </c>
      <c r="E63" s="286">
        <f t="shared" si="12"/>
        <v>703</v>
      </c>
      <c r="F63" s="13"/>
      <c r="G63" s="13"/>
      <c r="H63" s="13">
        <v>339</v>
      </c>
      <c r="I63" s="13">
        <v>364</v>
      </c>
      <c r="J63" s="13">
        <v>0</v>
      </c>
      <c r="K63" s="22">
        <f>217+46</f>
        <v>263</v>
      </c>
      <c r="L63" s="22">
        <f>104</f>
        <v>104</v>
      </c>
      <c r="M63" s="22"/>
      <c r="N63" s="278">
        <v>703</v>
      </c>
      <c r="O63" s="181"/>
    </row>
    <row r="64" spans="1:16">
      <c r="A64" s="373"/>
      <c r="B64" s="355"/>
      <c r="C64" s="65"/>
      <c r="D64" s="271"/>
      <c r="E64" s="300"/>
      <c r="F64" s="66"/>
      <c r="G64" s="66"/>
      <c r="H64" s="66"/>
      <c r="I64" s="66"/>
      <c r="J64" s="66"/>
      <c r="K64" s="66"/>
      <c r="L64" s="66"/>
      <c r="M64" s="66"/>
      <c r="N64" s="301"/>
      <c r="O64" s="98"/>
    </row>
    <row r="65" spans="1:17" s="1" customFormat="1" ht="20.100000000000001" customHeight="1" thickBot="1">
      <c r="A65" s="374" t="s">
        <v>70</v>
      </c>
      <c r="B65" s="978">
        <f>B6+B26+B32+B45+B55</f>
        <v>18561273</v>
      </c>
      <c r="C65" s="978">
        <f>C6+C26+C32+C45+C55</f>
        <v>1226055</v>
      </c>
      <c r="D65" s="933">
        <f>D6+D26+D32+D45+D55</f>
        <v>1794338</v>
      </c>
      <c r="E65" s="932">
        <f>E6+E26+E32+E45+E55</f>
        <v>1794338</v>
      </c>
      <c r="F65" s="934">
        <f>F6+F26+F32+F45+F55</f>
        <v>720156</v>
      </c>
      <c r="G65" s="935">
        <f>G6+G26+F32+G45+G55</f>
        <v>741294</v>
      </c>
      <c r="H65" s="102">
        <f t="shared" ref="H65:N65" si="13">H6+H26+G32+H45+H55</f>
        <v>317697</v>
      </c>
      <c r="I65" s="102">
        <f t="shared" si="13"/>
        <v>156932</v>
      </c>
      <c r="J65" s="102">
        <f t="shared" si="13"/>
        <v>135589</v>
      </c>
      <c r="K65" s="127">
        <f t="shared" si="13"/>
        <v>51357</v>
      </c>
      <c r="L65" s="127">
        <f t="shared" si="13"/>
        <v>197124</v>
      </c>
      <c r="M65" s="127">
        <f t="shared" si="13"/>
        <v>30513</v>
      </c>
      <c r="N65" s="302">
        <f t="shared" si="13"/>
        <v>52664</v>
      </c>
      <c r="O65" s="182">
        <f t="shared" si="1"/>
        <v>1.4635053076737994</v>
      </c>
    </row>
    <row r="66" spans="1:17">
      <c r="A66" s="3"/>
      <c r="B66" s="3"/>
      <c r="C66" s="384"/>
      <c r="D66" s="401" t="s">
        <v>156</v>
      </c>
      <c r="E66" s="3"/>
      <c r="F66" s="68"/>
      <c r="G66" s="3"/>
      <c r="H66" s="3"/>
      <c r="I66" s="3"/>
      <c r="J66" s="3"/>
      <c r="K66" s="3"/>
      <c r="L66" s="68"/>
      <c r="M66" s="150" t="s">
        <v>113</v>
      </c>
      <c r="N66" s="68"/>
      <c r="O66" s="3"/>
    </row>
    <row r="67" spans="1:17">
      <c r="B67" s="3"/>
      <c r="C67" s="3"/>
      <c r="D67" s="68"/>
      <c r="E67" s="3"/>
      <c r="F67" s="68"/>
      <c r="G67" s="3"/>
      <c r="H67" s="3"/>
      <c r="I67" s="3"/>
      <c r="J67" s="3"/>
      <c r="K67" s="3"/>
      <c r="L67" s="68"/>
      <c r="M67" s="68"/>
      <c r="N67" s="68"/>
      <c r="O67" s="3"/>
    </row>
    <row r="68" spans="1:17">
      <c r="B68" s="3"/>
      <c r="C68" s="3"/>
      <c r="D68" s="103" t="s">
        <v>71</v>
      </c>
      <c r="E68" s="104" t="s">
        <v>72</v>
      </c>
      <c r="F68" s="104" t="s">
        <v>73</v>
      </c>
      <c r="G68" s="104" t="s">
        <v>74</v>
      </c>
      <c r="H68" s="104" t="s">
        <v>75</v>
      </c>
      <c r="I68" s="104" t="s">
        <v>76</v>
      </c>
      <c r="J68" s="104" t="s">
        <v>77</v>
      </c>
      <c r="K68" s="104" t="s">
        <v>78</v>
      </c>
      <c r="L68" s="104" t="s">
        <v>79</v>
      </c>
      <c r="M68" s="104" t="s">
        <v>80</v>
      </c>
      <c r="N68" s="104" t="s">
        <v>81</v>
      </c>
      <c r="O68" s="104" t="s">
        <v>82</v>
      </c>
      <c r="P68" s="104" t="s">
        <v>83</v>
      </c>
    </row>
    <row r="69" spans="1:17">
      <c r="B69" s="105" t="s">
        <v>84</v>
      </c>
      <c r="C69" s="105"/>
      <c r="D69" s="106">
        <v>1845076</v>
      </c>
      <c r="E69" s="106"/>
      <c r="F69" s="106"/>
      <c r="G69" s="106"/>
      <c r="H69" s="106"/>
      <c r="I69" s="129"/>
      <c r="J69" s="106"/>
      <c r="K69" s="130"/>
      <c r="L69" s="22"/>
      <c r="M69" s="131"/>
      <c r="N69" s="111"/>
      <c r="O69" s="131"/>
      <c r="P69" s="132">
        <f>SUM(D69:O69)</f>
        <v>1845076</v>
      </c>
    </row>
    <row r="70" spans="1:17">
      <c r="A70" s="3"/>
      <c r="B70" s="107" t="s">
        <v>85</v>
      </c>
      <c r="C70" s="107"/>
      <c r="D70" s="108"/>
      <c r="E70" s="109">
        <f>IF(D69&gt;0,E69/D69,0)*100</f>
        <v>0</v>
      </c>
      <c r="F70" s="109">
        <f>IF(E69&gt;0,F69/E69,0)*100</f>
        <v>0</v>
      </c>
      <c r="G70" s="109">
        <f>IF(F69&gt;0,G69/F69,0)*100</f>
        <v>0</v>
      </c>
      <c r="H70" s="109">
        <f>IF(G69&gt;0,H69/G69,0)*100</f>
        <v>0</v>
      </c>
      <c r="I70" s="109">
        <f>IF(H69&gt;0,I69/H69,0)*100</f>
        <v>0</v>
      </c>
      <c r="J70" s="109">
        <f>IF(H69&gt;0,J69/H69,0)*100</f>
        <v>0</v>
      </c>
      <c r="K70" s="109">
        <f>IF(J69&gt;0,K69/J69,0)*100</f>
        <v>0</v>
      </c>
      <c r="L70" s="109">
        <f>IF(K69&gt;0,L69/K69,0)*100</f>
        <v>0</v>
      </c>
      <c r="M70" s="109">
        <f>IF(L69&gt;0,M69/L69,0)*100</f>
        <v>0</v>
      </c>
      <c r="N70" s="109">
        <f>IF(M69&gt;0,N69/M69,0)*100</f>
        <v>0</v>
      </c>
      <c r="O70" s="109">
        <f>IF(N69&gt;0,O69/N69,0)*100</f>
        <v>0</v>
      </c>
      <c r="P70" s="133"/>
    </row>
    <row r="71" spans="1:17">
      <c r="A71" s="3"/>
      <c r="B71" s="110"/>
      <c r="C71" s="110"/>
      <c r="D71" s="110"/>
      <c r="E71" s="111"/>
      <c r="F71" s="110"/>
      <c r="G71" s="3"/>
      <c r="H71" s="3"/>
      <c r="I71" s="3"/>
      <c r="J71" s="3"/>
      <c r="K71" s="3"/>
      <c r="L71" s="3"/>
      <c r="M71" s="68"/>
      <c r="N71" s="68"/>
      <c r="O71" s="68"/>
      <c r="P71" s="3"/>
    </row>
    <row r="72" spans="1:17">
      <c r="A72" s="333" t="s">
        <v>86</v>
      </c>
      <c r="B72" s="68"/>
      <c r="C72" s="68"/>
      <c r="D72" s="68"/>
      <c r="E72" s="68"/>
      <c r="F72" s="3"/>
      <c r="G72" s="3"/>
      <c r="H72" s="3"/>
      <c r="I72" s="3"/>
      <c r="J72" s="3"/>
      <c r="K72" s="3"/>
      <c r="L72" s="3"/>
      <c r="M72" s="68"/>
      <c r="N72" s="68"/>
      <c r="O72" s="68"/>
      <c r="P72" s="3"/>
      <c r="Q72" s="142"/>
    </row>
    <row r="73" spans="1:17">
      <c r="A73" s="3" t="s">
        <v>87</v>
      </c>
      <c r="B73" s="68"/>
      <c r="C73" s="68"/>
      <c r="D73" s="68"/>
      <c r="E73" s="68"/>
      <c r="F73" s="3"/>
      <c r="G73" s="3"/>
      <c r="H73" s="3"/>
      <c r="I73" s="3"/>
      <c r="J73" s="3"/>
      <c r="K73" s="3"/>
      <c r="L73" s="3"/>
      <c r="M73" s="68"/>
      <c r="N73" s="68"/>
      <c r="O73" s="68"/>
      <c r="P73" s="3"/>
      <c r="Q73" s="142"/>
    </row>
    <row r="74" spans="1:17">
      <c r="A74" s="148" t="s">
        <v>88</v>
      </c>
      <c r="B74" s="68"/>
      <c r="C74" s="68"/>
      <c r="D74" s="68"/>
      <c r="E74" s="68"/>
      <c r="F74" s="3"/>
      <c r="G74" s="3"/>
      <c r="H74" s="3"/>
      <c r="I74" s="3"/>
      <c r="J74" s="3"/>
      <c r="K74" s="3"/>
      <c r="L74" s="3"/>
      <c r="M74" s="68"/>
      <c r="N74" s="68"/>
      <c r="O74" s="68"/>
      <c r="P74" s="134"/>
      <c r="Q74" s="143"/>
    </row>
    <row r="75" spans="1:17">
      <c r="A75" s="149" t="s">
        <v>89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4"/>
    </row>
    <row r="76" spans="1:17">
      <c r="A76" s="3" t="s">
        <v>90</v>
      </c>
      <c r="B76" s="3"/>
      <c r="C76" s="3"/>
      <c r="D76" s="3"/>
      <c r="E76" s="3"/>
      <c r="F76" s="3"/>
      <c r="G76" s="3"/>
      <c r="H76" s="3"/>
      <c r="I76" s="3"/>
      <c r="K76" s="3"/>
      <c r="M76" s="68"/>
      <c r="N76" s="68"/>
      <c r="O76" s="68"/>
      <c r="P76" s="3"/>
    </row>
    <row r="77" spans="1:17">
      <c r="A77" s="3" t="s">
        <v>91</v>
      </c>
      <c r="B77" s="3"/>
      <c r="C77" s="3"/>
      <c r="D77" s="3"/>
      <c r="E77" s="3"/>
      <c r="F77" s="3"/>
      <c r="G77" s="3"/>
      <c r="H77" s="3"/>
      <c r="I77" s="3"/>
      <c r="K77" s="3"/>
      <c r="M77" s="68"/>
      <c r="N77" s="68"/>
      <c r="O77" s="135"/>
      <c r="P77" s="3"/>
    </row>
    <row r="78" spans="1:17">
      <c r="A78" s="3" t="s">
        <v>92</v>
      </c>
      <c r="B78" s="3"/>
      <c r="C78" s="3"/>
      <c r="D78" s="3"/>
      <c r="E78" s="3"/>
      <c r="F78" s="3"/>
      <c r="G78" s="3"/>
      <c r="H78" s="3"/>
      <c r="I78" s="3"/>
      <c r="K78" s="3"/>
      <c r="L78" s="3"/>
      <c r="M78" s="68"/>
      <c r="N78" s="68"/>
      <c r="O78" s="68"/>
      <c r="P78" s="3"/>
    </row>
    <row r="80" spans="1:17">
      <c r="B80" s="606" t="s">
        <v>159</v>
      </c>
    </row>
    <row r="81" spans="2:17" ht="15.6">
      <c r="B81" s="112" t="s">
        <v>93</v>
      </c>
      <c r="C81" s="113"/>
      <c r="D81" s="114" t="s">
        <v>94</v>
      </c>
      <c r="E81" s="115" t="s">
        <v>95</v>
      </c>
      <c r="F81" s="115" t="s">
        <v>96</v>
      </c>
      <c r="G81" s="115" t="s">
        <v>97</v>
      </c>
      <c r="H81" s="115" t="s">
        <v>98</v>
      </c>
      <c r="I81" s="136" t="s">
        <v>99</v>
      </c>
      <c r="J81" s="115" t="s">
        <v>100</v>
      </c>
      <c r="K81" s="115" t="s">
        <v>101</v>
      </c>
      <c r="L81" s="115" t="s">
        <v>102</v>
      </c>
      <c r="M81" s="115" t="s">
        <v>103</v>
      </c>
      <c r="N81" s="115" t="s">
        <v>104</v>
      </c>
      <c r="O81" s="115" t="s">
        <v>105</v>
      </c>
      <c r="P81" s="115" t="s">
        <v>106</v>
      </c>
      <c r="Q81" s="145" t="s">
        <v>107</v>
      </c>
    </row>
    <row r="82" spans="2:17">
      <c r="B82" s="116" t="s">
        <v>108</v>
      </c>
      <c r="C82" s="117"/>
      <c r="D82" s="52">
        <v>250647.57142857101</v>
      </c>
      <c r="E82" s="52"/>
      <c r="F82" s="52"/>
      <c r="G82" s="52"/>
      <c r="H82" s="118"/>
      <c r="I82" s="52"/>
      <c r="J82" s="52"/>
      <c r="K82" s="137"/>
      <c r="L82" s="138"/>
      <c r="M82" s="52"/>
      <c r="N82" s="52"/>
      <c r="O82" s="52"/>
      <c r="P82" s="139">
        <f t="shared" ref="P82:P88" si="14">SUM(D82:O82)</f>
        <v>250647.57142857101</v>
      </c>
      <c r="Q82" s="146">
        <f t="shared" ref="Q82:Q88" si="15">P82/$P$88</f>
        <v>0.33405156082632248</v>
      </c>
    </row>
    <row r="83" spans="2:17">
      <c r="B83" s="119" t="s">
        <v>109</v>
      </c>
      <c r="C83" s="120"/>
      <c r="D83" s="121">
        <v>51557.785714285703</v>
      </c>
      <c r="E83" s="122"/>
      <c r="F83" s="122"/>
      <c r="G83" s="122"/>
      <c r="H83" s="123"/>
      <c r="I83" s="122"/>
      <c r="J83" s="122"/>
      <c r="K83" s="122"/>
      <c r="L83" s="122"/>
      <c r="M83" s="122"/>
      <c r="N83" s="122"/>
      <c r="O83" s="122"/>
      <c r="P83" s="140">
        <f t="shared" si="14"/>
        <v>51557.785714285703</v>
      </c>
      <c r="Q83" s="147">
        <f t="shared" si="15"/>
        <v>6.8713846667029732E-2</v>
      </c>
    </row>
    <row r="84" spans="2:17">
      <c r="B84" s="119" t="s">
        <v>110</v>
      </c>
      <c r="C84" s="120"/>
      <c r="D84" s="121">
        <v>157521.85714285701</v>
      </c>
      <c r="E84" s="122"/>
      <c r="F84" s="122"/>
      <c r="G84" s="122"/>
      <c r="H84" s="123"/>
      <c r="I84" s="122"/>
      <c r="J84" s="122"/>
      <c r="K84" s="122"/>
      <c r="L84" s="122"/>
      <c r="M84" s="122"/>
      <c r="N84" s="122"/>
      <c r="O84" s="122"/>
      <c r="P84" s="140">
        <f t="shared" si="14"/>
        <v>157521.85714285701</v>
      </c>
      <c r="Q84" s="147">
        <f t="shared" si="15"/>
        <v>0.20993788985435285</v>
      </c>
    </row>
    <row r="85" spans="2:17">
      <c r="B85" s="124" t="s">
        <v>111</v>
      </c>
      <c r="C85" s="117"/>
      <c r="D85" s="52">
        <v>129327.714285714</v>
      </c>
      <c r="E85" s="52"/>
      <c r="F85" s="52"/>
      <c r="G85" s="52"/>
      <c r="H85" s="118"/>
      <c r="I85" s="52"/>
      <c r="J85" s="52"/>
      <c r="K85" s="52"/>
      <c r="L85" s="52"/>
      <c r="M85" s="52"/>
      <c r="N85" s="52"/>
      <c r="O85" s="52"/>
      <c r="P85" s="139">
        <f t="shared" si="14"/>
        <v>129327.714285714</v>
      </c>
      <c r="Q85" s="146">
        <f t="shared" si="15"/>
        <v>0.17236203235089032</v>
      </c>
    </row>
    <row r="86" spans="2:17">
      <c r="B86" s="124" t="s">
        <v>112</v>
      </c>
      <c r="C86" s="117"/>
      <c r="D86" s="52">
        <v>81303.642857142899</v>
      </c>
      <c r="E86" s="52"/>
      <c r="F86" s="52"/>
      <c r="G86" s="52"/>
      <c r="H86" s="118"/>
      <c r="I86" s="52"/>
      <c r="J86" s="52"/>
      <c r="K86" s="52"/>
      <c r="L86" s="52"/>
      <c r="M86" s="52"/>
      <c r="N86" s="52"/>
      <c r="O86" s="52"/>
      <c r="P86" s="139">
        <f t="shared" si="14"/>
        <v>81303.642857142899</v>
      </c>
      <c r="Q86" s="146">
        <f t="shared" si="15"/>
        <v>0.10835775763753752</v>
      </c>
    </row>
    <row r="87" spans="2:17">
      <c r="B87" s="116" t="s">
        <v>57</v>
      </c>
      <c r="C87" s="117"/>
      <c r="D87" s="52">
        <v>79967.428571428594</v>
      </c>
      <c r="E87" s="52"/>
      <c r="F87" s="52"/>
      <c r="G87" s="52"/>
      <c r="H87" s="118"/>
      <c r="I87" s="52"/>
      <c r="J87" s="52"/>
      <c r="K87" s="52"/>
      <c r="L87" s="52"/>
      <c r="M87" s="52"/>
      <c r="N87" s="52"/>
      <c r="O87" s="52"/>
      <c r="P87" s="139">
        <f t="shared" si="14"/>
        <v>79967.428571428594</v>
      </c>
      <c r="Q87" s="146">
        <f t="shared" si="15"/>
        <v>0.106576912663867</v>
      </c>
    </row>
    <row r="88" spans="2:17">
      <c r="C88" s="125"/>
      <c r="D88" s="126">
        <f>SUM(D82:D87)</f>
        <v>750325.9999999993</v>
      </c>
      <c r="E88" s="126">
        <f t="shared" ref="E88:O88" si="16">SUM(E82:E87)</f>
        <v>0</v>
      </c>
      <c r="F88" s="126">
        <f t="shared" si="16"/>
        <v>0</v>
      </c>
      <c r="G88" s="126">
        <f t="shared" si="16"/>
        <v>0</v>
      </c>
      <c r="H88" s="126">
        <f t="shared" si="16"/>
        <v>0</v>
      </c>
      <c r="I88" s="126">
        <f t="shared" si="16"/>
        <v>0</v>
      </c>
      <c r="J88" s="126">
        <f t="shared" si="16"/>
        <v>0</v>
      </c>
      <c r="K88" s="126">
        <f t="shared" si="16"/>
        <v>0</v>
      </c>
      <c r="L88" s="126">
        <f t="shared" si="16"/>
        <v>0</v>
      </c>
      <c r="M88" s="126">
        <f t="shared" si="16"/>
        <v>0</v>
      </c>
      <c r="N88" s="126">
        <f t="shared" si="16"/>
        <v>0</v>
      </c>
      <c r="O88" s="126">
        <f t="shared" si="16"/>
        <v>0</v>
      </c>
      <c r="P88" s="141">
        <f t="shared" si="14"/>
        <v>750325.9999999993</v>
      </c>
      <c r="Q88" s="146">
        <f t="shared" si="15"/>
        <v>1</v>
      </c>
    </row>
  </sheetData>
  <mergeCells count="24">
    <mergeCell ref="A1:O1"/>
    <mergeCell ref="E3:N3"/>
    <mergeCell ref="F40:G40"/>
    <mergeCell ref="H40:I40"/>
    <mergeCell ref="A3:A4"/>
    <mergeCell ref="B3:B4"/>
    <mergeCell ref="O3:O4"/>
    <mergeCell ref="B47:B48"/>
    <mergeCell ref="C3:C4"/>
    <mergeCell ref="C47:C48"/>
    <mergeCell ref="D3:D4"/>
    <mergeCell ref="D47:D48"/>
    <mergeCell ref="E47:E48"/>
    <mergeCell ref="F47:F48"/>
    <mergeCell ref="G47:G48"/>
    <mergeCell ref="H47:H48"/>
    <mergeCell ref="I47:I48"/>
    <mergeCell ref="P6:P7"/>
    <mergeCell ref="P47:P48"/>
    <mergeCell ref="J47:J48"/>
    <mergeCell ref="K47:K48"/>
    <mergeCell ref="L47:L48"/>
    <mergeCell ref="M47:M48"/>
    <mergeCell ref="N47:N48"/>
  </mergeCells>
  <pageMargins left="0.25" right="0.25" top="0.75" bottom="0.75" header="0.3" footer="0.3"/>
  <pageSetup paperSize="9" scale="70" orientation="landscape" r:id="rId1"/>
  <ignoredErrors>
    <ignoredError sqref="J70 C32 C26" formula="1"/>
    <ignoredError sqref="E36" formula="1" formulaRange="1"/>
    <ignoredError sqref="E61 E51 E37:E43 E34:E35 E15 C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6B59-8CAA-474D-A207-7C8DC5B21D2C}">
  <dimension ref="A1:Q88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66" sqref="E66"/>
    </sheetView>
  </sheetViews>
  <sheetFormatPr defaultColWidth="8.5546875" defaultRowHeight="14.4"/>
  <cols>
    <col min="1" max="1" width="30.77734375" style="2" customWidth="1"/>
    <col min="2" max="2" width="12.88671875" style="2" customWidth="1"/>
    <col min="3" max="3" width="10" style="2" bestFit="1" customWidth="1"/>
    <col min="4" max="4" width="10.5546875" style="2" customWidth="1"/>
    <col min="5" max="5" width="10.21875" style="2" bestFit="1" customWidth="1"/>
    <col min="6" max="6" width="9.21875" style="2" bestFit="1" customWidth="1"/>
    <col min="7" max="7" width="10.5546875" style="2" bestFit="1" customWidth="1"/>
    <col min="8" max="8" width="9" style="2" bestFit="1" customWidth="1"/>
    <col min="9" max="10" width="8.44140625" style="2" bestFit="1" customWidth="1"/>
    <col min="11" max="11" width="9.5546875" style="2" bestFit="1" customWidth="1"/>
    <col min="12" max="12" width="8.44140625" style="2" bestFit="1" customWidth="1"/>
    <col min="13" max="13" width="9.44140625" style="2" customWidth="1"/>
    <col min="14" max="14" width="9.5546875" style="2" customWidth="1"/>
    <col min="15" max="15" width="8.5546875" style="2"/>
    <col min="16" max="16" width="10.44140625" style="2" bestFit="1" customWidth="1"/>
    <col min="17" max="17" width="9.5546875" style="2" bestFit="1" customWidth="1"/>
    <col min="18" max="16384" width="8.5546875" style="2"/>
  </cols>
  <sheetData>
    <row r="1" spans="1:17" s="1" customFormat="1" ht="26.85" customHeight="1">
      <c r="A1" s="1031" t="s">
        <v>118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50" t="s">
        <v>1</v>
      </c>
      <c r="B3" s="1052" t="s">
        <v>2</v>
      </c>
      <c r="C3" s="1023" t="s">
        <v>114</v>
      </c>
      <c r="D3" s="1027" t="s">
        <v>115</v>
      </c>
      <c r="E3" s="1032" t="s">
        <v>116</v>
      </c>
      <c r="F3" s="1033"/>
      <c r="G3" s="1033"/>
      <c r="H3" s="1033"/>
      <c r="I3" s="1033"/>
      <c r="J3" s="1033"/>
      <c r="K3" s="1033"/>
      <c r="L3" s="1033"/>
      <c r="M3" s="1033"/>
      <c r="N3" s="1034"/>
      <c r="O3" s="1040" t="s">
        <v>117</v>
      </c>
    </row>
    <row r="4" spans="1:17" ht="28.2" thickBot="1">
      <c r="A4" s="1051"/>
      <c r="B4" s="1053"/>
      <c r="C4" s="1024"/>
      <c r="D4" s="1028"/>
      <c r="E4" s="375" t="s">
        <v>7</v>
      </c>
      <c r="F4" s="376" t="s">
        <v>8</v>
      </c>
      <c r="G4" s="376" t="s">
        <v>9</v>
      </c>
      <c r="H4" s="376" t="s">
        <v>10</v>
      </c>
      <c r="I4" s="376" t="s">
        <v>11</v>
      </c>
      <c r="J4" s="377" t="s">
        <v>12</v>
      </c>
      <c r="K4" s="378" t="s">
        <v>13</v>
      </c>
      <c r="L4" s="378" t="s">
        <v>14</v>
      </c>
      <c r="M4" s="379" t="s">
        <v>15</v>
      </c>
      <c r="N4" s="380" t="s">
        <v>16</v>
      </c>
      <c r="O4" s="1041"/>
    </row>
    <row r="5" spans="1:17">
      <c r="A5" s="206"/>
      <c r="B5" s="207"/>
      <c r="C5" s="217"/>
      <c r="D5" s="244"/>
      <c r="E5" s="272"/>
      <c r="F5" s="209"/>
      <c r="G5" s="209"/>
      <c r="H5" s="209"/>
      <c r="I5" s="209"/>
      <c r="J5" s="210"/>
      <c r="K5" s="209"/>
      <c r="L5" s="211"/>
      <c r="M5" s="212"/>
      <c r="N5" s="273"/>
      <c r="O5" s="208"/>
    </row>
    <row r="6" spans="1:17">
      <c r="A6" s="6" t="s">
        <v>17</v>
      </c>
      <c r="B6" s="7">
        <f>SUM(B8:B18)</f>
        <v>4518182</v>
      </c>
      <c r="C6" s="8">
        <v>572810</v>
      </c>
      <c r="D6" s="245">
        <f>SUM(D8:D18)</f>
        <v>773065</v>
      </c>
      <c r="E6" s="274">
        <f>SUM(E8:E18)</f>
        <v>322275</v>
      </c>
      <c r="F6" s="9">
        <f t="shared" ref="F6:I6" si="0">SUM(F8:F17)</f>
        <v>133130</v>
      </c>
      <c r="G6" s="9">
        <f t="shared" si="0"/>
        <v>141368</v>
      </c>
      <c r="H6" s="9">
        <f t="shared" si="0"/>
        <v>21438</v>
      </c>
      <c r="I6" s="9">
        <f t="shared" si="0"/>
        <v>21098</v>
      </c>
      <c r="J6" s="9"/>
      <c r="K6" s="72"/>
      <c r="L6" s="72"/>
      <c r="M6" s="72"/>
      <c r="N6" s="275"/>
      <c r="O6" s="73">
        <f t="shared" ref="O6:O65" si="1">+D6/C6</f>
        <v>1.3496010893664565</v>
      </c>
      <c r="P6" s="1014"/>
    </row>
    <row r="7" spans="1:17">
      <c r="A7" s="161" t="s">
        <v>18</v>
      </c>
      <c r="B7" s="162"/>
      <c r="C7" s="163"/>
      <c r="D7" s="246"/>
      <c r="E7" s="276"/>
      <c r="F7" s="12"/>
      <c r="G7" s="12"/>
      <c r="H7" s="12"/>
      <c r="I7" s="12"/>
      <c r="J7" s="12"/>
      <c r="K7" s="28"/>
      <c r="L7" s="28"/>
      <c r="M7" s="28"/>
      <c r="N7" s="277"/>
      <c r="O7" s="73"/>
      <c r="P7" s="1014"/>
    </row>
    <row r="8" spans="1:17">
      <c r="A8" s="164" t="s">
        <v>19</v>
      </c>
      <c r="B8" s="162"/>
      <c r="C8" s="163"/>
      <c r="D8" s="247"/>
      <c r="E8" s="276">
        <f>F8+G8+H8+I8+J8</f>
        <v>0</v>
      </c>
      <c r="F8" s="13"/>
      <c r="G8" s="13"/>
      <c r="H8" s="13"/>
      <c r="I8" s="13"/>
      <c r="J8" s="13"/>
      <c r="K8" s="22"/>
      <c r="L8" s="22"/>
      <c r="M8" s="22"/>
      <c r="N8" s="278"/>
      <c r="O8" s="73"/>
      <c r="P8" s="3"/>
    </row>
    <row r="9" spans="1:17">
      <c r="A9" s="161" t="s">
        <v>120</v>
      </c>
      <c r="B9" s="165">
        <f>715133+126685+111732+106510+95851+111311</f>
        <v>1267222</v>
      </c>
      <c r="C9" s="163">
        <v>173850</v>
      </c>
      <c r="D9" s="246">
        <f>108077+85467</f>
        <v>193544</v>
      </c>
      <c r="E9" s="276">
        <f t="shared" ref="E9:E17" si="2">F9+G9+H9+I9+J9</f>
        <v>85467</v>
      </c>
      <c r="F9" s="154">
        <v>31542</v>
      </c>
      <c r="G9" s="154">
        <v>34414</v>
      </c>
      <c r="H9" s="154">
        <v>10675</v>
      </c>
      <c r="I9" s="154">
        <v>8836</v>
      </c>
      <c r="J9" s="155"/>
      <c r="K9" s="28"/>
      <c r="L9" s="28"/>
      <c r="M9" s="22"/>
      <c r="N9" s="278"/>
      <c r="O9" s="73">
        <f t="shared" si="1"/>
        <v>1.1132815645671557</v>
      </c>
      <c r="P9" s="74"/>
    </row>
    <row r="10" spans="1:17">
      <c r="A10" s="161" t="s">
        <v>20</v>
      </c>
      <c r="B10" s="165">
        <v>1272859</v>
      </c>
      <c r="C10" s="163">
        <v>140074</v>
      </c>
      <c r="D10" s="248">
        <f>148719+103732</f>
        <v>252451</v>
      </c>
      <c r="E10" s="276">
        <f t="shared" si="2"/>
        <v>103742</v>
      </c>
      <c r="F10" s="15">
        <v>49479</v>
      </c>
      <c r="G10" s="15">
        <v>54263</v>
      </c>
      <c r="H10" s="16"/>
      <c r="I10" s="16"/>
      <c r="J10" s="75"/>
      <c r="K10" s="76">
        <f>6349+5682</f>
        <v>12031</v>
      </c>
      <c r="L10" s="76">
        <f>1182+901</f>
        <v>2083</v>
      </c>
      <c r="M10" s="77"/>
      <c r="N10" s="278"/>
      <c r="O10" s="73">
        <f t="shared" si="1"/>
        <v>1.8022688007767322</v>
      </c>
      <c r="P10" s="78"/>
    </row>
    <row r="11" spans="1:17">
      <c r="A11" s="161" t="s">
        <v>21</v>
      </c>
      <c r="B11" s="165"/>
      <c r="C11" s="163"/>
      <c r="D11" s="248"/>
      <c r="E11" s="276">
        <f t="shared" si="2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73"/>
      <c r="P11" s="78"/>
    </row>
    <row r="12" spans="1:17">
      <c r="A12" s="161" t="s">
        <v>22</v>
      </c>
      <c r="B12" s="165">
        <v>491959</v>
      </c>
      <c r="C12" s="163">
        <v>73578</v>
      </c>
      <c r="D12" s="248">
        <f>39231+38035</f>
        <v>77266</v>
      </c>
      <c r="E12" s="276">
        <f t="shared" si="2"/>
        <v>38035</v>
      </c>
      <c r="F12" s="13">
        <v>18602</v>
      </c>
      <c r="G12" s="13">
        <v>18991</v>
      </c>
      <c r="H12" s="13">
        <v>217</v>
      </c>
      <c r="I12" s="13">
        <v>225</v>
      </c>
      <c r="J12" s="13"/>
      <c r="K12" s="22">
        <f>5281+3131+100+85</f>
        <v>8597</v>
      </c>
      <c r="L12" s="22">
        <f>103+2470+19</f>
        <v>2592</v>
      </c>
      <c r="M12" s="22"/>
      <c r="N12" s="278"/>
      <c r="O12" s="73">
        <f t="shared" si="1"/>
        <v>1.0501236782733969</v>
      </c>
      <c r="P12" s="79"/>
    </row>
    <row r="13" spans="1:17">
      <c r="A13" s="164" t="s">
        <v>23</v>
      </c>
      <c r="B13" s="165">
        <v>149160</v>
      </c>
      <c r="C13" s="163">
        <v>65905</v>
      </c>
      <c r="D13" s="248">
        <v>0</v>
      </c>
      <c r="E13" s="276">
        <f t="shared" si="2"/>
        <v>0</v>
      </c>
      <c r="F13" s="13"/>
      <c r="G13" s="13"/>
      <c r="H13" s="13"/>
      <c r="I13" s="13"/>
      <c r="J13" s="13"/>
      <c r="K13" s="22"/>
      <c r="L13" s="22"/>
      <c r="M13" s="22"/>
      <c r="N13" s="278"/>
      <c r="O13" s="73"/>
      <c r="P13" s="79"/>
    </row>
    <row r="14" spans="1:17">
      <c r="A14" s="166" t="s">
        <v>24</v>
      </c>
      <c r="B14" s="165">
        <f>27700+42263+60649+60306+68982+89333+103549+96251+80177+83538+83985+100491</f>
        <v>897224</v>
      </c>
      <c r="C14" s="163">
        <v>69963</v>
      </c>
      <c r="D14" s="246">
        <f>107401+71667</f>
        <v>179068</v>
      </c>
      <c r="E14" s="276">
        <f t="shared" si="2"/>
        <v>71667</v>
      </c>
      <c r="F14" s="18">
        <v>32713</v>
      </c>
      <c r="G14" s="18">
        <v>32947</v>
      </c>
      <c r="H14" s="18">
        <v>2623</v>
      </c>
      <c r="I14" s="18">
        <v>3384</v>
      </c>
      <c r="J14" s="18"/>
      <c r="K14" s="80">
        <f>7496+6249+531+631</f>
        <v>14907</v>
      </c>
      <c r="L14" s="80">
        <f>265+1958+4+19</f>
        <v>2246</v>
      </c>
      <c r="M14" s="80"/>
      <c r="N14" s="279">
        <v>493</v>
      </c>
      <c r="O14" s="73">
        <f t="shared" si="1"/>
        <v>2.559467146920515</v>
      </c>
      <c r="P14" s="79"/>
    </row>
    <row r="15" spans="1:17">
      <c r="A15" s="161" t="s">
        <v>25</v>
      </c>
      <c r="B15" s="165">
        <f>6147+7479+7850+9613+8350+10297+8331+8950+9929+9191+7491+7125</f>
        <v>100753</v>
      </c>
      <c r="C15" s="163">
        <v>13626</v>
      </c>
      <c r="D15" s="246">
        <f>5818+3471</f>
        <v>9289</v>
      </c>
      <c r="E15" s="276">
        <f t="shared" si="2"/>
        <v>3471</v>
      </c>
      <c r="F15" s="13"/>
      <c r="G15" s="13"/>
      <c r="H15" s="13">
        <v>1710</v>
      </c>
      <c r="I15" s="13">
        <v>1761</v>
      </c>
      <c r="J15" s="13"/>
      <c r="K15" s="81">
        <f>424+247</f>
        <v>671</v>
      </c>
      <c r="L15" s="22">
        <f>40+252</f>
        <v>292</v>
      </c>
      <c r="M15" s="22"/>
      <c r="N15" s="278"/>
      <c r="O15" s="73">
        <f t="shared" si="1"/>
        <v>0.68171143402319101</v>
      </c>
      <c r="P15" s="79"/>
    </row>
    <row r="16" spans="1:17">
      <c r="A16" s="161" t="s">
        <v>26</v>
      </c>
      <c r="B16" s="167">
        <f>540+350</f>
        <v>890</v>
      </c>
      <c r="C16" s="168">
        <v>436</v>
      </c>
      <c r="D16" s="249"/>
      <c r="E16" s="280">
        <f t="shared" si="2"/>
        <v>0</v>
      </c>
      <c r="F16" s="13"/>
      <c r="G16" s="13"/>
      <c r="H16" s="13"/>
      <c r="I16" s="13"/>
      <c r="J16" s="13"/>
      <c r="K16" s="28"/>
      <c r="L16" s="36"/>
      <c r="M16" s="22"/>
      <c r="N16" s="278"/>
      <c r="O16" s="73"/>
      <c r="P16" s="78"/>
    </row>
    <row r="17" spans="1:16" ht="15">
      <c r="A17" s="161" t="s">
        <v>27</v>
      </c>
      <c r="B17" s="169">
        <f>14801+21013+19343+20052+25339+15490+23521+25450+24091+25115+25902+30182</f>
        <v>270299</v>
      </c>
      <c r="C17" s="170">
        <v>35814</v>
      </c>
      <c r="D17" s="250">
        <f>29509+14652</f>
        <v>44161</v>
      </c>
      <c r="E17" s="276">
        <f t="shared" si="2"/>
        <v>14652</v>
      </c>
      <c r="F17" s="154">
        <v>794</v>
      </c>
      <c r="G17" s="154">
        <v>753</v>
      </c>
      <c r="H17" s="154">
        <v>6213</v>
      </c>
      <c r="I17" s="154">
        <v>6892</v>
      </c>
      <c r="J17" s="154"/>
      <c r="K17" s="156">
        <v>4430</v>
      </c>
      <c r="L17" s="156">
        <f>335+44+707</f>
        <v>1086</v>
      </c>
      <c r="M17" s="152"/>
      <c r="N17" s="281"/>
      <c r="O17" s="73">
        <f t="shared" si="1"/>
        <v>1.2330652817334002</v>
      </c>
      <c r="P17" s="79"/>
    </row>
    <row r="18" spans="1:16" ht="15" thickBot="1">
      <c r="A18" s="200" t="s">
        <v>28</v>
      </c>
      <c r="B18" s="216">
        <v>67816</v>
      </c>
      <c r="C18" s="201">
        <v>0</v>
      </c>
      <c r="D18" s="251">
        <f>12045+5241</f>
        <v>17286</v>
      </c>
      <c r="E18" s="282">
        <v>5241</v>
      </c>
      <c r="F18" s="202"/>
      <c r="G18" s="202"/>
      <c r="H18" s="202"/>
      <c r="I18" s="202"/>
      <c r="J18" s="202"/>
      <c r="K18" s="203"/>
      <c r="L18" s="203"/>
      <c r="M18" s="203"/>
      <c r="N18" s="283"/>
      <c r="O18" s="213"/>
      <c r="P18" s="79"/>
    </row>
    <row r="19" spans="1:16" ht="15.6">
      <c r="A19" s="329" t="s">
        <v>29</v>
      </c>
      <c r="B19" s="191">
        <v>633659</v>
      </c>
      <c r="C19" s="192">
        <v>92860</v>
      </c>
      <c r="D19" s="330">
        <v>98758</v>
      </c>
      <c r="E19" s="327">
        <v>41734</v>
      </c>
      <c r="F19" s="193"/>
      <c r="G19" s="194"/>
      <c r="H19" s="194"/>
      <c r="I19" s="194"/>
      <c r="J19" s="194"/>
      <c r="K19" s="194"/>
      <c r="L19" s="194"/>
      <c r="M19" s="194"/>
      <c r="N19" s="284"/>
      <c r="O19" s="205">
        <f>+D19/C19</f>
        <v>1.0635149687701917</v>
      </c>
      <c r="P19" s="78"/>
    </row>
    <row r="20" spans="1:16" ht="15.6">
      <c r="A20" s="331" t="s">
        <v>30</v>
      </c>
      <c r="B20" s="183">
        <v>255481</v>
      </c>
      <c r="C20" s="184">
        <v>51923</v>
      </c>
      <c r="D20" s="332">
        <v>42497</v>
      </c>
      <c r="E20" s="328">
        <v>17640</v>
      </c>
      <c r="F20" s="21"/>
      <c r="G20" s="22"/>
      <c r="H20" s="22"/>
      <c r="I20" s="22"/>
      <c r="J20" s="22"/>
      <c r="K20" s="22"/>
      <c r="L20" s="22"/>
      <c r="M20" s="22"/>
      <c r="N20" s="278"/>
      <c r="O20" s="73">
        <f t="shared" si="1"/>
        <v>0.8184619532769678</v>
      </c>
      <c r="P20" s="82"/>
    </row>
    <row r="21" spans="1:16" ht="15.6">
      <c r="A21" s="331" t="s">
        <v>31</v>
      </c>
      <c r="B21" s="183">
        <v>92242</v>
      </c>
      <c r="C21" s="184">
        <v>24141</v>
      </c>
      <c r="D21" s="332">
        <v>8659</v>
      </c>
      <c r="E21" s="328">
        <v>4335</v>
      </c>
      <c r="F21" s="21"/>
      <c r="G21" s="22"/>
      <c r="H21" s="22"/>
      <c r="I21" s="22"/>
      <c r="J21" s="22"/>
      <c r="K21" s="22"/>
      <c r="L21" s="22"/>
      <c r="M21" s="22"/>
      <c r="N21" s="278"/>
      <c r="O21" s="73">
        <f t="shared" si="1"/>
        <v>0.35868439584110018</v>
      </c>
      <c r="P21" s="83"/>
    </row>
    <row r="22" spans="1:16" ht="15.6">
      <c r="A22" s="331" t="s">
        <v>32</v>
      </c>
      <c r="B22" s="183">
        <v>400078</v>
      </c>
      <c r="C22" s="185">
        <v>51923</v>
      </c>
      <c r="D22" s="332">
        <v>66690</v>
      </c>
      <c r="E22" s="328">
        <v>30507</v>
      </c>
      <c r="F22" s="21"/>
      <c r="G22" s="22"/>
      <c r="H22" s="22"/>
      <c r="I22" s="22"/>
      <c r="J22" s="22"/>
      <c r="K22" s="22"/>
      <c r="L22" s="22"/>
      <c r="M22" s="22"/>
      <c r="N22" s="278"/>
      <c r="O22" s="73">
        <f t="shared" si="1"/>
        <v>1.2844019028176339</v>
      </c>
      <c r="P22" s="84"/>
    </row>
    <row r="23" spans="1:16" ht="15.6">
      <c r="A23" s="331" t="s">
        <v>33</v>
      </c>
      <c r="B23" s="186">
        <v>171077</v>
      </c>
      <c r="C23" s="187">
        <v>25312</v>
      </c>
      <c r="D23" s="332">
        <v>26704</v>
      </c>
      <c r="E23" s="328">
        <v>12059</v>
      </c>
      <c r="F23" s="21"/>
      <c r="G23" s="22"/>
      <c r="H23" s="22"/>
      <c r="I23" s="22"/>
      <c r="J23" s="22"/>
      <c r="K23" s="22"/>
      <c r="L23" s="22"/>
      <c r="M23" s="22"/>
      <c r="N23" s="278"/>
      <c r="O23" s="73">
        <f t="shared" si="1"/>
        <v>1.0549936788874843</v>
      </c>
      <c r="P23" s="84"/>
    </row>
    <row r="24" spans="1:16" ht="15.6">
      <c r="A24" s="331" t="s">
        <v>34</v>
      </c>
      <c r="B24" s="186">
        <v>270677</v>
      </c>
      <c r="C24" s="187">
        <v>65905</v>
      </c>
      <c r="D24" s="332">
        <v>31758</v>
      </c>
      <c r="E24" s="328">
        <v>9654</v>
      </c>
      <c r="F24" s="22"/>
      <c r="G24" s="22"/>
      <c r="H24" s="25"/>
      <c r="I24" s="22"/>
      <c r="J24" s="22"/>
      <c r="K24" s="22"/>
      <c r="L24" s="22"/>
      <c r="M24" s="22"/>
      <c r="N24" s="278"/>
      <c r="O24" s="73">
        <f t="shared" si="1"/>
        <v>0.48187542675062589</v>
      </c>
      <c r="P24" s="84"/>
    </row>
    <row r="25" spans="1:16">
      <c r="A25" s="26"/>
      <c r="B25" s="27"/>
      <c r="C25" s="23"/>
      <c r="D25" s="252"/>
      <c r="E25" s="326"/>
      <c r="F25" s="28"/>
      <c r="G25" s="28"/>
      <c r="H25" s="28"/>
      <c r="I25" s="28"/>
      <c r="J25" s="28"/>
      <c r="K25" s="28"/>
      <c r="L25" s="28"/>
      <c r="M25" s="28"/>
      <c r="N25" s="277"/>
      <c r="O25" s="85"/>
      <c r="P25" s="84"/>
    </row>
    <row r="26" spans="1:16">
      <c r="A26" s="6" t="s">
        <v>35</v>
      </c>
      <c r="B26" s="7">
        <f>SUM(B27:B30)</f>
        <v>860026</v>
      </c>
      <c r="C26" s="235">
        <v>117905</v>
      </c>
      <c r="D26" s="253">
        <f t="shared" ref="D26:L26" si="3">SUM(D27:D30)</f>
        <v>153345</v>
      </c>
      <c r="E26" s="274">
        <f t="shared" si="3"/>
        <v>62162</v>
      </c>
      <c r="F26" s="9">
        <f t="shared" si="3"/>
        <v>20480</v>
      </c>
      <c r="G26" s="9">
        <f t="shared" si="3"/>
        <v>26786</v>
      </c>
      <c r="H26" s="9">
        <f t="shared" si="3"/>
        <v>8624</v>
      </c>
      <c r="I26" s="9">
        <f t="shared" si="3"/>
        <v>6272</v>
      </c>
      <c r="J26" s="9">
        <f t="shared" si="3"/>
        <v>0</v>
      </c>
      <c r="K26" s="72">
        <f t="shared" si="3"/>
        <v>9799</v>
      </c>
      <c r="L26" s="72">
        <f t="shared" si="3"/>
        <v>2552</v>
      </c>
      <c r="M26" s="72"/>
      <c r="N26" s="275">
        <f>SUM(N27:N30)</f>
        <v>2189</v>
      </c>
      <c r="O26" s="73">
        <f t="shared" si="1"/>
        <v>1.3005809762096603</v>
      </c>
      <c r="P26" s="86"/>
    </row>
    <row r="27" spans="1:16">
      <c r="A27" s="161" t="s">
        <v>36</v>
      </c>
      <c r="B27" s="220">
        <f>30481+3346</f>
        <v>33827</v>
      </c>
      <c r="C27" s="236">
        <v>5142</v>
      </c>
      <c r="D27" s="254">
        <f>4188+2189</f>
        <v>6377</v>
      </c>
      <c r="E27" s="276">
        <f t="shared" ref="E27:E30" si="4">F27+G27+H27+I27+J27</f>
        <v>2189</v>
      </c>
      <c r="F27" s="13">
        <v>0</v>
      </c>
      <c r="G27" s="13">
        <v>0</v>
      </c>
      <c r="H27" s="13">
        <v>1180</v>
      </c>
      <c r="I27" s="13">
        <v>1009</v>
      </c>
      <c r="J27" s="12"/>
      <c r="K27" s="22">
        <f>308+517</f>
        <v>825</v>
      </c>
      <c r="L27" s="22">
        <f>256+0</f>
        <v>256</v>
      </c>
      <c r="M27" s="22"/>
      <c r="N27" s="278">
        <v>2189</v>
      </c>
      <c r="O27" s="73">
        <f t="shared" si="1"/>
        <v>1.2401789187086736</v>
      </c>
      <c r="P27" s="86"/>
    </row>
    <row r="28" spans="1:16">
      <c r="A28" s="171" t="s">
        <v>37</v>
      </c>
      <c r="B28" s="220">
        <v>675254</v>
      </c>
      <c r="C28" s="237">
        <v>87125</v>
      </c>
      <c r="D28" s="254">
        <f>64505+48073</f>
        <v>112578</v>
      </c>
      <c r="E28" s="276">
        <f t="shared" si="4"/>
        <v>48073</v>
      </c>
      <c r="F28" s="157">
        <v>17209</v>
      </c>
      <c r="G28" s="157">
        <v>20201</v>
      </c>
      <c r="H28" s="157">
        <v>5473</v>
      </c>
      <c r="I28" s="157">
        <v>5190</v>
      </c>
      <c r="J28" s="158"/>
      <c r="K28" s="159">
        <f>3134+3355+1112+318</f>
        <v>7919</v>
      </c>
      <c r="L28" s="159">
        <f>623+998+318</f>
        <v>1939</v>
      </c>
      <c r="M28" s="153"/>
      <c r="N28" s="277"/>
      <c r="O28" s="73">
        <f t="shared" si="1"/>
        <v>1.2921434720229554</v>
      </c>
    </row>
    <row r="29" spans="1:16">
      <c r="A29" s="171" t="s">
        <v>38</v>
      </c>
      <c r="B29" s="228">
        <f>120488+12239+18218</f>
        <v>150945</v>
      </c>
      <c r="C29" s="238">
        <v>25638</v>
      </c>
      <c r="D29" s="255">
        <f>22490+11900</f>
        <v>34390</v>
      </c>
      <c r="E29" s="276">
        <f t="shared" si="4"/>
        <v>11900</v>
      </c>
      <c r="F29" s="33">
        <v>3271</v>
      </c>
      <c r="G29" s="33">
        <v>6585</v>
      </c>
      <c r="H29" s="33">
        <v>1971</v>
      </c>
      <c r="I29" s="33">
        <v>73</v>
      </c>
      <c r="J29" s="12"/>
      <c r="K29" s="87">
        <f>197+734+86+38</f>
        <v>1055</v>
      </c>
      <c r="L29" s="87">
        <f>306+1+31+19</f>
        <v>357</v>
      </c>
      <c r="M29" s="22"/>
      <c r="N29" s="278"/>
      <c r="O29" s="73">
        <f t="shared" si="1"/>
        <v>1.3413682814572119</v>
      </c>
    </row>
    <row r="30" spans="1:16">
      <c r="A30" s="171" t="s">
        <v>39</v>
      </c>
      <c r="B30" s="14">
        <v>0</v>
      </c>
      <c r="C30" s="10">
        <v>0</v>
      </c>
      <c r="D30" s="256"/>
      <c r="E30" s="286">
        <f t="shared" si="4"/>
        <v>0</v>
      </c>
      <c r="F30" s="13"/>
      <c r="G30" s="13"/>
      <c r="H30" s="13"/>
      <c r="I30" s="13"/>
      <c r="J30" s="13"/>
      <c r="K30" s="22"/>
      <c r="L30" s="22"/>
      <c r="M30" s="22"/>
      <c r="N30" s="278"/>
      <c r="O30" s="73"/>
    </row>
    <row r="31" spans="1:16">
      <c r="A31" s="31"/>
      <c r="B31" s="229"/>
      <c r="C31" s="239"/>
      <c r="D31" s="257"/>
      <c r="E31" s="287"/>
      <c r="F31" s="36"/>
      <c r="G31" s="36"/>
      <c r="H31" s="36"/>
      <c r="I31" s="36"/>
      <c r="J31" s="36"/>
      <c r="K31" s="36"/>
      <c r="L31" s="36"/>
      <c r="M31" s="36"/>
      <c r="N31" s="288"/>
      <c r="O31" s="85"/>
    </row>
    <row r="32" spans="1:16">
      <c r="A32" s="6" t="s">
        <v>40</v>
      </c>
      <c r="B32" s="7">
        <f>SUM(B33:B43)</f>
        <v>8314054</v>
      </c>
      <c r="C32" s="235">
        <v>1154786</v>
      </c>
      <c r="D32" s="253">
        <f t="shared" ref="D32:N32" si="5">SUM(D33:D43)</f>
        <v>1350534</v>
      </c>
      <c r="E32" s="274">
        <f t="shared" si="5"/>
        <v>575261</v>
      </c>
      <c r="F32" s="9">
        <f t="shared" si="5"/>
        <v>229451</v>
      </c>
      <c r="G32" s="9">
        <f t="shared" si="5"/>
        <v>186400</v>
      </c>
      <c r="H32" s="9">
        <f t="shared" si="5"/>
        <v>70832</v>
      </c>
      <c r="I32" s="9">
        <f t="shared" si="5"/>
        <v>86161</v>
      </c>
      <c r="J32" s="9">
        <f t="shared" si="5"/>
        <v>2417</v>
      </c>
      <c r="K32" s="72">
        <f t="shared" si="5"/>
        <v>142911</v>
      </c>
      <c r="L32" s="72">
        <f t="shared" si="5"/>
        <v>69086</v>
      </c>
      <c r="M32" s="72">
        <f t="shared" si="5"/>
        <v>86</v>
      </c>
      <c r="N32" s="275">
        <f t="shared" si="5"/>
        <v>97566</v>
      </c>
      <c r="O32" s="73">
        <f t="shared" si="1"/>
        <v>1.1695101949625299</v>
      </c>
    </row>
    <row r="33" spans="1:16">
      <c r="A33" s="161" t="s">
        <v>41</v>
      </c>
      <c r="B33" s="165">
        <f>439746+58130+61049</f>
        <v>558925</v>
      </c>
      <c r="C33" s="163">
        <v>70773</v>
      </c>
      <c r="D33" s="246">
        <f>67666+51377</f>
        <v>119043</v>
      </c>
      <c r="E33" s="276">
        <f t="shared" ref="E33:E43" si="6">F33+G33+H33+I33+J33</f>
        <v>51377</v>
      </c>
      <c r="F33" s="13"/>
      <c r="G33" s="13"/>
      <c r="H33" s="13">
        <v>17573</v>
      </c>
      <c r="I33" s="13">
        <v>33804</v>
      </c>
      <c r="J33" s="13"/>
      <c r="K33" s="88">
        <f>17+1532</f>
        <v>1549</v>
      </c>
      <c r="L33" s="88">
        <f>670</f>
        <v>670</v>
      </c>
      <c r="M33" s="88"/>
      <c r="N33" s="289">
        <v>51377</v>
      </c>
      <c r="O33" s="73">
        <f t="shared" si="1"/>
        <v>1.6820397609257767</v>
      </c>
    </row>
    <row r="34" spans="1:16">
      <c r="A34" s="161" t="s">
        <v>42</v>
      </c>
      <c r="B34" s="165">
        <f>506252+63971</f>
        <v>570223</v>
      </c>
      <c r="C34" s="163">
        <v>62510</v>
      </c>
      <c r="D34" s="246">
        <f>58796+40986</f>
        <v>99782</v>
      </c>
      <c r="E34" s="276">
        <f t="shared" si="6"/>
        <v>40986</v>
      </c>
      <c r="F34" s="151"/>
      <c r="G34" s="151"/>
      <c r="H34" s="154">
        <v>9517</v>
      </c>
      <c r="I34" s="154">
        <v>31469</v>
      </c>
      <c r="J34" s="154"/>
      <c r="K34" s="160">
        <v>2134</v>
      </c>
      <c r="L34" s="160">
        <f>9344+75</f>
        <v>9419</v>
      </c>
      <c r="M34" s="160"/>
      <c r="N34" s="290">
        <v>40986</v>
      </c>
      <c r="O34" s="73">
        <f t="shared" si="1"/>
        <v>1.5962565989441688</v>
      </c>
    </row>
    <row r="35" spans="1:16">
      <c r="A35" s="161" t="s">
        <v>43</v>
      </c>
      <c r="B35" s="230">
        <f>42017+51282+45948+47390+55304+49234+45680+47437+43911+34616+30188+41910</f>
        <v>534917</v>
      </c>
      <c r="C35" s="163">
        <v>93299</v>
      </c>
      <c r="D35" s="258">
        <f>43919+38655</f>
        <v>82574</v>
      </c>
      <c r="E35" s="276">
        <f t="shared" si="6"/>
        <v>38655</v>
      </c>
      <c r="F35" s="13">
        <v>11899</v>
      </c>
      <c r="G35" s="13">
        <v>16407</v>
      </c>
      <c r="H35" s="13">
        <v>3015</v>
      </c>
      <c r="I35" s="291">
        <v>4917</v>
      </c>
      <c r="J35" s="13">
        <v>2417</v>
      </c>
      <c r="K35" s="88">
        <v>7717</v>
      </c>
      <c r="L35" s="88">
        <f>4189+547+418+791+2009</f>
        <v>7954</v>
      </c>
      <c r="M35" s="88"/>
      <c r="N35" s="289">
        <v>3162</v>
      </c>
      <c r="O35" s="73">
        <f t="shared" si="1"/>
        <v>0.88504699943193388</v>
      </c>
    </row>
    <row r="36" spans="1:16">
      <c r="A36" s="171" t="s">
        <v>44</v>
      </c>
      <c r="B36" s="231">
        <f>154869+18461+17185+18184+22072</f>
        <v>230771</v>
      </c>
      <c r="C36" s="240">
        <v>23143</v>
      </c>
      <c r="D36" s="259">
        <f>20214+11681</f>
        <v>31895</v>
      </c>
      <c r="E36" s="276">
        <f t="shared" si="6"/>
        <v>11681</v>
      </c>
      <c r="F36" s="13"/>
      <c r="G36" s="13">
        <v>49</v>
      </c>
      <c r="H36" s="13">
        <v>5876</v>
      </c>
      <c r="I36" s="13">
        <v>5756</v>
      </c>
      <c r="J36" s="89"/>
      <c r="K36" s="90">
        <f>0+1300+1330</f>
        <v>2630</v>
      </c>
      <c r="L36" s="88">
        <f>49+570+394</f>
        <v>1013</v>
      </c>
      <c r="M36" s="88">
        <v>86</v>
      </c>
      <c r="N36" s="289"/>
      <c r="O36" s="73">
        <f t="shared" si="1"/>
        <v>1.3781705051203388</v>
      </c>
    </row>
    <row r="37" spans="1:16">
      <c r="A37" s="171" t="s">
        <v>45</v>
      </c>
      <c r="B37" s="232">
        <f>50925+32855+32535+28886+28236+30552+33558+32390+29858+33841+31383</f>
        <v>365019</v>
      </c>
      <c r="C37" s="241">
        <v>50925</v>
      </c>
      <c r="D37" s="260">
        <f>36191+20920</f>
        <v>57111</v>
      </c>
      <c r="E37" s="276">
        <f t="shared" si="6"/>
        <v>20920</v>
      </c>
      <c r="F37" s="292"/>
      <c r="G37" s="293"/>
      <c r="H37" s="158">
        <v>10705</v>
      </c>
      <c r="I37" s="155">
        <v>10215</v>
      </c>
      <c r="J37" s="154"/>
      <c r="K37" s="159">
        <f>3340+3369</f>
        <v>6709</v>
      </c>
      <c r="L37" s="156">
        <f>93+160</f>
        <v>253</v>
      </c>
      <c r="M37" s="156"/>
      <c r="N37" s="236">
        <v>563</v>
      </c>
      <c r="O37" s="73">
        <f t="shared" si="1"/>
        <v>1.1214727540500737</v>
      </c>
    </row>
    <row r="38" spans="1:16">
      <c r="A38" s="171" t="s">
        <v>46</v>
      </c>
      <c r="B38" s="232">
        <f>5696+3958+5815+9110+7468+13154+12856+16704+16494+13524+11707+13991</f>
        <v>130477</v>
      </c>
      <c r="C38" s="241">
        <v>9654</v>
      </c>
      <c r="D38" s="260">
        <f>12008+9467</f>
        <v>21475</v>
      </c>
      <c r="E38" s="276">
        <f t="shared" si="6"/>
        <v>9467</v>
      </c>
      <c r="F38" s="13">
        <v>2925</v>
      </c>
      <c r="G38" s="13">
        <v>6542</v>
      </c>
      <c r="H38" s="13"/>
      <c r="I38" s="13"/>
      <c r="J38" s="13"/>
      <c r="K38" s="22">
        <v>3511</v>
      </c>
      <c r="L38" s="22">
        <f>940+3628</f>
        <v>4568</v>
      </c>
      <c r="M38" s="88"/>
      <c r="N38" s="289"/>
      <c r="O38" s="73">
        <f t="shared" si="1"/>
        <v>2.2244665423658585</v>
      </c>
      <c r="P38" s="176"/>
    </row>
    <row r="39" spans="1:16">
      <c r="A39" s="171" t="s">
        <v>47</v>
      </c>
      <c r="B39" s="232">
        <f>372397+393542+480876+438506+433683+444706+469051+460647+432596+460939+470477+474708</f>
        <v>5332128</v>
      </c>
      <c r="C39" s="241">
        <v>765939</v>
      </c>
      <c r="D39" s="260">
        <f>492323+373517</f>
        <v>865840</v>
      </c>
      <c r="E39" s="276">
        <f t="shared" si="6"/>
        <v>373517</v>
      </c>
      <c r="F39" s="13">
        <v>211405</v>
      </c>
      <c r="G39" s="13">
        <v>162112</v>
      </c>
      <c r="H39" s="13"/>
      <c r="I39" s="12"/>
      <c r="J39" s="13"/>
      <c r="K39" s="87">
        <v>118089</v>
      </c>
      <c r="L39" s="87">
        <f>32428+12695</f>
        <v>45123</v>
      </c>
      <c r="M39" s="88"/>
      <c r="N39" s="289"/>
      <c r="O39" s="73">
        <f t="shared" si="1"/>
        <v>1.1304294467313978</v>
      </c>
    </row>
    <row r="40" spans="1:16">
      <c r="A40" s="171" t="s">
        <v>48</v>
      </c>
      <c r="B40" s="232">
        <f>32440+39588+48102+43548+41412+40968+51704+51435+55440+57617+45700+41689</f>
        <v>549643</v>
      </c>
      <c r="C40" s="241">
        <v>72028</v>
      </c>
      <c r="D40" s="260">
        <f>41444+27037</f>
        <v>68481</v>
      </c>
      <c r="E40" s="276">
        <f t="shared" si="6"/>
        <v>27037</v>
      </c>
      <c r="F40" s="1035">
        <v>2891</v>
      </c>
      <c r="G40" s="1035"/>
      <c r="H40" s="1035">
        <v>24146</v>
      </c>
      <c r="I40" s="1035"/>
      <c r="J40" s="13"/>
      <c r="K40" s="88"/>
      <c r="L40" s="88"/>
      <c r="M40" s="88"/>
      <c r="N40" s="289"/>
      <c r="O40" s="73">
        <f t="shared" si="1"/>
        <v>0.95075526184261672</v>
      </c>
    </row>
    <row r="41" spans="1:16">
      <c r="A41" s="171" t="s">
        <v>49</v>
      </c>
      <c r="B41" s="220">
        <f>SUM(C41:G41)</f>
        <v>0</v>
      </c>
      <c r="C41" s="241">
        <v>0</v>
      </c>
      <c r="D41" s="254"/>
      <c r="E41" s="276">
        <f t="shared" si="6"/>
        <v>0</v>
      </c>
      <c r="F41" s="13"/>
      <c r="G41" s="13"/>
      <c r="H41" s="13"/>
      <c r="I41" s="13"/>
      <c r="J41" s="13"/>
      <c r="K41" s="88"/>
      <c r="L41" s="88"/>
      <c r="M41" s="88"/>
      <c r="N41" s="289"/>
      <c r="O41" s="73"/>
    </row>
    <row r="42" spans="1:16">
      <c r="A42" s="171" t="s">
        <v>50</v>
      </c>
      <c r="B42" s="219">
        <f>2388+2166+2181+2143+2735+2159+2232+3124+2401+2891+2264+3229</f>
        <v>29913</v>
      </c>
      <c r="C42" s="224">
        <v>4554</v>
      </c>
      <c r="D42" s="261">
        <f>1591+185</f>
        <v>1776</v>
      </c>
      <c r="E42" s="276">
        <f t="shared" si="6"/>
        <v>185</v>
      </c>
      <c r="F42" s="13">
        <v>61</v>
      </c>
      <c r="G42" s="13">
        <v>124</v>
      </c>
      <c r="H42" s="13"/>
      <c r="I42" s="13"/>
      <c r="J42" s="13"/>
      <c r="K42" s="88">
        <v>185</v>
      </c>
      <c r="L42" s="88">
        <f>61+4</f>
        <v>65</v>
      </c>
      <c r="M42" s="88"/>
      <c r="N42" s="289">
        <v>42</v>
      </c>
      <c r="O42" s="73">
        <f t="shared" si="1"/>
        <v>0.38998682476943347</v>
      </c>
    </row>
    <row r="43" spans="1:16">
      <c r="A43" s="171" t="s">
        <v>51</v>
      </c>
      <c r="B43" s="219">
        <v>12038</v>
      </c>
      <c r="C43" s="224">
        <v>1961</v>
      </c>
      <c r="D43" s="261">
        <f>1121+1436</f>
        <v>2557</v>
      </c>
      <c r="E43" s="276">
        <f t="shared" si="6"/>
        <v>1436</v>
      </c>
      <c r="F43" s="13">
        <v>270</v>
      </c>
      <c r="G43" s="13">
        <v>1166</v>
      </c>
      <c r="H43" s="13"/>
      <c r="I43" s="13"/>
      <c r="J43" s="91"/>
      <c r="K43" s="90">
        <f>19+368</f>
        <v>387</v>
      </c>
      <c r="L43" s="88">
        <f>21</f>
        <v>21</v>
      </c>
      <c r="M43" s="88"/>
      <c r="N43" s="289">
        <v>1436</v>
      </c>
      <c r="O43" s="73">
        <f t="shared" si="1"/>
        <v>1.3039265680775114</v>
      </c>
    </row>
    <row r="44" spans="1:16" ht="17.100000000000001" customHeight="1">
      <c r="A44" s="31"/>
      <c r="B44" s="233"/>
      <c r="C44" s="242"/>
      <c r="D44" s="262"/>
      <c r="E44" s="294"/>
      <c r="F44" s="44"/>
      <c r="G44" s="44"/>
      <c r="H44" s="44"/>
      <c r="I44" s="44"/>
      <c r="J44" s="44"/>
      <c r="K44" s="44"/>
      <c r="L44" s="44"/>
      <c r="M44" s="44"/>
      <c r="N44" s="295"/>
      <c r="O44" s="85"/>
    </row>
    <row r="45" spans="1:16">
      <c r="A45" s="180" t="s">
        <v>52</v>
      </c>
      <c r="B45" s="928">
        <f>SUM(B46:B53)</f>
        <v>4797590</v>
      </c>
      <c r="C45" s="928">
        <f>SUM(C46:C53)</f>
        <v>567207</v>
      </c>
      <c r="D45" s="500">
        <f>SUM(D46:D53)</f>
        <v>865603</v>
      </c>
      <c r="E45" s="500">
        <f>SUM(E46:E53)</f>
        <v>396091</v>
      </c>
      <c r="F45" s="925">
        <f t="shared" ref="F45:N45" si="7">SUM(F46:F53)</f>
        <v>170682</v>
      </c>
      <c r="G45" s="925">
        <f t="shared" si="7"/>
        <v>186939</v>
      </c>
      <c r="H45" s="9">
        <f t="shared" si="7"/>
        <v>6230</v>
      </c>
      <c r="I45" s="9">
        <f t="shared" si="7"/>
        <v>3558</v>
      </c>
      <c r="J45" s="9">
        <f t="shared" si="7"/>
        <v>28682</v>
      </c>
      <c r="K45" s="72">
        <f t="shared" si="7"/>
        <v>33307</v>
      </c>
      <c r="L45" s="72">
        <f t="shared" si="7"/>
        <v>69331</v>
      </c>
      <c r="M45" s="72">
        <f t="shared" si="7"/>
        <v>0</v>
      </c>
      <c r="N45" s="275">
        <f t="shared" si="7"/>
        <v>45250</v>
      </c>
      <c r="O45" s="73">
        <f t="shared" si="1"/>
        <v>1.5260795441523112</v>
      </c>
    </row>
    <row r="46" spans="1:16">
      <c r="A46" s="171" t="s">
        <v>53</v>
      </c>
      <c r="B46" s="165"/>
      <c r="C46" s="163"/>
      <c r="D46" s="246"/>
      <c r="E46" s="276"/>
      <c r="F46" s="13"/>
      <c r="G46" s="13"/>
      <c r="H46" s="13"/>
      <c r="I46" s="13"/>
      <c r="J46" s="13"/>
      <c r="K46" s="36"/>
      <c r="L46" s="36"/>
      <c r="M46" s="36"/>
      <c r="N46" s="288"/>
      <c r="O46" s="73"/>
    </row>
    <row r="47" spans="1:16">
      <c r="A47" s="172" t="s">
        <v>54</v>
      </c>
      <c r="B47" s="1042">
        <f>127394+89400+147995+127434+174236+176428+189135+187087+174544+192913+163797+135579</f>
        <v>1885942</v>
      </c>
      <c r="C47" s="1044">
        <v>216794</v>
      </c>
      <c r="D47" s="1046">
        <f>152617+131920</f>
        <v>284537</v>
      </c>
      <c r="E47" s="1048">
        <f t="shared" ref="E47:E51" si="8">F47+G47+H47+I47+J47</f>
        <v>131920</v>
      </c>
      <c r="F47" s="1016">
        <v>58568</v>
      </c>
      <c r="G47" s="1016">
        <v>56738</v>
      </c>
      <c r="H47" s="1016">
        <v>6230</v>
      </c>
      <c r="I47" s="1016">
        <v>3558</v>
      </c>
      <c r="J47" s="1016">
        <v>6826</v>
      </c>
      <c r="K47" s="1017">
        <v>17168</v>
      </c>
      <c r="L47" s="1017">
        <f>37035+843+315+2091+3469</f>
        <v>43753</v>
      </c>
      <c r="M47" s="1017"/>
      <c r="N47" s="1018"/>
      <c r="O47" s="73">
        <f t="shared" si="1"/>
        <v>1.3124763600468647</v>
      </c>
      <c r="P47" s="1015"/>
    </row>
    <row r="48" spans="1:16">
      <c r="A48" s="172" t="s">
        <v>55</v>
      </c>
      <c r="B48" s="1043"/>
      <c r="C48" s="1045"/>
      <c r="D48" s="1047"/>
      <c r="E48" s="1049"/>
      <c r="F48" s="1016"/>
      <c r="G48" s="1016"/>
      <c r="H48" s="1016"/>
      <c r="I48" s="1016"/>
      <c r="J48" s="1016"/>
      <c r="K48" s="1017"/>
      <c r="L48" s="1017"/>
      <c r="M48" s="1017"/>
      <c r="N48" s="1018"/>
      <c r="O48" s="73"/>
      <c r="P48" s="1015"/>
    </row>
    <row r="49" spans="1:16">
      <c r="A49" s="171" t="s">
        <v>56</v>
      </c>
      <c r="B49" s="234">
        <f>47356+52560+79724+85499+66734+68133+73487+69407+60723+61109+72181+84025</f>
        <v>820938</v>
      </c>
      <c r="C49" s="243">
        <v>99916</v>
      </c>
      <c r="D49" s="263">
        <f>97537+55586</f>
        <v>153123</v>
      </c>
      <c r="E49" s="276">
        <f t="shared" si="8"/>
        <v>55586</v>
      </c>
      <c r="F49" s="45">
        <v>22896</v>
      </c>
      <c r="G49" s="33">
        <v>26694</v>
      </c>
      <c r="H49" s="46"/>
      <c r="I49" s="12"/>
      <c r="J49" s="33">
        <v>5996</v>
      </c>
      <c r="K49" s="87">
        <v>4698</v>
      </c>
      <c r="L49" s="81">
        <f>16543+625+2806</f>
        <v>19974</v>
      </c>
      <c r="M49" s="36"/>
      <c r="N49" s="288">
        <v>5959</v>
      </c>
      <c r="O49" s="73">
        <f t="shared" si="1"/>
        <v>1.5325173145442172</v>
      </c>
    </row>
    <row r="50" spans="1:16">
      <c r="A50" s="166" t="s">
        <v>57</v>
      </c>
      <c r="B50" s="219">
        <f>38855+42860+48337+46082+47751+44611+75076+55809+60576+63502+55882+64932</f>
        <v>644273</v>
      </c>
      <c r="C50" s="224">
        <v>81715</v>
      </c>
      <c r="D50" s="261">
        <f>59734+65037</f>
        <v>124771</v>
      </c>
      <c r="E50" s="276">
        <f t="shared" si="8"/>
        <v>65037</v>
      </c>
      <c r="F50" s="13">
        <v>29829</v>
      </c>
      <c r="G50" s="13">
        <v>27180</v>
      </c>
      <c r="H50" s="13"/>
      <c r="I50" s="92"/>
      <c r="J50" s="13">
        <v>8028</v>
      </c>
      <c r="K50" s="22">
        <f>768+3489+1832</f>
        <v>6089</v>
      </c>
      <c r="L50" s="22">
        <f>4301+15+18</f>
        <v>4334</v>
      </c>
      <c r="M50" s="36"/>
      <c r="N50" s="288"/>
      <c r="O50" s="73">
        <f t="shared" si="1"/>
        <v>1.5269044851006548</v>
      </c>
    </row>
    <row r="51" spans="1:16">
      <c r="A51" s="166" t="s">
        <v>58</v>
      </c>
      <c r="B51" s="219">
        <f>38927+25455+65397+44769+34250+34453+44944+60275+38990+46527+28707+33843</f>
        <v>496537</v>
      </c>
      <c r="C51" s="224">
        <v>64382</v>
      </c>
      <c r="D51" s="261">
        <f>47624+41548</f>
        <v>89172</v>
      </c>
      <c r="E51" s="276">
        <f t="shared" si="8"/>
        <v>41548</v>
      </c>
      <c r="F51" s="13">
        <v>16179</v>
      </c>
      <c r="G51" s="13">
        <v>17537</v>
      </c>
      <c r="H51" s="13"/>
      <c r="I51" s="13"/>
      <c r="J51" s="13">
        <v>7832</v>
      </c>
      <c r="K51" s="88">
        <f>511+4065+776</f>
        <v>5352</v>
      </c>
      <c r="L51" s="88">
        <f>1270</f>
        <v>1270</v>
      </c>
      <c r="M51" s="88"/>
      <c r="N51" s="289">
        <v>39291</v>
      </c>
      <c r="O51" s="73">
        <f t="shared" si="1"/>
        <v>1.3850455096144885</v>
      </c>
    </row>
    <row r="52" spans="1:16">
      <c r="A52" s="47" t="s">
        <v>59</v>
      </c>
      <c r="B52" s="905">
        <v>949900</v>
      </c>
      <c r="C52" s="927">
        <v>104400</v>
      </c>
      <c r="D52" s="918">
        <f>E52+'T01-2024'!D52</f>
        <v>214000</v>
      </c>
      <c r="E52" s="598">
        <f>SUM(F52:G52)</f>
        <v>102000</v>
      </c>
      <c r="F52" s="920">
        <v>43210</v>
      </c>
      <c r="G52" s="920">
        <v>58790</v>
      </c>
      <c r="H52" s="921"/>
      <c r="I52" s="93"/>
      <c r="J52" s="94"/>
      <c r="K52" s="95"/>
      <c r="L52" s="95"/>
      <c r="M52" s="95"/>
      <c r="N52" s="296"/>
      <c r="O52" s="73">
        <f t="shared" si="1"/>
        <v>2.0498084291187739</v>
      </c>
      <c r="P52" s="96"/>
    </row>
    <row r="53" spans="1:16">
      <c r="A53" s="166" t="s">
        <v>60</v>
      </c>
      <c r="B53" s="49"/>
      <c r="C53" s="682"/>
      <c r="D53" s="682"/>
      <c r="E53" s="297"/>
      <c r="F53" s="682"/>
      <c r="G53" s="682"/>
      <c r="H53" s="682"/>
      <c r="I53" s="28"/>
      <c r="J53" s="22"/>
      <c r="K53" s="36"/>
      <c r="L53" s="36"/>
      <c r="M53" s="36"/>
      <c r="N53" s="288"/>
      <c r="O53" s="73"/>
    </row>
    <row r="54" spans="1:16">
      <c r="A54" s="17"/>
      <c r="B54" s="49"/>
      <c r="C54" s="50"/>
      <c r="D54" s="265"/>
      <c r="E54" s="297"/>
      <c r="F54" s="53"/>
      <c r="G54" s="53"/>
      <c r="H54" s="52"/>
      <c r="I54" s="28"/>
      <c r="J54" s="22"/>
      <c r="K54" s="36"/>
      <c r="L54" s="36"/>
      <c r="M54" s="36"/>
      <c r="N54" s="288"/>
      <c r="O54" s="85"/>
    </row>
    <row r="55" spans="1:16">
      <c r="A55" s="54" t="s">
        <v>61</v>
      </c>
      <c r="B55" s="218">
        <f>SUM(B56:B63)</f>
        <v>71421</v>
      </c>
      <c r="C55" s="223">
        <v>8424</v>
      </c>
      <c r="D55" s="266">
        <f>SUM(D56:D63)</f>
        <v>7241</v>
      </c>
      <c r="E55" s="298">
        <f t="shared" ref="E55:N55" si="9">SUM(E56:E63)</f>
        <v>2495</v>
      </c>
      <c r="F55" s="55">
        <f t="shared" si="9"/>
        <v>0</v>
      </c>
      <c r="G55" s="55">
        <f t="shared" si="9"/>
        <v>0</v>
      </c>
      <c r="H55" s="55">
        <f t="shared" si="9"/>
        <v>1244</v>
      </c>
      <c r="I55" s="55">
        <f t="shared" si="9"/>
        <v>1251</v>
      </c>
      <c r="J55" s="55">
        <f t="shared" si="9"/>
        <v>0</v>
      </c>
      <c r="K55" s="97">
        <f t="shared" si="9"/>
        <v>1676</v>
      </c>
      <c r="L55" s="97">
        <f t="shared" si="9"/>
        <v>1193</v>
      </c>
      <c r="M55" s="97">
        <f t="shared" si="9"/>
        <v>0</v>
      </c>
      <c r="N55" s="299">
        <f t="shared" si="9"/>
        <v>2387</v>
      </c>
      <c r="O55" s="73">
        <f t="shared" si="1"/>
        <v>0.85956790123456794</v>
      </c>
    </row>
    <row r="56" spans="1:16">
      <c r="A56" s="166" t="s">
        <v>62</v>
      </c>
      <c r="B56" s="219">
        <f>122+557+792+366+499+468+393+769+628+559+497+230</f>
        <v>5880</v>
      </c>
      <c r="C56" s="224">
        <v>679</v>
      </c>
      <c r="D56" s="267">
        <f>335+74</f>
        <v>409</v>
      </c>
      <c r="E56" s="276">
        <f t="shared" ref="E56:E63" si="10">F56+G56+H56+I56+J56</f>
        <v>74</v>
      </c>
      <c r="F56" s="291"/>
      <c r="G56" s="13"/>
      <c r="H56" s="57">
        <v>47</v>
      </c>
      <c r="I56" s="13">
        <v>27</v>
      </c>
      <c r="J56" s="13"/>
      <c r="K56" s="36">
        <f>19</f>
        <v>19</v>
      </c>
      <c r="L56" s="36">
        <v>23</v>
      </c>
      <c r="M56" s="36"/>
      <c r="N56" s="288">
        <v>74</v>
      </c>
      <c r="O56" s="73">
        <f t="shared" si="1"/>
        <v>0.60235640648011779</v>
      </c>
    </row>
    <row r="57" spans="1:16">
      <c r="A57" s="166" t="s">
        <v>63</v>
      </c>
      <c r="B57" s="165"/>
      <c r="C57" s="163"/>
      <c r="D57" s="268"/>
      <c r="E57" s="276">
        <f t="shared" si="10"/>
        <v>0</v>
      </c>
      <c r="F57" s="58"/>
      <c r="G57" s="11"/>
      <c r="H57" s="13"/>
      <c r="I57" s="13"/>
      <c r="J57" s="13"/>
      <c r="K57" s="36"/>
      <c r="L57" s="36"/>
      <c r="M57" s="36"/>
      <c r="N57" s="288"/>
      <c r="O57" s="73"/>
    </row>
    <row r="58" spans="1:16">
      <c r="A58" s="166" t="s">
        <v>64</v>
      </c>
      <c r="B58" s="219">
        <f>774+884+1093+1806+989+1127+1587+1317+1182+1138+1729+1456</f>
        <v>15082</v>
      </c>
      <c r="C58" s="224">
        <v>1658</v>
      </c>
      <c r="D58" s="267">
        <f>1670+1062</f>
        <v>2732</v>
      </c>
      <c r="E58" s="276">
        <f t="shared" si="10"/>
        <v>1062</v>
      </c>
      <c r="F58" s="57"/>
      <c r="G58" s="11"/>
      <c r="H58" s="13">
        <v>551</v>
      </c>
      <c r="I58" s="13">
        <v>511</v>
      </c>
      <c r="J58" s="13"/>
      <c r="K58" s="36">
        <f>172+272</f>
        <v>444</v>
      </c>
      <c r="L58" s="36">
        <f>299+177</f>
        <v>476</v>
      </c>
      <c r="M58" s="36"/>
      <c r="N58" s="288">
        <v>1062</v>
      </c>
      <c r="O58" s="73">
        <f t="shared" si="1"/>
        <v>1.6477683956574185</v>
      </c>
    </row>
    <row r="59" spans="1:16">
      <c r="A59" s="166" t="s">
        <v>65</v>
      </c>
      <c r="B59" s="165">
        <f>19101+1605+2057+920+1082</f>
        <v>24765</v>
      </c>
      <c r="C59" s="163">
        <v>3198</v>
      </c>
      <c r="D59" s="801">
        <f>1089+517</f>
        <v>1606</v>
      </c>
      <c r="E59" s="276">
        <f t="shared" si="10"/>
        <v>517</v>
      </c>
      <c r="F59" s="58"/>
      <c r="G59" s="11"/>
      <c r="H59" s="13">
        <v>244</v>
      </c>
      <c r="I59" s="13">
        <v>273</v>
      </c>
      <c r="J59" s="13"/>
      <c r="K59" s="22">
        <v>409</v>
      </c>
      <c r="L59" s="22">
        <f>238+11</f>
        <v>249</v>
      </c>
      <c r="M59" s="36"/>
      <c r="N59" s="288">
        <v>409</v>
      </c>
      <c r="O59" s="73">
        <f t="shared" si="1"/>
        <v>0.5021888680425266</v>
      </c>
    </row>
    <row r="60" spans="1:16">
      <c r="A60" s="173" t="s">
        <v>66</v>
      </c>
      <c r="B60" s="220">
        <f>SUM(C60:G60)</f>
        <v>0</v>
      </c>
      <c r="C60" s="163">
        <v>0</v>
      </c>
      <c r="D60" s="269"/>
      <c r="E60" s="276">
        <f t="shared" si="10"/>
        <v>0</v>
      </c>
      <c r="F60" s="60"/>
      <c r="G60" s="11"/>
      <c r="H60" s="13"/>
      <c r="I60" s="13"/>
      <c r="J60" s="13"/>
      <c r="K60" s="36"/>
      <c r="L60" s="36"/>
      <c r="M60" s="36"/>
      <c r="N60" s="288"/>
      <c r="O60" s="73"/>
    </row>
    <row r="61" spans="1:16">
      <c r="A61" s="166" t="s">
        <v>67</v>
      </c>
      <c r="B61" s="165">
        <v>19597</v>
      </c>
      <c r="C61" s="163">
        <v>2223</v>
      </c>
      <c r="D61" s="268">
        <f>949+632</f>
        <v>1581</v>
      </c>
      <c r="E61" s="274">
        <f t="shared" si="10"/>
        <v>632</v>
      </c>
      <c r="F61" s="58"/>
      <c r="G61" s="11"/>
      <c r="H61" s="13">
        <v>316</v>
      </c>
      <c r="I61" s="13">
        <v>316</v>
      </c>
      <c r="J61" s="13"/>
      <c r="K61" s="22">
        <v>632</v>
      </c>
      <c r="L61" s="22">
        <f>316</f>
        <v>316</v>
      </c>
      <c r="M61" s="36"/>
      <c r="N61" s="288">
        <v>632</v>
      </c>
      <c r="O61" s="73">
        <f t="shared" si="1"/>
        <v>0.7112010796221323</v>
      </c>
    </row>
    <row r="62" spans="1:16">
      <c r="A62" s="174" t="s">
        <v>68</v>
      </c>
      <c r="B62" s="221"/>
      <c r="C62" s="225"/>
      <c r="D62" s="270"/>
      <c r="E62" s="276">
        <f t="shared" si="10"/>
        <v>0</v>
      </c>
      <c r="F62" s="57"/>
      <c r="G62" s="62"/>
      <c r="H62" s="12"/>
      <c r="I62" s="12"/>
      <c r="J62" s="12"/>
      <c r="K62" s="28"/>
      <c r="L62" s="28"/>
      <c r="M62" s="28"/>
      <c r="N62" s="277"/>
      <c r="O62" s="73">
        <v>0</v>
      </c>
    </row>
    <row r="63" spans="1:16">
      <c r="A63" s="166" t="s">
        <v>69</v>
      </c>
      <c r="B63" s="219">
        <f>3284+527+85+247+741+628+585</f>
        <v>6097</v>
      </c>
      <c r="C63" s="226">
        <v>666</v>
      </c>
      <c r="D63" s="261">
        <f>703+210</f>
        <v>913</v>
      </c>
      <c r="E63" s="276">
        <f t="shared" si="10"/>
        <v>210</v>
      </c>
      <c r="F63" s="13"/>
      <c r="G63" s="13"/>
      <c r="H63" s="13">
        <v>86</v>
      </c>
      <c r="I63" s="13">
        <v>124</v>
      </c>
      <c r="J63" s="13"/>
      <c r="K63" s="22">
        <v>172</v>
      </c>
      <c r="L63" s="22">
        <f>10+119</f>
        <v>129</v>
      </c>
      <c r="M63" s="22"/>
      <c r="N63" s="278">
        <v>210</v>
      </c>
      <c r="O63" s="73"/>
    </row>
    <row r="64" spans="1:16" ht="15" thickBot="1">
      <c r="A64" s="64"/>
      <c r="B64" s="222"/>
      <c r="C64" s="227"/>
      <c r="D64" s="271"/>
      <c r="E64" s="300"/>
      <c r="F64" s="66"/>
      <c r="G64" s="178"/>
      <c r="H64" s="66"/>
      <c r="I64" s="66"/>
      <c r="J64" s="66"/>
      <c r="K64" s="66"/>
      <c r="L64" s="66"/>
      <c r="M64" s="66"/>
      <c r="N64" s="301"/>
      <c r="O64" s="98"/>
    </row>
    <row r="65" spans="1:17" s="1" customFormat="1" ht="20.100000000000001" customHeight="1" thickBot="1">
      <c r="A65" s="100" t="s">
        <v>70</v>
      </c>
      <c r="B65" s="979">
        <f>B6+B26+B32+B45+B55</f>
        <v>18561273</v>
      </c>
      <c r="C65" s="980">
        <f>C6+C26+C32+C45+C55</f>
        <v>2421132</v>
      </c>
      <c r="D65" s="933">
        <f>D6+D26+D32+D45+D55</f>
        <v>3149788</v>
      </c>
      <c r="E65" s="932">
        <f t="shared" ref="E65:F65" si="11">E6+E26+E32+E45+E55</f>
        <v>1358284</v>
      </c>
      <c r="F65" s="934">
        <f t="shared" si="11"/>
        <v>553743</v>
      </c>
      <c r="G65" s="935">
        <f t="shared" ref="G65:N65" si="12">G6+G26+F32+G45+G55</f>
        <v>584544</v>
      </c>
      <c r="H65" s="102">
        <f t="shared" si="12"/>
        <v>223936</v>
      </c>
      <c r="I65" s="102">
        <f t="shared" si="12"/>
        <v>103011</v>
      </c>
      <c r="J65" s="102">
        <f t="shared" si="12"/>
        <v>114843</v>
      </c>
      <c r="K65" s="127">
        <f t="shared" si="12"/>
        <v>47199</v>
      </c>
      <c r="L65" s="127">
        <f t="shared" si="12"/>
        <v>215987</v>
      </c>
      <c r="M65" s="127">
        <f t="shared" si="12"/>
        <v>69086</v>
      </c>
      <c r="N65" s="302">
        <f t="shared" si="12"/>
        <v>49912</v>
      </c>
      <c r="O65" s="128">
        <f t="shared" si="1"/>
        <v>1.3009567425485269</v>
      </c>
    </row>
    <row r="66" spans="1:17">
      <c r="A66" s="3"/>
      <c r="B66" s="3"/>
      <c r="C66" s="175"/>
      <c r="D66" s="179"/>
      <c r="E66" s="3" t="s">
        <v>156</v>
      </c>
      <c r="F66" s="68"/>
      <c r="G66" s="68"/>
      <c r="H66" s="3"/>
      <c r="I66" s="3"/>
      <c r="J66" s="3"/>
      <c r="K66" s="3"/>
      <c r="L66" s="68"/>
      <c r="M66" s="150" t="s">
        <v>119</v>
      </c>
      <c r="N66" s="68"/>
      <c r="O66" s="3"/>
    </row>
    <row r="67" spans="1:17">
      <c r="B67" s="3"/>
      <c r="C67" s="177"/>
      <c r="D67" s="68"/>
      <c r="E67" s="3"/>
      <c r="F67" s="68"/>
      <c r="G67" s="3"/>
      <c r="H67" s="3"/>
      <c r="I67" s="3"/>
      <c r="J67" s="3"/>
      <c r="K67" s="3"/>
      <c r="L67" s="68"/>
      <c r="M67" s="68"/>
      <c r="N67" s="68"/>
      <c r="O67" s="3"/>
    </row>
    <row r="68" spans="1:17">
      <c r="B68" s="3"/>
      <c r="C68" s="3"/>
      <c r="D68" s="103" t="s">
        <v>71</v>
      </c>
      <c r="E68" s="104" t="s">
        <v>72</v>
      </c>
      <c r="F68" s="104" t="s">
        <v>73</v>
      </c>
      <c r="G68" s="104" t="s">
        <v>74</v>
      </c>
      <c r="H68" s="104" t="s">
        <v>75</v>
      </c>
      <c r="I68" s="104" t="s">
        <v>76</v>
      </c>
      <c r="J68" s="104" t="s">
        <v>77</v>
      </c>
      <c r="K68" s="104" t="s">
        <v>78</v>
      </c>
      <c r="L68" s="104" t="s">
        <v>79</v>
      </c>
      <c r="M68" s="104" t="s">
        <v>80</v>
      </c>
      <c r="N68" s="104" t="s">
        <v>81</v>
      </c>
      <c r="O68" s="104" t="s">
        <v>82</v>
      </c>
      <c r="P68" s="104" t="s">
        <v>83</v>
      </c>
    </row>
    <row r="69" spans="1:17">
      <c r="B69" s="105" t="s">
        <v>84</v>
      </c>
      <c r="C69" s="105"/>
      <c r="D69" s="106">
        <v>1845076</v>
      </c>
      <c r="E69" s="106">
        <v>1453853.1301010782</v>
      </c>
      <c r="F69" s="106"/>
      <c r="G69" s="106"/>
      <c r="H69" s="106"/>
      <c r="I69" s="129"/>
      <c r="J69" s="106"/>
      <c r="K69" s="130"/>
      <c r="L69" s="22"/>
      <c r="M69" s="131"/>
      <c r="N69" s="111"/>
      <c r="O69" s="131"/>
      <c r="P69" s="132">
        <f>SUM(D69:O69)</f>
        <v>3298929.1301010782</v>
      </c>
    </row>
    <row r="70" spans="1:17">
      <c r="A70" s="3"/>
      <c r="B70" s="107" t="s">
        <v>85</v>
      </c>
      <c r="C70" s="107"/>
      <c r="D70" s="108"/>
      <c r="E70" s="109">
        <f>IF(D69&gt;0,E69/D69,0)*100</f>
        <v>78.796381834736252</v>
      </c>
      <c r="F70" s="109">
        <f>IF(E69&gt;0,F69/E69,0)*100</f>
        <v>0</v>
      </c>
      <c r="G70" s="109">
        <f>IF(F69&gt;0,G69/F69,0)*100</f>
        <v>0</v>
      </c>
      <c r="H70" s="109">
        <f>IF(G69&gt;0,H69/G69,0)*100</f>
        <v>0</v>
      </c>
      <c r="I70" s="109">
        <f>IF(H69&gt;0,I69/H69,0)*100</f>
        <v>0</v>
      </c>
      <c r="J70" s="109">
        <f>IF(H69&gt;0,J69/H69,0)*100</f>
        <v>0</v>
      </c>
      <c r="K70" s="109">
        <f>IF(J69&gt;0,K69/J69,0)*100</f>
        <v>0</v>
      </c>
      <c r="L70" s="109">
        <f>IF(K69&gt;0,L69/K69,0)*100</f>
        <v>0</v>
      </c>
      <c r="M70" s="109">
        <f>IF(L69&gt;0,M69/L69,0)*100</f>
        <v>0</v>
      </c>
      <c r="N70" s="109">
        <f>IF(M69&gt;0,N69/M69,0)*100</f>
        <v>0</v>
      </c>
      <c r="O70" s="109">
        <f>IF(N69&gt;0,O69/N69,0)*100</f>
        <v>0</v>
      </c>
      <c r="P70" s="133"/>
    </row>
    <row r="71" spans="1:17">
      <c r="A71" s="3"/>
      <c r="B71" s="110"/>
      <c r="C71" s="110"/>
      <c r="D71" s="110"/>
      <c r="E71" s="111"/>
      <c r="F71" s="110"/>
      <c r="G71" s="3"/>
      <c r="H71" s="3"/>
      <c r="I71" s="3"/>
      <c r="J71" s="3"/>
      <c r="K71" s="3"/>
      <c r="L71" s="3"/>
      <c r="M71" s="68"/>
      <c r="N71" s="68"/>
      <c r="O71" s="68"/>
      <c r="P71" s="3"/>
    </row>
    <row r="72" spans="1:17">
      <c r="A72" s="148" t="s">
        <v>86</v>
      </c>
      <c r="B72" s="68"/>
      <c r="C72" s="68"/>
      <c r="D72" s="68"/>
      <c r="E72" s="68"/>
      <c r="F72" s="3"/>
      <c r="G72" s="3"/>
      <c r="H72" s="3"/>
      <c r="I72" s="3"/>
      <c r="J72" s="3"/>
      <c r="K72" s="3"/>
      <c r="L72" s="3"/>
      <c r="M72" s="68"/>
      <c r="N72" s="68"/>
      <c r="O72" s="68"/>
      <c r="P72" s="3"/>
      <c r="Q72" s="142"/>
    </row>
    <row r="73" spans="1:17">
      <c r="A73" s="3" t="s">
        <v>87</v>
      </c>
      <c r="B73" s="68"/>
      <c r="C73" s="68"/>
      <c r="D73" s="68"/>
      <c r="E73" s="68"/>
      <c r="F73" s="3"/>
      <c r="G73" s="3"/>
      <c r="H73" s="3"/>
      <c r="I73" s="3"/>
      <c r="J73" s="3"/>
      <c r="K73" s="3"/>
      <c r="L73" s="3"/>
      <c r="M73" s="68"/>
      <c r="N73" s="68"/>
      <c r="O73" s="68"/>
      <c r="P73" s="3"/>
      <c r="Q73" s="142"/>
    </row>
    <row r="74" spans="1:17">
      <c r="A74" s="148" t="s">
        <v>88</v>
      </c>
      <c r="B74" s="68"/>
      <c r="C74" s="68"/>
      <c r="D74" s="68"/>
      <c r="E74" s="68"/>
      <c r="F74" s="3"/>
      <c r="G74" s="3"/>
      <c r="H74" s="3"/>
      <c r="I74" s="3"/>
      <c r="J74" s="3"/>
      <c r="K74" s="3"/>
      <c r="L74" s="3"/>
      <c r="M74" s="68"/>
      <c r="N74" s="68"/>
      <c r="O74" s="68"/>
      <c r="P74" s="134"/>
      <c r="Q74" s="143"/>
    </row>
    <row r="75" spans="1:17">
      <c r="A75" s="149" t="s">
        <v>89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4"/>
    </row>
    <row r="76" spans="1:17">
      <c r="A76" s="3" t="s">
        <v>90</v>
      </c>
      <c r="B76" s="3"/>
      <c r="C76" s="3"/>
      <c r="D76" s="3"/>
      <c r="E76" s="3"/>
      <c r="F76" s="3"/>
      <c r="G76" s="3"/>
      <c r="H76" s="3"/>
      <c r="I76" s="3"/>
      <c r="K76" s="3"/>
      <c r="M76" s="68"/>
      <c r="N76" s="68"/>
      <c r="O76" s="68"/>
      <c r="P76" s="3"/>
    </row>
    <row r="77" spans="1:17">
      <c r="A77" s="3" t="s">
        <v>91</v>
      </c>
      <c r="B77" s="3"/>
      <c r="C77" s="3"/>
      <c r="D77" s="3"/>
      <c r="E77" s="3"/>
      <c r="F77" s="3"/>
      <c r="G77" s="3"/>
      <c r="H77" s="3"/>
      <c r="I77" s="3"/>
      <c r="K77" s="3"/>
      <c r="M77" s="68"/>
      <c r="N77" s="68"/>
      <c r="O77" s="135"/>
      <c r="P77" s="3"/>
    </row>
    <row r="78" spans="1:17">
      <c r="A78" s="3" t="s">
        <v>92</v>
      </c>
      <c r="B78" s="3"/>
      <c r="C78" s="3"/>
      <c r="D78" s="3"/>
      <c r="E78" s="3"/>
      <c r="F78" s="3"/>
      <c r="G78" s="3"/>
      <c r="H78" s="3"/>
      <c r="I78" s="3"/>
      <c r="K78" s="3"/>
      <c r="L78" s="3"/>
      <c r="M78" s="68"/>
      <c r="N78" s="68"/>
      <c r="O78" s="68"/>
      <c r="P78" s="3"/>
    </row>
    <row r="80" spans="1:17">
      <c r="B80" s="606" t="s">
        <v>159</v>
      </c>
    </row>
    <row r="81" spans="2:17" ht="15.6">
      <c r="B81" s="112" t="s">
        <v>93</v>
      </c>
      <c r="C81" s="113"/>
      <c r="D81" s="114" t="s">
        <v>94</v>
      </c>
      <c r="E81" s="115" t="s">
        <v>95</v>
      </c>
      <c r="F81" s="115" t="s">
        <v>96</v>
      </c>
      <c r="G81" s="115" t="s">
        <v>97</v>
      </c>
      <c r="H81" s="115" t="s">
        <v>98</v>
      </c>
      <c r="I81" s="136" t="s">
        <v>99</v>
      </c>
      <c r="J81" s="115" t="s">
        <v>100</v>
      </c>
      <c r="K81" s="115" t="s">
        <v>101</v>
      </c>
      <c r="L81" s="115" t="s">
        <v>102</v>
      </c>
      <c r="M81" s="115" t="s">
        <v>103</v>
      </c>
      <c r="N81" s="115" t="s">
        <v>104</v>
      </c>
      <c r="O81" s="115" t="s">
        <v>105</v>
      </c>
      <c r="P81" s="115" t="s">
        <v>106</v>
      </c>
      <c r="Q81" s="145" t="s">
        <v>107</v>
      </c>
    </row>
    <row r="82" spans="2:17">
      <c r="B82" s="116" t="s">
        <v>108</v>
      </c>
      <c r="C82" s="117"/>
      <c r="D82" s="52">
        <v>250647.57142857101</v>
      </c>
      <c r="E82" s="52">
        <v>303326.78571428568</v>
      </c>
      <c r="F82" s="52"/>
      <c r="G82" s="52"/>
      <c r="H82" s="118"/>
      <c r="I82" s="52"/>
      <c r="J82" s="52"/>
      <c r="K82" s="137"/>
      <c r="L82" s="138"/>
      <c r="M82" s="52"/>
      <c r="N82" s="52"/>
      <c r="O82" s="52"/>
      <c r="P82" s="139">
        <f t="shared" ref="P82:P88" si="13">SUM(D82:O82)</f>
        <v>553974.35714285669</v>
      </c>
      <c r="Q82" s="146">
        <f t="shared" ref="Q82:Q88" si="14">P82/$P$88</f>
        <v>0.36806053822565815</v>
      </c>
    </row>
    <row r="83" spans="2:17">
      <c r="B83" s="119" t="s">
        <v>109</v>
      </c>
      <c r="C83" s="120"/>
      <c r="D83" s="121">
        <v>51557.785714285703</v>
      </c>
      <c r="E83" s="122">
        <v>38594.857142857145</v>
      </c>
      <c r="F83" s="122"/>
      <c r="G83" s="122"/>
      <c r="H83" s="123"/>
      <c r="I83" s="122"/>
      <c r="J83" s="122"/>
      <c r="K83" s="122"/>
      <c r="L83" s="122"/>
      <c r="M83" s="122"/>
      <c r="N83" s="122"/>
      <c r="O83" s="122"/>
      <c r="P83" s="140">
        <f t="shared" si="13"/>
        <v>90152.642857142841</v>
      </c>
      <c r="Q83" s="147">
        <f t="shared" si="14"/>
        <v>5.9897411901159145E-2</v>
      </c>
    </row>
    <row r="84" spans="2:17">
      <c r="B84" s="119" t="s">
        <v>110</v>
      </c>
      <c r="C84" s="120"/>
      <c r="D84" s="121">
        <v>157521.85714285701</v>
      </c>
      <c r="E84" s="122">
        <v>160543.85714285713</v>
      </c>
      <c r="F84" s="122"/>
      <c r="G84" s="122"/>
      <c r="H84" s="123"/>
      <c r="I84" s="122"/>
      <c r="J84" s="122"/>
      <c r="K84" s="122"/>
      <c r="L84" s="122"/>
      <c r="M84" s="122"/>
      <c r="N84" s="122"/>
      <c r="O84" s="122"/>
      <c r="P84" s="140">
        <f t="shared" si="13"/>
        <v>318065.71428571414</v>
      </c>
      <c r="Q84" s="147">
        <f t="shared" si="14"/>
        <v>0.21132284641279789</v>
      </c>
    </row>
    <row r="85" spans="2:17">
      <c r="B85" s="124" t="s">
        <v>111</v>
      </c>
      <c r="C85" s="117"/>
      <c r="D85" s="52">
        <v>129327.714285714</v>
      </c>
      <c r="E85" s="52">
        <v>98880.78571428571</v>
      </c>
      <c r="F85" s="52"/>
      <c r="G85" s="52"/>
      <c r="H85" s="118"/>
      <c r="I85" s="52"/>
      <c r="J85" s="52"/>
      <c r="K85" s="52"/>
      <c r="L85" s="52"/>
      <c r="M85" s="52"/>
      <c r="N85" s="52"/>
      <c r="O85" s="52"/>
      <c r="P85" s="139">
        <f t="shared" si="13"/>
        <v>228208.49999999971</v>
      </c>
      <c r="Q85" s="146">
        <f t="shared" si="14"/>
        <v>0.15162171724134485</v>
      </c>
    </row>
    <row r="86" spans="2:17">
      <c r="B86" s="124" t="s">
        <v>112</v>
      </c>
      <c r="C86" s="117"/>
      <c r="D86" s="52">
        <v>81303.642857142899</v>
      </c>
      <c r="E86" s="52">
        <v>79785.57142857142</v>
      </c>
      <c r="F86" s="52"/>
      <c r="G86" s="52"/>
      <c r="H86" s="118"/>
      <c r="I86" s="52"/>
      <c r="J86" s="52"/>
      <c r="K86" s="52"/>
      <c r="L86" s="52"/>
      <c r="M86" s="52"/>
      <c r="N86" s="52"/>
      <c r="O86" s="52"/>
      <c r="P86" s="139">
        <f t="shared" si="13"/>
        <v>161089.21428571432</v>
      </c>
      <c r="Q86" s="146">
        <f t="shared" si="14"/>
        <v>0.10702766680057499</v>
      </c>
    </row>
    <row r="87" spans="2:17">
      <c r="B87" s="116" t="s">
        <v>57</v>
      </c>
      <c r="C87" s="117"/>
      <c r="D87" s="52">
        <v>79967.428571428594</v>
      </c>
      <c r="E87" s="52">
        <v>73659.642857142855</v>
      </c>
      <c r="F87" s="52"/>
      <c r="G87" s="52"/>
      <c r="H87" s="118"/>
      <c r="I87" s="52"/>
      <c r="J87" s="52"/>
      <c r="K87" s="52"/>
      <c r="L87" s="52"/>
      <c r="M87" s="52"/>
      <c r="N87" s="52"/>
      <c r="O87" s="52"/>
      <c r="P87" s="139">
        <f t="shared" si="13"/>
        <v>153627.07142857145</v>
      </c>
      <c r="Q87" s="146">
        <f t="shared" si="14"/>
        <v>0.10206981941846503</v>
      </c>
    </row>
    <row r="88" spans="2:17">
      <c r="C88" s="125"/>
      <c r="D88" s="126">
        <f>SUM(D82:D87)</f>
        <v>750325.9999999993</v>
      </c>
      <c r="E88" s="126">
        <f>SUM(E82:E87)</f>
        <v>754791.49999999988</v>
      </c>
      <c r="F88" s="126">
        <f t="shared" ref="F88:O88" si="15">SUM(F82:F87)</f>
        <v>0</v>
      </c>
      <c r="G88" s="126">
        <f t="shared" si="15"/>
        <v>0</v>
      </c>
      <c r="H88" s="126">
        <f t="shared" si="15"/>
        <v>0</v>
      </c>
      <c r="I88" s="126">
        <f t="shared" si="15"/>
        <v>0</v>
      </c>
      <c r="J88" s="126">
        <f t="shared" si="15"/>
        <v>0</v>
      </c>
      <c r="K88" s="126">
        <f t="shared" si="15"/>
        <v>0</v>
      </c>
      <c r="L88" s="126">
        <f t="shared" si="15"/>
        <v>0</v>
      </c>
      <c r="M88" s="126">
        <f t="shared" si="15"/>
        <v>0</v>
      </c>
      <c r="N88" s="126">
        <f t="shared" si="15"/>
        <v>0</v>
      </c>
      <c r="O88" s="126">
        <f t="shared" si="15"/>
        <v>0</v>
      </c>
      <c r="P88" s="141">
        <f t="shared" si="13"/>
        <v>1505117.4999999991</v>
      </c>
      <c r="Q88" s="214">
        <f t="shared" si="14"/>
        <v>1</v>
      </c>
    </row>
  </sheetData>
  <mergeCells count="24">
    <mergeCell ref="E47:E48"/>
    <mergeCell ref="A1:O1"/>
    <mergeCell ref="A3:A4"/>
    <mergeCell ref="B3:B4"/>
    <mergeCell ref="C3:C4"/>
    <mergeCell ref="D3:D4"/>
    <mergeCell ref="E3:N3"/>
    <mergeCell ref="O3:O4"/>
    <mergeCell ref="P6:P7"/>
    <mergeCell ref="F40:G40"/>
    <mergeCell ref="H40:I40"/>
    <mergeCell ref="B47:B48"/>
    <mergeCell ref="C47:C48"/>
    <mergeCell ref="D47:D48"/>
    <mergeCell ref="F47:F48"/>
    <mergeCell ref="G47:G48"/>
    <mergeCell ref="H47:H48"/>
    <mergeCell ref="P47:P48"/>
    <mergeCell ref="I47:I48"/>
    <mergeCell ref="J47:J48"/>
    <mergeCell ref="K47:K48"/>
    <mergeCell ref="L47:L48"/>
    <mergeCell ref="M47:M48"/>
    <mergeCell ref="N47:N48"/>
  </mergeCells>
  <pageMargins left="0.25" right="0.25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82C4-72DB-46B4-BE57-9650FE8F00CD}">
  <dimension ref="A1:Q88"/>
  <sheetViews>
    <sheetView zoomScale="90" zoomScaleNormal="90" workbookViewId="0">
      <pane xSplit="2" ySplit="4" topLeftCell="C40" activePane="bottomRight" state="frozen"/>
      <selection pane="topRight" activeCell="C1" sqref="C1"/>
      <selection pane="bottomLeft" activeCell="A5" sqref="A5"/>
      <selection pane="bottomRight" activeCell="A35" sqref="A35"/>
    </sheetView>
  </sheetViews>
  <sheetFormatPr defaultColWidth="8.5546875" defaultRowHeight="14.4"/>
  <cols>
    <col min="1" max="1" width="30.77734375" style="2" customWidth="1"/>
    <col min="2" max="2" width="11.77734375" style="2" customWidth="1"/>
    <col min="3" max="3" width="10.77734375" style="2" customWidth="1"/>
    <col min="4" max="4" width="10.21875" style="2" bestFit="1" customWidth="1"/>
    <col min="5" max="5" width="11" style="2" bestFit="1" customWidth="1"/>
    <col min="6" max="6" width="10.21875" style="2" bestFit="1" customWidth="1"/>
    <col min="7" max="7" width="10.5546875" style="2" bestFit="1" customWidth="1"/>
    <col min="8" max="8" width="11.77734375" style="2" bestFit="1" customWidth="1"/>
    <col min="9" max="10" width="8.44140625" style="2" bestFit="1" customWidth="1"/>
    <col min="11" max="11" width="9.77734375" style="2" bestFit="1" customWidth="1"/>
    <col min="12" max="12" width="8.5546875" style="2" bestFit="1" customWidth="1"/>
    <col min="13" max="13" width="9.44140625" style="2" customWidth="1"/>
    <col min="14" max="14" width="9.5546875" style="2" customWidth="1"/>
    <col min="15" max="15" width="8.5546875" style="2"/>
    <col min="16" max="16" width="10.44140625" style="2" bestFit="1" customWidth="1"/>
    <col min="17" max="17" width="18.5546875" style="2" customWidth="1"/>
    <col min="18" max="16384" width="8.5546875" style="2"/>
  </cols>
  <sheetData>
    <row r="1" spans="1:17" s="1" customFormat="1" ht="26.85" customHeight="1">
      <c r="A1" s="1031" t="s">
        <v>127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50" t="s">
        <v>1</v>
      </c>
      <c r="B3" s="1052" t="s">
        <v>2</v>
      </c>
      <c r="C3" s="1055" t="s">
        <v>121</v>
      </c>
      <c r="D3" s="1063" t="s">
        <v>122</v>
      </c>
      <c r="E3" s="1032" t="s">
        <v>123</v>
      </c>
      <c r="F3" s="1033"/>
      <c r="G3" s="1033"/>
      <c r="H3" s="1033"/>
      <c r="I3" s="1033"/>
      <c r="J3" s="1033"/>
      <c r="K3" s="1033"/>
      <c r="L3" s="1033"/>
      <c r="M3" s="1033"/>
      <c r="N3" s="1034"/>
      <c r="O3" s="1065" t="s">
        <v>124</v>
      </c>
    </row>
    <row r="4" spans="1:17" ht="28.2" thickBot="1">
      <c r="A4" s="1051"/>
      <c r="B4" s="1053"/>
      <c r="C4" s="1056"/>
      <c r="D4" s="1064"/>
      <c r="E4" s="375" t="s">
        <v>7</v>
      </c>
      <c r="F4" s="376" t="s">
        <v>8</v>
      </c>
      <c r="G4" s="376" t="s">
        <v>9</v>
      </c>
      <c r="H4" s="376" t="s">
        <v>10</v>
      </c>
      <c r="I4" s="376" t="s">
        <v>11</v>
      </c>
      <c r="J4" s="377" t="s">
        <v>12</v>
      </c>
      <c r="K4" s="378" t="s">
        <v>13</v>
      </c>
      <c r="L4" s="378" t="s">
        <v>14</v>
      </c>
      <c r="M4" s="379" t="s">
        <v>15</v>
      </c>
      <c r="N4" s="380" t="s">
        <v>16</v>
      </c>
      <c r="O4" s="1041"/>
    </row>
    <row r="5" spans="1:17">
      <c r="A5" s="408"/>
      <c r="B5" s="409"/>
      <c r="C5" s="410"/>
      <c r="D5" s="427"/>
      <c r="E5" s="319"/>
      <c r="F5" s="5"/>
      <c r="G5" s="5"/>
      <c r="H5" s="5"/>
      <c r="I5" s="5"/>
      <c r="J5" s="69"/>
      <c r="K5" s="5"/>
      <c r="L5" s="70"/>
      <c r="M5" s="71"/>
      <c r="N5" s="320"/>
      <c r="O5" s="4"/>
    </row>
    <row r="6" spans="1:17">
      <c r="A6" s="6" t="s">
        <v>17</v>
      </c>
      <c r="B6" s="7">
        <f>SUM(B8:B18)</f>
        <v>4518182</v>
      </c>
      <c r="C6" s="411">
        <f>SUM(C8:C17)</f>
        <v>937239</v>
      </c>
      <c r="D6" s="428">
        <f>SUM(D8:D18)</f>
        <v>1213842</v>
      </c>
      <c r="E6" s="274">
        <f>SUM(E8:E18)</f>
        <v>440777</v>
      </c>
      <c r="F6" s="9">
        <f t="shared" ref="F6:I6" si="0">SUM(F8:F17)</f>
        <v>181324</v>
      </c>
      <c r="G6" s="9">
        <f t="shared" si="0"/>
        <v>174400</v>
      </c>
      <c r="H6" s="9">
        <f t="shared" si="0"/>
        <v>33903</v>
      </c>
      <c r="I6" s="9">
        <f t="shared" si="0"/>
        <v>33816</v>
      </c>
      <c r="J6" s="9"/>
      <c r="K6" s="72"/>
      <c r="L6" s="72"/>
      <c r="M6" s="72"/>
      <c r="N6" s="275"/>
      <c r="O6" s="73">
        <f>+D6/C6</f>
        <v>1.2951253629010318</v>
      </c>
      <c r="P6" s="1014"/>
    </row>
    <row r="7" spans="1:17">
      <c r="A7" s="386" t="s">
        <v>18</v>
      </c>
      <c r="B7" s="387"/>
      <c r="C7" s="387"/>
      <c r="D7" s="429"/>
      <c r="E7" s="286">
        <f>SUM(F7:J7)</f>
        <v>0</v>
      </c>
      <c r="F7" s="12"/>
      <c r="G7" s="12"/>
      <c r="H7" s="12"/>
      <c r="I7" s="12"/>
      <c r="J7" s="12"/>
      <c r="K7" s="28"/>
      <c r="L7" s="28"/>
      <c r="M7" s="28"/>
      <c r="N7" s="277"/>
      <c r="O7" s="73"/>
      <c r="P7" s="1014"/>
    </row>
    <row r="8" spans="1:17">
      <c r="A8" s="388" t="s">
        <v>19</v>
      </c>
      <c r="B8" s="387"/>
      <c r="C8" s="387"/>
      <c r="D8" s="430"/>
      <c r="E8" s="286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278"/>
      <c r="O8" s="73"/>
      <c r="P8" s="3"/>
    </row>
    <row r="9" spans="1:17">
      <c r="A9" s="386" t="s">
        <v>120</v>
      </c>
      <c r="B9" s="14">
        <f>715133+126685+111732+106510+95851+111311</f>
        <v>1267222</v>
      </c>
      <c r="C9" s="387">
        <f>82758+91092+118158</f>
        <v>292008</v>
      </c>
      <c r="D9" s="429">
        <f>108077+85467+113186</f>
        <v>306730</v>
      </c>
      <c r="E9" s="286">
        <f t="shared" si="1"/>
        <v>113186</v>
      </c>
      <c r="F9" s="154">
        <v>41601</v>
      </c>
      <c r="G9" s="154">
        <v>38371</v>
      </c>
      <c r="H9" s="154">
        <v>18288</v>
      </c>
      <c r="I9" s="154">
        <v>14926</v>
      </c>
      <c r="J9" s="155"/>
      <c r="K9" s="28"/>
      <c r="L9" s="28"/>
      <c r="M9" s="22"/>
      <c r="N9" s="278"/>
      <c r="O9" s="73">
        <f t="shared" ref="O9:O65" si="2">+D9/C9</f>
        <v>1.0504164269472069</v>
      </c>
      <c r="P9" s="74"/>
    </row>
    <row r="10" spans="1:17">
      <c r="A10" s="386" t="s">
        <v>20</v>
      </c>
      <c r="B10" s="14">
        <v>1272859</v>
      </c>
      <c r="C10" s="387">
        <f>86070+54004+87940</f>
        <v>228014</v>
      </c>
      <c r="D10" s="431">
        <f>148719+103732+138638</f>
        <v>391089</v>
      </c>
      <c r="E10" s="286">
        <f t="shared" si="1"/>
        <v>138638</v>
      </c>
      <c r="F10" s="15">
        <v>68827</v>
      </c>
      <c r="G10" s="15">
        <v>69811</v>
      </c>
      <c r="H10" s="16"/>
      <c r="I10" s="16"/>
      <c r="J10" s="75"/>
      <c r="K10" s="76">
        <f>8023+8816</f>
        <v>16839</v>
      </c>
      <c r="L10" s="76">
        <f>2206+547</f>
        <v>2753</v>
      </c>
      <c r="M10" s="77"/>
      <c r="N10" s="278"/>
      <c r="O10" s="73">
        <f t="shared" si="2"/>
        <v>1.7151973124457269</v>
      </c>
      <c r="P10" s="78"/>
    </row>
    <row r="11" spans="1:17">
      <c r="A11" s="386" t="s">
        <v>21</v>
      </c>
      <c r="B11" s="14"/>
      <c r="C11" s="387"/>
      <c r="D11" s="431"/>
      <c r="E11" s="286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73"/>
      <c r="P11" s="78"/>
    </row>
    <row r="12" spans="1:17">
      <c r="A12" s="386" t="s">
        <v>22</v>
      </c>
      <c r="B12" s="14">
        <v>491959</v>
      </c>
      <c r="C12" s="387">
        <f>73578+42605</f>
        <v>116183</v>
      </c>
      <c r="D12" s="431">
        <f>39231+38035+45839</f>
        <v>123105</v>
      </c>
      <c r="E12" s="286">
        <f t="shared" si="1"/>
        <v>45839</v>
      </c>
      <c r="F12" s="13">
        <v>22862</v>
      </c>
      <c r="G12" s="13">
        <v>21645</v>
      </c>
      <c r="H12" s="13">
        <v>496</v>
      </c>
      <c r="I12" s="13">
        <v>836</v>
      </c>
      <c r="J12" s="13"/>
      <c r="K12" s="22"/>
      <c r="L12" s="22"/>
      <c r="M12" s="22"/>
      <c r="N12" s="278"/>
      <c r="O12" s="73">
        <f t="shared" si="2"/>
        <v>1.0595784236936556</v>
      </c>
      <c r="P12" s="79"/>
    </row>
    <row r="13" spans="1:17">
      <c r="A13" s="388" t="s">
        <v>23</v>
      </c>
      <c r="B13" s="14">
        <v>149160</v>
      </c>
      <c r="C13" s="387">
        <f>65905+27400</f>
        <v>93305</v>
      </c>
      <c r="D13" s="431">
        <v>0</v>
      </c>
      <c r="E13" s="286">
        <f t="shared" si="1"/>
        <v>0</v>
      </c>
      <c r="F13" s="13"/>
      <c r="G13" s="13"/>
      <c r="H13" s="13"/>
      <c r="I13" s="13"/>
      <c r="J13" s="13"/>
      <c r="K13" s="22"/>
      <c r="L13" s="22"/>
      <c r="M13" s="22"/>
      <c r="N13" s="278"/>
      <c r="O13" s="73"/>
      <c r="P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387">
        <f>27700+42263+60649</f>
        <v>130612</v>
      </c>
      <c r="D14" s="429">
        <f>107401+71667+97692</f>
        <v>276760</v>
      </c>
      <c r="E14" s="286">
        <f t="shared" si="1"/>
        <v>97692</v>
      </c>
      <c r="F14" s="18">
        <v>45662</v>
      </c>
      <c r="G14" s="18">
        <v>42066</v>
      </c>
      <c r="H14" s="18">
        <v>4367</v>
      </c>
      <c r="I14" s="18">
        <v>5597</v>
      </c>
      <c r="J14" s="18"/>
      <c r="K14" s="80">
        <v>24730</v>
      </c>
      <c r="L14" s="80">
        <f>3439+6882+423+396</f>
        <v>11140</v>
      </c>
      <c r="M14" s="80">
        <v>6769</v>
      </c>
      <c r="N14" s="279">
        <v>1095</v>
      </c>
      <c r="O14" s="73">
        <f t="shared" si="2"/>
        <v>2.1189477230269809</v>
      </c>
      <c r="P14" s="79"/>
    </row>
    <row r="15" spans="1:17">
      <c r="A15" s="386" t="s">
        <v>25</v>
      </c>
      <c r="B15" s="14">
        <f>6147+7479+7850+9613+8350+10297+8331+8950+9929+9191+7491+7125</f>
        <v>100753</v>
      </c>
      <c r="C15" s="387">
        <f>6147+7479+7850</f>
        <v>21476</v>
      </c>
      <c r="D15" s="429">
        <f>5818+3471+4879</f>
        <v>14168</v>
      </c>
      <c r="E15" s="286">
        <f t="shared" si="1"/>
        <v>4879</v>
      </c>
      <c r="F15" s="13">
        <v>2372</v>
      </c>
      <c r="G15" s="13">
        <v>2507</v>
      </c>
      <c r="H15" s="13"/>
      <c r="I15" s="13"/>
      <c r="J15" s="13"/>
      <c r="K15" s="81">
        <f>650+526</f>
        <v>1176</v>
      </c>
      <c r="L15" s="22">
        <f>54+341</f>
        <v>395</v>
      </c>
      <c r="M15" s="22"/>
      <c r="N15" s="278"/>
      <c r="O15" s="73">
        <f t="shared" si="2"/>
        <v>0.6597131681877445</v>
      </c>
      <c r="P15" s="79"/>
    </row>
    <row r="16" spans="1:17">
      <c r="A16" s="386" t="s">
        <v>26</v>
      </c>
      <c r="B16" s="14">
        <f>540+350</f>
        <v>890</v>
      </c>
      <c r="C16" s="387">
        <f>436+48</f>
        <v>484</v>
      </c>
      <c r="D16" s="429">
        <v>48</v>
      </c>
      <c r="E16" s="286">
        <v>48</v>
      </c>
      <c r="F16" s="13"/>
      <c r="G16" s="13"/>
      <c r="H16" s="13"/>
      <c r="I16" s="13"/>
      <c r="J16" s="13"/>
      <c r="K16" s="28"/>
      <c r="L16" s="36"/>
      <c r="M16" s="22"/>
      <c r="N16" s="278"/>
      <c r="O16" s="73"/>
      <c r="P16" s="78"/>
    </row>
    <row r="17" spans="1:16" ht="15">
      <c r="A17" s="386" t="s">
        <v>27</v>
      </c>
      <c r="B17" s="391">
        <f>14801+21013+19343+20052+25339+15490+23521+25450+24091+25115+25902+30182</f>
        <v>270299</v>
      </c>
      <c r="C17" s="412">
        <f>14801+21013+19343</f>
        <v>55157</v>
      </c>
      <c r="D17" s="432">
        <f>29509+14652+23209</f>
        <v>67370</v>
      </c>
      <c r="E17" s="286">
        <f t="shared" si="1"/>
        <v>23209</v>
      </c>
      <c r="F17" s="154"/>
      <c r="G17" s="154"/>
      <c r="H17" s="154">
        <v>10752</v>
      </c>
      <c r="I17" s="154">
        <v>12457</v>
      </c>
      <c r="J17" s="154"/>
      <c r="K17" s="156">
        <v>6747</v>
      </c>
      <c r="L17" s="156">
        <f>26+1331</f>
        <v>1357</v>
      </c>
      <c r="M17" s="152"/>
      <c r="N17" s="281"/>
      <c r="O17" s="73">
        <f t="shared" si="2"/>
        <v>1.2214224849067208</v>
      </c>
      <c r="P17" s="79"/>
    </row>
    <row r="18" spans="1:16" ht="15" thickBot="1">
      <c r="A18" s="402" t="s">
        <v>28</v>
      </c>
      <c r="B18" s="403">
        <v>67816</v>
      </c>
      <c r="C18" s="413"/>
      <c r="D18" s="433">
        <v>34572</v>
      </c>
      <c r="E18" s="404">
        <v>17286</v>
      </c>
      <c r="F18" s="202"/>
      <c r="G18" s="202"/>
      <c r="H18" s="202"/>
      <c r="I18" s="202"/>
      <c r="J18" s="202"/>
      <c r="K18" s="203"/>
      <c r="L18" s="203"/>
      <c r="M18" s="203"/>
      <c r="N18" s="283"/>
      <c r="O18" s="213"/>
      <c r="P18" s="79"/>
    </row>
    <row r="19" spans="1:16" ht="15.6">
      <c r="A19" s="329" t="s">
        <v>29</v>
      </c>
      <c r="B19" s="453">
        <v>633659</v>
      </c>
      <c r="C19" s="457">
        <v>153559</v>
      </c>
      <c r="D19" s="460">
        <v>161928</v>
      </c>
      <c r="E19" s="327">
        <v>41734</v>
      </c>
      <c r="F19" s="193"/>
      <c r="G19" s="194"/>
      <c r="H19" s="194"/>
      <c r="I19" s="194"/>
      <c r="J19" s="194"/>
      <c r="K19" s="194"/>
      <c r="L19" s="194"/>
      <c r="M19" s="194"/>
      <c r="N19" s="284"/>
      <c r="O19" s="73">
        <f t="shared" si="2"/>
        <v>1.0545002246693453</v>
      </c>
      <c r="P19" s="78"/>
    </row>
    <row r="20" spans="1:16" ht="15.6">
      <c r="A20" s="331" t="s">
        <v>30</v>
      </c>
      <c r="B20" s="454">
        <v>255481</v>
      </c>
      <c r="C20" s="458">
        <v>62895</v>
      </c>
      <c r="D20" s="461">
        <v>65139</v>
      </c>
      <c r="E20" s="328">
        <v>17640</v>
      </c>
      <c r="F20" s="21"/>
      <c r="G20" s="22"/>
      <c r="H20" s="22"/>
      <c r="I20" s="22"/>
      <c r="J20" s="22"/>
      <c r="K20" s="22"/>
      <c r="L20" s="22"/>
      <c r="M20" s="22"/>
      <c r="N20" s="278"/>
      <c r="O20" s="73">
        <f t="shared" si="2"/>
        <v>1.0356785118053899</v>
      </c>
      <c r="P20" s="82"/>
    </row>
    <row r="21" spans="1:16" ht="15.6">
      <c r="A21" s="331" t="s">
        <v>31</v>
      </c>
      <c r="B21" s="454">
        <v>92242</v>
      </c>
      <c r="C21" s="458">
        <v>36650</v>
      </c>
      <c r="D21" s="461">
        <v>15392</v>
      </c>
      <c r="E21" s="328">
        <v>4335</v>
      </c>
      <c r="F21" s="21"/>
      <c r="G21" s="22"/>
      <c r="H21" s="22"/>
      <c r="I21" s="22"/>
      <c r="J21" s="22"/>
      <c r="K21" s="22"/>
      <c r="L21" s="22"/>
      <c r="M21" s="22"/>
      <c r="N21" s="278"/>
      <c r="O21" s="73">
        <f t="shared" si="2"/>
        <v>0.41997271487039561</v>
      </c>
      <c r="P21" s="83"/>
    </row>
    <row r="22" spans="1:16" ht="15.6">
      <c r="A22" s="331" t="s">
        <v>32</v>
      </c>
      <c r="B22" s="455">
        <v>400078</v>
      </c>
      <c r="C22" s="458">
        <v>87163</v>
      </c>
      <c r="D22" s="461">
        <v>105619</v>
      </c>
      <c r="E22" s="328">
        <v>30507</v>
      </c>
      <c r="F22" s="21"/>
      <c r="G22" s="22"/>
      <c r="H22" s="22"/>
      <c r="I22" s="22"/>
      <c r="J22" s="22"/>
      <c r="K22" s="22"/>
      <c r="L22" s="22"/>
      <c r="M22" s="22"/>
      <c r="N22" s="278"/>
      <c r="O22" s="73">
        <f t="shared" si="2"/>
        <v>1.2117412204719893</v>
      </c>
      <c r="P22" s="84"/>
    </row>
    <row r="23" spans="1:16" ht="15.6">
      <c r="A23" s="331" t="s">
        <v>33</v>
      </c>
      <c r="B23" s="456">
        <v>171077</v>
      </c>
      <c r="C23" s="459">
        <v>42937</v>
      </c>
      <c r="D23" s="461">
        <v>49437</v>
      </c>
      <c r="E23" s="328">
        <v>12059</v>
      </c>
      <c r="F23" s="21"/>
      <c r="G23" s="22"/>
      <c r="H23" s="22"/>
      <c r="I23" s="22"/>
      <c r="J23" s="22"/>
      <c r="K23" s="22"/>
      <c r="L23" s="22"/>
      <c r="M23" s="22"/>
      <c r="N23" s="278"/>
      <c r="O23" s="73">
        <f t="shared" si="2"/>
        <v>1.1513845867200783</v>
      </c>
      <c r="P23" s="84"/>
    </row>
    <row r="24" spans="1:16" ht="15.6">
      <c r="A24" s="331" t="s">
        <v>34</v>
      </c>
      <c r="B24" s="456">
        <v>270677</v>
      </c>
      <c r="C24" s="458">
        <v>93350</v>
      </c>
      <c r="D24" s="461">
        <v>44825</v>
      </c>
      <c r="E24" s="328">
        <v>9654</v>
      </c>
      <c r="F24" s="22"/>
      <c r="G24" s="22"/>
      <c r="H24" s="25"/>
      <c r="I24" s="22"/>
      <c r="J24" s="22"/>
      <c r="K24" s="22"/>
      <c r="L24" s="22"/>
      <c r="M24" s="22"/>
      <c r="N24" s="278"/>
      <c r="O24" s="73">
        <f t="shared" si="2"/>
        <v>0.48018211033743974</v>
      </c>
      <c r="P24" s="84"/>
    </row>
    <row r="25" spans="1:16">
      <c r="A25" s="26"/>
      <c r="B25" s="381"/>
      <c r="C25" s="28"/>
      <c r="D25" s="434"/>
      <c r="E25" s="326"/>
      <c r="F25" s="28"/>
      <c r="G25" s="28"/>
      <c r="H25" s="28"/>
      <c r="I25" s="28"/>
      <c r="J25" s="28"/>
      <c r="K25" s="28"/>
      <c r="L25" s="28"/>
      <c r="M25" s="28"/>
      <c r="N25" s="277"/>
      <c r="O25" s="73"/>
      <c r="P25" s="84"/>
    </row>
    <row r="26" spans="1:16">
      <c r="A26" s="6" t="s">
        <v>35</v>
      </c>
      <c r="B26" s="7">
        <f>SUM(B27:B30)</f>
        <v>860026</v>
      </c>
      <c r="C26" s="411">
        <f t="shared" ref="C26" si="3">SUM(C27:C30)</f>
        <v>199040</v>
      </c>
      <c r="D26" s="435">
        <f>SUM(D27:D30)</f>
        <v>237956</v>
      </c>
      <c r="E26" s="274">
        <f t="shared" ref="E26:L26" si="4">SUM(E27:E30)</f>
        <v>84611</v>
      </c>
      <c r="F26" s="9">
        <f t="shared" si="4"/>
        <v>28311</v>
      </c>
      <c r="G26" s="9">
        <f t="shared" si="4"/>
        <v>33680</v>
      </c>
      <c r="H26" s="9">
        <f t="shared" si="4"/>
        <v>12919</v>
      </c>
      <c r="I26" s="9">
        <f t="shared" si="4"/>
        <v>9701</v>
      </c>
      <c r="J26" s="9">
        <f t="shared" si="4"/>
        <v>0</v>
      </c>
      <c r="K26" s="72">
        <f t="shared" si="4"/>
        <v>15739</v>
      </c>
      <c r="L26" s="72">
        <f t="shared" si="4"/>
        <v>3846</v>
      </c>
      <c r="M26" s="72"/>
      <c r="N26" s="275">
        <f>SUM(N27:N30)</f>
        <v>0</v>
      </c>
      <c r="O26" s="73">
        <f t="shared" si="2"/>
        <v>1.1955184887459807</v>
      </c>
      <c r="P26" s="86"/>
    </row>
    <row r="27" spans="1:16">
      <c r="A27" s="386" t="s">
        <v>36</v>
      </c>
      <c r="B27" s="389">
        <f>30481+3346</f>
        <v>33827</v>
      </c>
      <c r="C27" s="414">
        <f>5142+2738</f>
        <v>7880</v>
      </c>
      <c r="D27" s="436">
        <f>4188+2189+2953</f>
        <v>9330</v>
      </c>
      <c r="E27" s="286">
        <f t="shared" ref="E27:E29" si="5">SUM(F27:J27)</f>
        <v>2953</v>
      </c>
      <c r="F27" s="13"/>
      <c r="G27" s="13"/>
      <c r="H27" s="13">
        <v>1280</v>
      </c>
      <c r="I27" s="13">
        <v>1673</v>
      </c>
      <c r="J27" s="12"/>
      <c r="K27" s="22">
        <v>1629</v>
      </c>
      <c r="L27" s="22">
        <f>304</f>
        <v>304</v>
      </c>
      <c r="M27" s="22"/>
      <c r="N27" s="278"/>
      <c r="O27" s="73">
        <f t="shared" si="2"/>
        <v>1.1840101522842639</v>
      </c>
      <c r="P27" s="86"/>
    </row>
    <row r="28" spans="1:16">
      <c r="A28" s="31" t="s">
        <v>37</v>
      </c>
      <c r="B28" s="389">
        <v>675254</v>
      </c>
      <c r="C28" s="389">
        <f>42268+44857+61528</f>
        <v>148653</v>
      </c>
      <c r="D28" s="436">
        <f>64505+48073+62185</f>
        <v>174763</v>
      </c>
      <c r="E28" s="286">
        <f t="shared" si="5"/>
        <v>62185</v>
      </c>
      <c r="F28" s="157">
        <v>22176</v>
      </c>
      <c r="G28" s="157">
        <v>24180</v>
      </c>
      <c r="H28" s="157">
        <v>8051</v>
      </c>
      <c r="I28" s="157">
        <v>7778</v>
      </c>
      <c r="J28" s="158"/>
      <c r="K28" s="159">
        <f>4578+5146+1858+803</f>
        <v>12385</v>
      </c>
      <c r="L28" s="159">
        <f>592+336+559+1043</f>
        <v>2530</v>
      </c>
      <c r="M28" s="153"/>
      <c r="N28" s="277"/>
      <c r="O28" s="73">
        <f t="shared" si="2"/>
        <v>1.1756439493316651</v>
      </c>
    </row>
    <row r="29" spans="1:16">
      <c r="A29" s="31" t="s">
        <v>38</v>
      </c>
      <c r="B29" s="392">
        <f>120488+12239+18218</f>
        <v>150945</v>
      </c>
      <c r="C29" s="415">
        <f>15404+10234+16869</f>
        <v>42507</v>
      </c>
      <c r="D29" s="437">
        <f>22490+11900+19473</f>
        <v>53863</v>
      </c>
      <c r="E29" s="286">
        <f t="shared" si="5"/>
        <v>19473</v>
      </c>
      <c r="F29" s="33">
        <v>6135</v>
      </c>
      <c r="G29" s="33">
        <v>9500</v>
      </c>
      <c r="H29" s="33">
        <v>3588</v>
      </c>
      <c r="I29" s="33">
        <v>250</v>
      </c>
      <c r="J29" s="12"/>
      <c r="K29" s="87">
        <f>329+1129+143+124</f>
        <v>1725</v>
      </c>
      <c r="L29" s="87">
        <f>592+35+337+48</f>
        <v>1012</v>
      </c>
      <c r="M29" s="22"/>
      <c r="N29" s="278"/>
      <c r="O29" s="73">
        <f t="shared" si="2"/>
        <v>1.2671559978356506</v>
      </c>
    </row>
    <row r="30" spans="1:16">
      <c r="A30" s="31" t="s">
        <v>39</v>
      </c>
      <c r="B30" s="14">
        <v>0</v>
      </c>
      <c r="C30" s="387">
        <v>0</v>
      </c>
      <c r="D30" s="429"/>
      <c r="E30" s="286">
        <f t="shared" ref="E30" si="6">F30+G30+H30+I30+J30</f>
        <v>0</v>
      </c>
      <c r="F30" s="13"/>
      <c r="G30" s="13"/>
      <c r="H30" s="13"/>
      <c r="I30" s="13"/>
      <c r="J30" s="13"/>
      <c r="K30" s="22"/>
      <c r="L30" s="22"/>
      <c r="M30" s="22"/>
      <c r="N30" s="278"/>
      <c r="O30" s="73"/>
    </row>
    <row r="31" spans="1:16">
      <c r="A31" s="31"/>
      <c r="B31" s="229"/>
      <c r="C31" s="416"/>
      <c r="D31" s="383"/>
      <c r="E31" s="287"/>
      <c r="F31" s="36"/>
      <c r="G31" s="36"/>
      <c r="H31" s="36"/>
      <c r="I31" s="36"/>
      <c r="J31" s="36"/>
      <c r="K31" s="36"/>
      <c r="L31" s="36"/>
      <c r="M31" s="36"/>
      <c r="N31" s="288"/>
      <c r="O31" s="73"/>
    </row>
    <row r="32" spans="1:16">
      <c r="A32" s="6" t="s">
        <v>40</v>
      </c>
      <c r="B32" s="7">
        <f>SUM(B33:B43)</f>
        <v>8314054</v>
      </c>
      <c r="C32" s="411">
        <f t="shared" ref="C32" si="7">SUM(C33:C43)</f>
        <v>1873241</v>
      </c>
      <c r="D32" s="435">
        <f>SUM(D33:D43)</f>
        <v>2114046</v>
      </c>
      <c r="E32" s="274">
        <f t="shared" ref="E32:N32" si="8">SUM(E33:E43)</f>
        <v>763512</v>
      </c>
      <c r="F32" s="9">
        <f t="shared" si="8"/>
        <v>295535</v>
      </c>
      <c r="G32" s="9">
        <f t="shared" si="8"/>
        <v>256030</v>
      </c>
      <c r="H32" s="9">
        <f t="shared" si="8"/>
        <v>93428</v>
      </c>
      <c r="I32" s="9">
        <f t="shared" si="8"/>
        <v>117574</v>
      </c>
      <c r="J32" s="9">
        <f t="shared" si="8"/>
        <v>945</v>
      </c>
      <c r="K32" s="72">
        <f t="shared" si="8"/>
        <v>218558</v>
      </c>
      <c r="L32" s="72">
        <f t="shared" si="8"/>
        <v>79920</v>
      </c>
      <c r="M32" s="72">
        <f t="shared" si="8"/>
        <v>224</v>
      </c>
      <c r="N32" s="275">
        <f t="shared" si="8"/>
        <v>67978</v>
      </c>
      <c r="O32" s="73">
        <f t="shared" si="2"/>
        <v>1.1285499303079529</v>
      </c>
    </row>
    <row r="33" spans="1:16">
      <c r="A33" s="386" t="s">
        <v>41</v>
      </c>
      <c r="B33" s="14">
        <f>439746+58130+61049</f>
        <v>558925</v>
      </c>
      <c r="C33" s="387">
        <f>39360+31413+40944</f>
        <v>111717</v>
      </c>
      <c r="D33" s="429">
        <v>176793</v>
      </c>
      <c r="E33" s="286">
        <f t="shared" ref="E33:E43" si="9">SUM(F33:J33)</f>
        <v>57750</v>
      </c>
      <c r="F33" s="13"/>
      <c r="G33" s="13"/>
      <c r="H33" s="13">
        <v>18731</v>
      </c>
      <c r="I33" s="13">
        <v>39019</v>
      </c>
      <c r="J33" s="13"/>
      <c r="K33" s="88">
        <v>1718</v>
      </c>
      <c r="L33" s="88">
        <f>14572</f>
        <v>14572</v>
      </c>
      <c r="M33" s="88"/>
      <c r="N33" s="289"/>
      <c r="O33" s="73">
        <f t="shared" si="2"/>
        <v>1.5825075861328177</v>
      </c>
    </row>
    <row r="34" spans="1:16">
      <c r="A34" s="386" t="s">
        <v>42</v>
      </c>
      <c r="B34" s="14">
        <f>506252+63971</f>
        <v>570223</v>
      </c>
      <c r="C34" s="387">
        <f>32272+30238+40100</f>
        <v>102610</v>
      </c>
      <c r="D34" s="429">
        <f>58796+40986+58237</f>
        <v>158019</v>
      </c>
      <c r="E34" s="286">
        <f t="shared" si="9"/>
        <v>58237</v>
      </c>
      <c r="F34" s="151"/>
      <c r="G34" s="151"/>
      <c r="H34" s="154">
        <v>9334</v>
      </c>
      <c r="I34" s="154">
        <v>48903</v>
      </c>
      <c r="J34" s="154"/>
      <c r="K34" s="160">
        <v>2429</v>
      </c>
      <c r="L34" s="160">
        <f>9141+8</f>
        <v>9149</v>
      </c>
      <c r="M34" s="160"/>
      <c r="N34" s="290">
        <v>58237</v>
      </c>
      <c r="O34" s="73">
        <f t="shared" si="2"/>
        <v>1.5399961017444694</v>
      </c>
    </row>
    <row r="35" spans="1:16">
      <c r="A35" s="386" t="s">
        <v>43</v>
      </c>
      <c r="B35" s="464">
        <f>42017+51282+45948+47390+55304+49234+45680+47437+43911+34616+30188+41910</f>
        <v>534917</v>
      </c>
      <c r="C35" s="465">
        <f>42017+51282+45948</f>
        <v>139247</v>
      </c>
      <c r="D35" s="466">
        <f>43919+38655+49389</f>
        <v>131963</v>
      </c>
      <c r="E35" s="286">
        <f t="shared" si="9"/>
        <v>49389</v>
      </c>
      <c r="F35" s="13">
        <v>17718</v>
      </c>
      <c r="G35" s="13">
        <v>24942</v>
      </c>
      <c r="H35" s="13">
        <v>2520</v>
      </c>
      <c r="I35" s="291">
        <v>3337</v>
      </c>
      <c r="J35" s="13">
        <v>872</v>
      </c>
      <c r="K35" s="88">
        <f>7963+18741+1494+1328+268</f>
        <v>29794</v>
      </c>
      <c r="L35" s="88">
        <f>1195+154+105+121+220</f>
        <v>1795</v>
      </c>
      <c r="M35" s="88"/>
      <c r="N35" s="289">
        <v>8443</v>
      </c>
      <c r="O35" s="452">
        <f t="shared" si="2"/>
        <v>0.94769007590827814</v>
      </c>
      <c r="P35" s="385" t="s">
        <v>126</v>
      </c>
    </row>
    <row r="36" spans="1:16">
      <c r="A36" s="31" t="s">
        <v>44</v>
      </c>
      <c r="B36" s="393">
        <f>154869+18461+17185+18184+22072</f>
        <v>230771</v>
      </c>
      <c r="C36" s="417">
        <f>9329+13814+20636</f>
        <v>43779</v>
      </c>
      <c r="D36" s="449">
        <f>20214+11681+23581</f>
        <v>55476</v>
      </c>
      <c r="E36" s="286">
        <f t="shared" si="9"/>
        <v>23581</v>
      </c>
      <c r="F36" s="13"/>
      <c r="G36" s="13">
        <v>49</v>
      </c>
      <c r="H36" s="13">
        <v>11426</v>
      </c>
      <c r="I36" s="13">
        <v>12106</v>
      </c>
      <c r="J36" s="89"/>
      <c r="K36" s="90">
        <f>49+2931+3501</f>
        <v>6481</v>
      </c>
      <c r="L36" s="88">
        <f>1009+605</f>
        <v>1614</v>
      </c>
      <c r="M36" s="88">
        <v>224</v>
      </c>
      <c r="N36" s="289"/>
      <c r="O36" s="73">
        <f t="shared" si="2"/>
        <v>1.2671828959089975</v>
      </c>
    </row>
    <row r="37" spans="1:16">
      <c r="A37" s="31" t="s">
        <v>45</v>
      </c>
      <c r="B37" s="394">
        <f>50925+32855+32535+28886+28236+30552+33558+32390+29858+33841+31383</f>
        <v>365019</v>
      </c>
      <c r="C37" s="418">
        <f>50925+32855</f>
        <v>83780</v>
      </c>
      <c r="D37" s="450">
        <f>36191+20920+29070</f>
        <v>86181</v>
      </c>
      <c r="E37" s="286">
        <f t="shared" si="9"/>
        <v>29070</v>
      </c>
      <c r="F37" s="292"/>
      <c r="G37" s="293"/>
      <c r="H37" s="158">
        <v>14861</v>
      </c>
      <c r="I37" s="155">
        <v>14209</v>
      </c>
      <c r="J37" s="154"/>
      <c r="K37" s="159">
        <f>4498+4628</f>
        <v>9126</v>
      </c>
      <c r="L37" s="156">
        <f>361+3</f>
        <v>364</v>
      </c>
      <c r="M37" s="156"/>
      <c r="N37" s="236">
        <v>40</v>
      </c>
      <c r="O37" s="73">
        <f t="shared" si="2"/>
        <v>1.0286583910241107</v>
      </c>
    </row>
    <row r="38" spans="1:16">
      <c r="A38" s="31" t="s">
        <v>46</v>
      </c>
      <c r="B38" s="394">
        <f>5696+3958+5815+9110+7468+13154+12856+16704+16494+13524+11707+13991</f>
        <v>130477</v>
      </c>
      <c r="C38" s="418">
        <f>5696+3958+5815</f>
        <v>15469</v>
      </c>
      <c r="D38" s="450">
        <f>12008+9467+14763</f>
        <v>36238</v>
      </c>
      <c r="E38" s="286">
        <f t="shared" si="9"/>
        <v>14763</v>
      </c>
      <c r="F38" s="13">
        <v>4485</v>
      </c>
      <c r="G38" s="13">
        <v>10205</v>
      </c>
      <c r="H38" s="13"/>
      <c r="I38" s="13"/>
      <c r="J38" s="13">
        <v>73</v>
      </c>
      <c r="K38" s="22">
        <f>1737+1888</f>
        <v>3625</v>
      </c>
      <c r="L38" s="22">
        <f>60+1231+47</f>
        <v>1338</v>
      </c>
      <c r="M38" s="88"/>
      <c r="N38" s="289">
        <v>36</v>
      </c>
      <c r="O38" s="73">
        <f t="shared" si="2"/>
        <v>2.3426207253216109</v>
      </c>
      <c r="P38" s="176"/>
    </row>
    <row r="39" spans="1:16">
      <c r="A39" s="31" t="s">
        <v>47</v>
      </c>
      <c r="B39" s="394">
        <f>372397+393542+480876+438506+433683+444706+469051+460647+432596+460939+470477+474708</f>
        <v>5332128</v>
      </c>
      <c r="C39" s="418">
        <f>372397+393542+480876</f>
        <v>1246815</v>
      </c>
      <c r="D39" s="450">
        <f>492323+373517+489518</f>
        <v>1355358</v>
      </c>
      <c r="E39" s="286">
        <f t="shared" si="9"/>
        <v>489518</v>
      </c>
      <c r="F39" s="13">
        <v>269644</v>
      </c>
      <c r="G39" s="13">
        <v>219874</v>
      </c>
      <c r="H39" s="13"/>
      <c r="I39" s="12"/>
      <c r="J39" s="13"/>
      <c r="K39" s="87">
        <v>164862</v>
      </c>
      <c r="L39" s="87">
        <f>34561+16350</f>
        <v>50911</v>
      </c>
      <c r="M39" s="88"/>
      <c r="N39" s="289"/>
      <c r="O39" s="73">
        <f t="shared" si="2"/>
        <v>1.0870562192466404</v>
      </c>
    </row>
    <row r="40" spans="1:16">
      <c r="A40" s="31" t="s">
        <v>48</v>
      </c>
      <c r="B40" s="394">
        <f>32440+39588+48102+43548+41412+40968+51704+51435+55440+57617+45700+41689</f>
        <v>549643</v>
      </c>
      <c r="C40" s="418">
        <f>32440+39588+48102</f>
        <v>120130</v>
      </c>
      <c r="D40" s="450">
        <f>41444+27037+39698</f>
        <v>108179</v>
      </c>
      <c r="E40" s="286">
        <f t="shared" si="9"/>
        <v>39698</v>
      </c>
      <c r="F40" s="1035">
        <v>3142</v>
      </c>
      <c r="G40" s="1035"/>
      <c r="H40" s="1035">
        <v>36556</v>
      </c>
      <c r="I40" s="1035"/>
      <c r="J40" s="13"/>
      <c r="K40" s="88"/>
      <c r="L40" s="88"/>
      <c r="M40" s="88"/>
      <c r="N40" s="289"/>
      <c r="O40" s="73">
        <f t="shared" si="2"/>
        <v>0.90051610755015399</v>
      </c>
    </row>
    <row r="41" spans="1:16">
      <c r="A41" s="31" t="s">
        <v>49</v>
      </c>
      <c r="B41" s="389">
        <f>SUM(D41:G41)</f>
        <v>0</v>
      </c>
      <c r="C41" s="414">
        <f>SUM(D41:G41)</f>
        <v>0</v>
      </c>
      <c r="D41" s="436"/>
      <c r="E41" s="286">
        <f t="shared" si="9"/>
        <v>0</v>
      </c>
      <c r="F41" s="13"/>
      <c r="G41" s="13"/>
      <c r="H41" s="13"/>
      <c r="I41" s="13"/>
      <c r="J41" s="13"/>
      <c r="K41" s="88"/>
      <c r="L41" s="88"/>
      <c r="M41" s="88"/>
      <c r="N41" s="289"/>
      <c r="O41" s="73"/>
    </row>
    <row r="42" spans="1:16">
      <c r="A42" s="31" t="s">
        <v>50</v>
      </c>
      <c r="B42" s="395">
        <f>2388+2166+2181+2143+2735+2159+2232+3124+2401+2891+2264+3229</f>
        <v>29913</v>
      </c>
      <c r="C42" s="419">
        <f>2388+2166+2181</f>
        <v>6735</v>
      </c>
      <c r="D42" s="438">
        <f>1591+185+300</f>
        <v>2076</v>
      </c>
      <c r="E42" s="286">
        <f t="shared" si="9"/>
        <v>300</v>
      </c>
      <c r="F42" s="13">
        <v>148</v>
      </c>
      <c r="G42" s="13">
        <v>152</v>
      </c>
      <c r="H42" s="13"/>
      <c r="I42" s="13"/>
      <c r="J42" s="13"/>
      <c r="K42" s="88">
        <v>300</v>
      </c>
      <c r="L42" s="88">
        <f>148</f>
        <v>148</v>
      </c>
      <c r="M42" s="88"/>
      <c r="N42" s="289">
        <v>16</v>
      </c>
      <c r="O42" s="73">
        <f t="shared" si="2"/>
        <v>0.30824053452115813</v>
      </c>
    </row>
    <row r="43" spans="1:16">
      <c r="A43" s="31" t="s">
        <v>51</v>
      </c>
      <c r="B43" s="395">
        <v>12038</v>
      </c>
      <c r="C43" s="419">
        <f>856+1105+998</f>
        <v>2959</v>
      </c>
      <c r="D43" s="438">
        <f>1121+1436+1206</f>
        <v>3763</v>
      </c>
      <c r="E43" s="286">
        <f t="shared" si="9"/>
        <v>1206</v>
      </c>
      <c r="F43" s="13">
        <v>398</v>
      </c>
      <c r="G43" s="13">
        <v>808</v>
      </c>
      <c r="H43" s="13"/>
      <c r="I43" s="13"/>
      <c r="J43" s="91"/>
      <c r="K43" s="90">
        <f>37+186</f>
        <v>223</v>
      </c>
      <c r="L43" s="88">
        <f>29</f>
        <v>29</v>
      </c>
      <c r="M43" s="88"/>
      <c r="N43" s="289">
        <v>1206</v>
      </c>
      <c r="O43" s="73">
        <f t="shared" si="2"/>
        <v>1.2717134166948294</v>
      </c>
    </row>
    <row r="44" spans="1:16" ht="17.100000000000001" customHeight="1">
      <c r="A44" s="31"/>
      <c r="B44" s="233"/>
      <c r="C44" s="420"/>
      <c r="D44" s="439"/>
      <c r="E44" s="294"/>
      <c r="F44" s="44"/>
      <c r="G44" s="44"/>
      <c r="H44" s="44"/>
      <c r="I44" s="44"/>
      <c r="J44" s="44"/>
      <c r="K44" s="44"/>
      <c r="L44" s="44"/>
      <c r="M44" s="44"/>
      <c r="N44" s="295"/>
      <c r="O44" s="73"/>
    </row>
    <row r="45" spans="1:16">
      <c r="A45" s="180" t="s">
        <v>52</v>
      </c>
      <c r="B45" s="928">
        <f>SUM(B46:B53)</f>
        <v>4797590</v>
      </c>
      <c r="C45" s="928">
        <f>SUM(C46:C53)</f>
        <v>969140</v>
      </c>
      <c r="D45" s="500">
        <f>SUM(D46:D53)</f>
        <v>1320548</v>
      </c>
      <c r="E45" s="500">
        <f>SUM(E46:E53)</f>
        <v>454945</v>
      </c>
      <c r="F45" s="500">
        <f>SUM(F46:F53)</f>
        <v>193996</v>
      </c>
      <c r="G45" s="925">
        <f t="shared" ref="G45:N45" si="10">SUM(G46:G53)</f>
        <v>231086</v>
      </c>
      <c r="H45" s="9">
        <f t="shared" si="10"/>
        <v>5745</v>
      </c>
      <c r="I45" s="9">
        <f t="shared" si="10"/>
        <v>2677</v>
      </c>
      <c r="J45" s="9">
        <f t="shared" si="10"/>
        <v>21381</v>
      </c>
      <c r="K45" s="72">
        <f t="shared" si="10"/>
        <v>51321</v>
      </c>
      <c r="L45" s="72">
        <f t="shared" si="10"/>
        <v>81177</v>
      </c>
      <c r="M45" s="72">
        <f t="shared" si="10"/>
        <v>0</v>
      </c>
      <c r="N45" s="275">
        <f t="shared" si="10"/>
        <v>40409</v>
      </c>
      <c r="O45" s="73">
        <f t="shared" si="2"/>
        <v>1.3625977670924738</v>
      </c>
    </row>
    <row r="46" spans="1:16">
      <c r="A46" s="31" t="s">
        <v>53</v>
      </c>
      <c r="B46" s="14">
        <v>0</v>
      </c>
      <c r="C46" s="422">
        <v>0</v>
      </c>
      <c r="D46" s="429"/>
      <c r="E46" s="286">
        <f t="shared" ref="E46" si="11">F46+G46+H46+I46+J46</f>
        <v>0</v>
      </c>
      <c r="F46" s="13"/>
      <c r="G46" s="13"/>
      <c r="H46" s="13"/>
      <c r="I46" s="13"/>
      <c r="J46" s="13"/>
      <c r="K46" s="36"/>
      <c r="L46" s="36"/>
      <c r="M46" s="36"/>
      <c r="N46" s="288"/>
      <c r="O46" s="73"/>
    </row>
    <row r="47" spans="1:16">
      <c r="A47" s="396" t="s">
        <v>54</v>
      </c>
      <c r="B47" s="1057">
        <f>127394+89400+147995+127434+174236+176428+189135+187087+174544+192913+163797+135579</f>
        <v>1885942</v>
      </c>
      <c r="C47" s="1061">
        <v>364769</v>
      </c>
      <c r="D47" s="1059">
        <f>152617+131920+130997</f>
        <v>415534</v>
      </c>
      <c r="E47" s="1019">
        <v>130997</v>
      </c>
      <c r="F47" s="1016">
        <v>56438</v>
      </c>
      <c r="G47" s="1016">
        <v>59645</v>
      </c>
      <c r="H47" s="1016">
        <v>5729</v>
      </c>
      <c r="I47" s="1016">
        <v>2677</v>
      </c>
      <c r="J47" s="1016">
        <v>6448</v>
      </c>
      <c r="K47" s="1017">
        <v>15527</v>
      </c>
      <c r="L47" s="1017">
        <f>38381+954+253+1615+2658</f>
        <v>43861</v>
      </c>
      <c r="M47" s="1017"/>
      <c r="N47" s="1018"/>
      <c r="O47" s="73">
        <f t="shared" si="2"/>
        <v>1.1391702694033758</v>
      </c>
      <c r="P47" s="1054"/>
    </row>
    <row r="48" spans="1:16">
      <c r="A48" s="396" t="s">
        <v>55</v>
      </c>
      <c r="B48" s="1058"/>
      <c r="C48" s="1062"/>
      <c r="D48" s="1060"/>
      <c r="E48" s="1020"/>
      <c r="F48" s="1016"/>
      <c r="G48" s="1016"/>
      <c r="H48" s="1016"/>
      <c r="I48" s="1016"/>
      <c r="J48" s="1016"/>
      <c r="K48" s="1017"/>
      <c r="L48" s="1017"/>
      <c r="M48" s="1017"/>
      <c r="N48" s="1018"/>
      <c r="O48" s="73"/>
      <c r="P48" s="1015"/>
    </row>
    <row r="49" spans="1:16">
      <c r="A49" s="31" t="s">
        <v>56</v>
      </c>
      <c r="B49" s="397">
        <f>47356+52560+79724+85499+66734+68133+73487+69407+60723+61109+72181+84025</f>
        <v>820938</v>
      </c>
      <c r="C49" s="423">
        <v>179640</v>
      </c>
      <c r="D49" s="440">
        <f>97537+55586+99611</f>
        <v>252734</v>
      </c>
      <c r="E49" s="286">
        <f t="shared" ref="E49:E51" si="12">SUM(F49:J49)</f>
        <v>99611</v>
      </c>
      <c r="F49" s="45">
        <v>45559</v>
      </c>
      <c r="G49" s="33">
        <v>49952</v>
      </c>
      <c r="H49" s="46"/>
      <c r="I49" s="12"/>
      <c r="J49" s="33">
        <v>4100</v>
      </c>
      <c r="K49" s="87">
        <v>8813</v>
      </c>
      <c r="L49" s="81">
        <f>31381+2289+1385</f>
        <v>35055</v>
      </c>
      <c r="M49" s="36"/>
      <c r="N49" s="288">
        <v>4063</v>
      </c>
      <c r="O49" s="73">
        <f t="shared" si="2"/>
        <v>1.4068915608995769</v>
      </c>
      <c r="P49" s="385"/>
    </row>
    <row r="50" spans="1:16">
      <c r="A50" s="17" t="s">
        <v>57</v>
      </c>
      <c r="B50" s="395">
        <f>38855+42860+48337+46082+47751+44611+75076+55809+60576+63502+55882+64932</f>
        <v>644273</v>
      </c>
      <c r="C50" s="423">
        <v>130052</v>
      </c>
      <c r="D50" s="438">
        <f>59734+65037+69566</f>
        <v>194337</v>
      </c>
      <c r="E50" s="286">
        <f t="shared" si="12"/>
        <v>69566</v>
      </c>
      <c r="F50" s="13">
        <v>25959</v>
      </c>
      <c r="G50" s="13">
        <v>34062</v>
      </c>
      <c r="H50" s="13"/>
      <c r="I50" s="92"/>
      <c r="J50" s="13">
        <v>9545</v>
      </c>
      <c r="K50" s="22">
        <f>19426+252+51</f>
        <v>19729</v>
      </c>
      <c r="L50" s="22"/>
      <c r="M50" s="36"/>
      <c r="N50" s="288"/>
      <c r="O50" s="73">
        <f t="shared" si="2"/>
        <v>1.4943022790883647</v>
      </c>
    </row>
    <row r="51" spans="1:16">
      <c r="A51" s="17" t="s">
        <v>58</v>
      </c>
      <c r="B51" s="395">
        <f>38927+25455+65397+44769+34250+34453+44944+60275+38990+46527+28707+33843</f>
        <v>496537</v>
      </c>
      <c r="C51" s="423">
        <v>129779</v>
      </c>
      <c r="D51" s="438">
        <f>47624+41548+39771</f>
        <v>128943</v>
      </c>
      <c r="E51" s="286">
        <f t="shared" si="12"/>
        <v>39771</v>
      </c>
      <c r="F51" s="13">
        <v>13430</v>
      </c>
      <c r="G51" s="13">
        <v>25037</v>
      </c>
      <c r="H51" s="13">
        <v>16</v>
      </c>
      <c r="I51" s="13"/>
      <c r="J51" s="13">
        <v>1288</v>
      </c>
      <c r="K51" s="88">
        <f>1319+5917+16</f>
        <v>7252</v>
      </c>
      <c r="L51" s="88">
        <f>2139+2+120</f>
        <v>2261</v>
      </c>
      <c r="M51" s="88"/>
      <c r="N51" s="289">
        <v>36346</v>
      </c>
      <c r="O51" s="73">
        <f t="shared" si="2"/>
        <v>0.99355827984496725</v>
      </c>
    </row>
    <row r="52" spans="1:16">
      <c r="A52" s="400" t="s">
        <v>59</v>
      </c>
      <c r="B52" s="905">
        <v>949900</v>
      </c>
      <c r="C52" s="929">
        <v>164900</v>
      </c>
      <c r="D52" s="930">
        <v>329000</v>
      </c>
      <c r="E52" s="598">
        <f>SUM(F52:G52)</f>
        <v>115000</v>
      </c>
      <c r="F52" s="920">
        <v>52610</v>
      </c>
      <c r="G52" s="920">
        <v>62390</v>
      </c>
      <c r="H52" s="921"/>
      <c r="I52" s="93"/>
      <c r="J52" s="94"/>
      <c r="K52" s="95"/>
      <c r="L52" s="95"/>
      <c r="M52" s="95"/>
      <c r="N52" s="296"/>
      <c r="O52" s="73">
        <f t="shared" si="2"/>
        <v>1.9951485748938751</v>
      </c>
      <c r="P52" s="96"/>
    </row>
    <row r="53" spans="1:16">
      <c r="A53" s="17" t="s">
        <v>60</v>
      </c>
      <c r="B53" s="382"/>
      <c r="C53" s="117"/>
      <c r="D53" s="441"/>
      <c r="E53" s="287"/>
      <c r="F53" s="405"/>
      <c r="G53" s="51"/>
      <c r="H53" s="52"/>
      <c r="I53" s="28"/>
      <c r="J53" s="22"/>
      <c r="K53" s="36"/>
      <c r="L53" s="36"/>
      <c r="M53" s="36"/>
      <c r="N53" s="288"/>
      <c r="O53" s="73"/>
    </row>
    <row r="54" spans="1:16">
      <c r="A54" s="17"/>
      <c r="B54" s="382"/>
      <c r="C54" s="117"/>
      <c r="D54" s="442"/>
      <c r="E54" s="287"/>
      <c r="F54" s="53">
        <v>0.45748188801934958</v>
      </c>
      <c r="G54" s="53">
        <v>0.54251811198065047</v>
      </c>
      <c r="H54" s="52"/>
      <c r="I54" s="28"/>
      <c r="J54" s="22"/>
      <c r="K54" s="36"/>
      <c r="L54" s="36"/>
      <c r="M54" s="36"/>
      <c r="N54" s="288"/>
      <c r="O54" s="73"/>
    </row>
    <row r="55" spans="1:16">
      <c r="A55" s="54" t="s">
        <v>61</v>
      </c>
      <c r="B55" s="218">
        <f>SUM(B56:B63)</f>
        <v>71421</v>
      </c>
      <c r="C55" s="424">
        <v>16821</v>
      </c>
      <c r="D55" s="443">
        <f>SUM(D56:D63)</f>
        <v>11735</v>
      </c>
      <c r="E55" s="298">
        <f t="shared" ref="E55:N55" si="13">SUM(E56:E63)</f>
        <v>4494</v>
      </c>
      <c r="F55" s="55">
        <f t="shared" si="13"/>
        <v>254</v>
      </c>
      <c r="G55" s="55">
        <f t="shared" si="13"/>
        <v>255</v>
      </c>
      <c r="H55" s="55">
        <f t="shared" si="13"/>
        <v>2082</v>
      </c>
      <c r="I55" s="55">
        <f t="shared" si="13"/>
        <v>1903</v>
      </c>
      <c r="J55" s="55">
        <f t="shared" si="13"/>
        <v>0</v>
      </c>
      <c r="K55" s="97">
        <f t="shared" si="13"/>
        <v>2870</v>
      </c>
      <c r="L55" s="97">
        <f t="shared" si="13"/>
        <v>1812</v>
      </c>
      <c r="M55" s="97">
        <f t="shared" si="13"/>
        <v>0</v>
      </c>
      <c r="N55" s="299">
        <f t="shared" si="13"/>
        <v>3705</v>
      </c>
      <c r="O55" s="73">
        <f t="shared" si="2"/>
        <v>0.69763985494322578</v>
      </c>
    </row>
    <row r="56" spans="1:16">
      <c r="A56" s="17" t="s">
        <v>62</v>
      </c>
      <c r="B56" s="395">
        <f>122+557+792+366+499+468+393+769+628+559+497+230</f>
        <v>5880</v>
      </c>
      <c r="C56" s="423">
        <v>1471</v>
      </c>
      <c r="D56" s="444">
        <f>335+74+675</f>
        <v>1084</v>
      </c>
      <c r="E56" s="286">
        <f t="shared" ref="E56:E63" si="14">SUM(F56:J56)</f>
        <v>675</v>
      </c>
      <c r="F56" s="291"/>
      <c r="G56" s="13"/>
      <c r="H56" s="57">
        <v>404</v>
      </c>
      <c r="I56" s="13">
        <v>271</v>
      </c>
      <c r="J56" s="13"/>
      <c r="K56" s="36">
        <f>34+65</f>
        <v>99</v>
      </c>
      <c r="L56" s="36">
        <f>90+18</f>
        <v>108</v>
      </c>
      <c r="M56" s="36"/>
      <c r="N56" s="288"/>
      <c r="O56" s="73">
        <f t="shared" si="2"/>
        <v>0.73691366417403126</v>
      </c>
    </row>
    <row r="57" spans="1:16">
      <c r="A57" s="17" t="s">
        <v>63</v>
      </c>
      <c r="B57" s="14"/>
      <c r="C57" s="422">
        <v>0</v>
      </c>
      <c r="D57" s="445"/>
      <c r="E57" s="286">
        <f t="shared" si="14"/>
        <v>0</v>
      </c>
      <c r="F57" s="58"/>
      <c r="G57" s="11"/>
      <c r="H57" s="13"/>
      <c r="I57" s="13"/>
      <c r="J57" s="13"/>
      <c r="K57" s="36"/>
      <c r="L57" s="36"/>
      <c r="M57" s="36"/>
      <c r="N57" s="288"/>
      <c r="O57" s="73"/>
    </row>
    <row r="58" spans="1:16">
      <c r="A58" s="17" t="s">
        <v>64</v>
      </c>
      <c r="B58" s="395">
        <f>774+884+1093+1806+989+1127+1587+1317+1182+1138+1729+1456</f>
        <v>15082</v>
      </c>
      <c r="C58" s="423">
        <v>2751</v>
      </c>
      <c r="D58" s="444">
        <f>1670+1062+1129</f>
        <v>3861</v>
      </c>
      <c r="E58" s="286">
        <f t="shared" si="14"/>
        <v>1129</v>
      </c>
      <c r="F58" s="57"/>
      <c r="G58" s="11"/>
      <c r="H58" s="13">
        <v>550</v>
      </c>
      <c r="I58" s="13">
        <v>579</v>
      </c>
      <c r="J58" s="13"/>
      <c r="K58" s="36">
        <f>213+285</f>
        <v>498</v>
      </c>
      <c r="L58" s="36">
        <f>211+166</f>
        <v>377</v>
      </c>
      <c r="M58" s="36"/>
      <c r="N58" s="288">
        <v>1129</v>
      </c>
      <c r="O58" s="73">
        <f t="shared" si="2"/>
        <v>1.4034896401308614</v>
      </c>
    </row>
    <row r="59" spans="1:16">
      <c r="A59" s="17" t="s">
        <v>65</v>
      </c>
      <c r="B59" s="14">
        <f>19101+1605+2057+920+1082</f>
        <v>24765</v>
      </c>
      <c r="C59" s="422">
        <v>7270</v>
      </c>
      <c r="D59" s="445">
        <f>1089+517+1381</f>
        <v>2987</v>
      </c>
      <c r="E59" s="286">
        <f t="shared" si="14"/>
        <v>1381</v>
      </c>
      <c r="F59" s="58"/>
      <c r="G59" s="11"/>
      <c r="H59" s="13">
        <v>678</v>
      </c>
      <c r="I59" s="13">
        <v>703</v>
      </c>
      <c r="J59" s="13"/>
      <c r="K59" s="22">
        <v>1267</v>
      </c>
      <c r="L59" s="22">
        <f>674+4</f>
        <v>678</v>
      </c>
      <c r="M59" s="36"/>
      <c r="N59" s="288">
        <v>1267</v>
      </c>
      <c r="O59" s="73">
        <f t="shared" si="2"/>
        <v>0.41086657496561213</v>
      </c>
    </row>
    <row r="60" spans="1:16">
      <c r="A60" s="398" t="s">
        <v>66</v>
      </c>
      <c r="B60" s="389">
        <f>SUM(D60:G60)</f>
        <v>0</v>
      </c>
      <c r="C60" s="422">
        <v>0</v>
      </c>
      <c r="D60" s="446"/>
      <c r="E60" s="286">
        <f t="shared" si="14"/>
        <v>0</v>
      </c>
      <c r="F60" s="60"/>
      <c r="G60" s="11"/>
      <c r="H60" s="13"/>
      <c r="I60" s="13"/>
      <c r="J60" s="13"/>
      <c r="K60" s="36"/>
      <c r="L60" s="36"/>
      <c r="M60" s="36"/>
      <c r="N60" s="288"/>
      <c r="O60" s="73"/>
    </row>
    <row r="61" spans="1:16">
      <c r="A61" s="17" t="s">
        <v>67</v>
      </c>
      <c r="B61" s="14">
        <v>19597</v>
      </c>
      <c r="C61" s="422">
        <v>3943</v>
      </c>
      <c r="D61" s="445">
        <f>949+632+800</f>
        <v>2381</v>
      </c>
      <c r="E61" s="286">
        <f t="shared" si="14"/>
        <v>800</v>
      </c>
      <c r="F61" s="58"/>
      <c r="G61" s="11"/>
      <c r="H61" s="13">
        <v>450</v>
      </c>
      <c r="I61" s="13">
        <v>350</v>
      </c>
      <c r="J61" s="13"/>
      <c r="K61" s="22">
        <v>800</v>
      </c>
      <c r="L61" s="22">
        <f>450</f>
        <v>450</v>
      </c>
      <c r="M61" s="36"/>
      <c r="N61" s="288">
        <v>800</v>
      </c>
      <c r="O61" s="73">
        <f t="shared" si="2"/>
        <v>0.60385493279229019</v>
      </c>
    </row>
    <row r="62" spans="1:16">
      <c r="A62" s="399" t="s">
        <v>68</v>
      </c>
      <c r="B62" s="390"/>
      <c r="C62" s="423"/>
      <c r="D62" s="447"/>
      <c r="E62" s="286">
        <f t="shared" si="14"/>
        <v>0</v>
      </c>
      <c r="F62" s="57"/>
      <c r="G62" s="62"/>
      <c r="H62" s="12"/>
      <c r="I62" s="12"/>
      <c r="J62" s="12"/>
      <c r="K62" s="28"/>
      <c r="L62" s="28"/>
      <c r="M62" s="28"/>
      <c r="N62" s="277"/>
      <c r="O62" s="73"/>
    </row>
    <row r="63" spans="1:16">
      <c r="A63" s="17" t="s">
        <v>69</v>
      </c>
      <c r="B63" s="395">
        <f>3284+527+85+247+741+628+585</f>
        <v>6097</v>
      </c>
      <c r="C63" s="425">
        <v>1386</v>
      </c>
      <c r="D63" s="438">
        <f>703+210+509</f>
        <v>1422</v>
      </c>
      <c r="E63" s="286">
        <f t="shared" si="14"/>
        <v>509</v>
      </c>
      <c r="F63" s="13">
        <v>254</v>
      </c>
      <c r="G63" s="13">
        <v>255</v>
      </c>
      <c r="H63" s="13"/>
      <c r="I63" s="13"/>
      <c r="J63" s="13"/>
      <c r="K63" s="22">
        <f>194+12</f>
        <v>206</v>
      </c>
      <c r="L63" s="22">
        <f>199</f>
        <v>199</v>
      </c>
      <c r="M63" s="22"/>
      <c r="N63" s="278">
        <v>509</v>
      </c>
      <c r="O63" s="73">
        <f t="shared" si="2"/>
        <v>1.025974025974026</v>
      </c>
    </row>
    <row r="64" spans="1:16" ht="15" thickBot="1">
      <c r="A64" s="64"/>
      <c r="B64" s="222"/>
      <c r="C64" s="426"/>
      <c r="D64" s="448"/>
      <c r="E64" s="451"/>
      <c r="F64" s="66"/>
      <c r="G64" s="178"/>
      <c r="H64" s="66"/>
      <c r="I64" s="66"/>
      <c r="J64" s="66"/>
      <c r="K64" s="66"/>
      <c r="L64" s="66"/>
      <c r="M64" s="66"/>
      <c r="N64" s="301"/>
      <c r="O64" s="73"/>
    </row>
    <row r="65" spans="1:17" s="1" customFormat="1" ht="20.100000000000001" customHeight="1" thickBot="1">
      <c r="A65" s="100" t="s">
        <v>70</v>
      </c>
      <c r="B65" s="942">
        <f>B6+B26+B32+B45+B55</f>
        <v>18561273</v>
      </c>
      <c r="C65" s="968">
        <f>C6+C26+C32+C45+C55</f>
        <v>3995481</v>
      </c>
      <c r="D65" s="931">
        <f>D6+D26+D32+D45+D55</f>
        <v>4898127</v>
      </c>
      <c r="E65" s="932">
        <f>E6+E26+E32+E45+E55</f>
        <v>1748339</v>
      </c>
      <c r="F65" s="101">
        <f t="shared" ref="F65" si="15">F6+F26+F32+F45+F55</f>
        <v>699420</v>
      </c>
      <c r="G65" s="102">
        <f t="shared" ref="G65:N65" si="16">G6+G26+F32+G45+G55</f>
        <v>734956</v>
      </c>
      <c r="H65" s="102">
        <f t="shared" si="16"/>
        <v>310679</v>
      </c>
      <c r="I65" s="102">
        <f t="shared" si="16"/>
        <v>141525</v>
      </c>
      <c r="J65" s="102">
        <f t="shared" si="16"/>
        <v>138955</v>
      </c>
      <c r="K65" s="127">
        <f t="shared" si="16"/>
        <v>70875</v>
      </c>
      <c r="L65" s="127">
        <f t="shared" si="16"/>
        <v>305393</v>
      </c>
      <c r="M65" s="127">
        <f t="shared" si="16"/>
        <v>79920</v>
      </c>
      <c r="N65" s="302">
        <f t="shared" si="16"/>
        <v>44338</v>
      </c>
      <c r="O65" s="406">
        <f t="shared" si="2"/>
        <v>1.2259167294250679</v>
      </c>
    </row>
    <row r="66" spans="1:17">
      <c r="A66" s="3"/>
      <c r="B66" s="3"/>
      <c r="C66" s="384"/>
      <c r="D66" s="401"/>
      <c r="E66" s="401" t="s">
        <v>156</v>
      </c>
      <c r="F66" s="68"/>
      <c r="G66" s="68"/>
      <c r="H66" s="3"/>
      <c r="I66" s="3"/>
      <c r="J66" s="3"/>
      <c r="K66" s="3"/>
      <c r="L66" s="68"/>
      <c r="M66" s="68" t="s">
        <v>125</v>
      </c>
      <c r="N66" s="68"/>
      <c r="O66" s="3"/>
    </row>
    <row r="67" spans="1:17">
      <c r="B67" s="3"/>
      <c r="C67" s="3"/>
      <c r="D67" s="68"/>
      <c r="E67" s="3"/>
      <c r="F67" s="68"/>
      <c r="G67" s="3"/>
      <c r="H67" s="3"/>
      <c r="I67" s="3"/>
      <c r="J67" s="3"/>
      <c r="K67" s="3"/>
      <c r="L67" s="68"/>
      <c r="M67" s="68"/>
      <c r="N67" s="68"/>
      <c r="O67" s="3"/>
    </row>
    <row r="68" spans="1:17" ht="15" thickBot="1">
      <c r="B68" s="3"/>
      <c r="C68" s="3"/>
      <c r="D68" s="103" t="s">
        <v>71</v>
      </c>
      <c r="E68" s="104" t="s">
        <v>72</v>
      </c>
      <c r="F68" s="104" t="s">
        <v>73</v>
      </c>
      <c r="G68" s="104" t="s">
        <v>74</v>
      </c>
      <c r="H68" s="104" t="s">
        <v>75</v>
      </c>
      <c r="I68" s="104" t="s">
        <v>76</v>
      </c>
      <c r="J68" s="104" t="s">
        <v>77</v>
      </c>
      <c r="K68" s="104" t="s">
        <v>78</v>
      </c>
      <c r="L68" s="104" t="s">
        <v>79</v>
      </c>
      <c r="M68" s="104" t="s">
        <v>80</v>
      </c>
      <c r="N68" s="104" t="s">
        <v>81</v>
      </c>
      <c r="O68" s="104" t="s">
        <v>82</v>
      </c>
      <c r="P68" s="104" t="s">
        <v>83</v>
      </c>
    </row>
    <row r="69" spans="1:17" ht="15" thickBot="1">
      <c r="B69" s="105" t="s">
        <v>84</v>
      </c>
      <c r="C69" s="105"/>
      <c r="D69" s="106">
        <v>1845076</v>
      </c>
      <c r="E69" s="106">
        <v>1453853.1301010782</v>
      </c>
      <c r="F69" s="407">
        <v>1812679</v>
      </c>
      <c r="G69" s="106"/>
      <c r="H69" s="106"/>
      <c r="I69" s="129"/>
      <c r="J69" s="106"/>
      <c r="K69" s="130"/>
      <c r="L69" s="22"/>
      <c r="M69" s="131"/>
      <c r="N69" s="111"/>
      <c r="O69" s="131"/>
      <c r="P69" s="132">
        <f>SUM(D69:O69)</f>
        <v>5111608.1301010782</v>
      </c>
    </row>
    <row r="70" spans="1:17">
      <c r="A70" s="3"/>
      <c r="B70" s="107" t="s">
        <v>85</v>
      </c>
      <c r="C70" s="107"/>
      <c r="D70" s="108"/>
      <c r="E70" s="109">
        <f>IF(D69&gt;0,E69/D69,0)*100</f>
        <v>78.796381834736252</v>
      </c>
      <c r="F70" s="109">
        <f>IF(E69&gt;0,F69/E69,0)*100</f>
        <v>124.68102605893722</v>
      </c>
      <c r="G70" s="109">
        <f>IF(F69&gt;0,G69/F69,0)*100</f>
        <v>0</v>
      </c>
      <c r="H70" s="109">
        <f>IF(G69&gt;0,H69/G69,0)*100</f>
        <v>0</v>
      </c>
      <c r="I70" s="109">
        <f>IF(H69&gt;0,I69/H69,0)*100</f>
        <v>0</v>
      </c>
      <c r="J70" s="109">
        <f>IF(H69&gt;0,J69/H69,0)*100</f>
        <v>0</v>
      </c>
      <c r="K70" s="109">
        <f>IF(J69&gt;0,K69/J69,0)*100</f>
        <v>0</v>
      </c>
      <c r="L70" s="109">
        <f>IF(K69&gt;0,L69/K69,0)*100</f>
        <v>0</v>
      </c>
      <c r="M70" s="109">
        <f>IF(L69&gt;0,M69/L69,0)*100</f>
        <v>0</v>
      </c>
      <c r="N70" s="109">
        <f>IF(M69&gt;0,N69/M69,0)*100</f>
        <v>0</v>
      </c>
      <c r="O70" s="109">
        <f>IF(N69&gt;0,O69/N69,0)*100</f>
        <v>0</v>
      </c>
      <c r="P70" s="133"/>
    </row>
    <row r="71" spans="1:17">
      <c r="A71" s="3"/>
      <c r="B71" s="110"/>
      <c r="C71" s="110"/>
      <c r="D71" s="110"/>
      <c r="E71" s="111"/>
      <c r="F71" s="110"/>
      <c r="G71" s="3"/>
      <c r="H71" s="3"/>
      <c r="I71" s="3"/>
      <c r="J71" s="3"/>
      <c r="K71" s="3"/>
      <c r="L71" s="3"/>
      <c r="M71" s="68"/>
      <c r="N71" s="68"/>
      <c r="O71" s="68"/>
      <c r="P71" s="3"/>
    </row>
    <row r="72" spans="1:17">
      <c r="A72" s="148" t="s">
        <v>86</v>
      </c>
      <c r="B72" s="68"/>
      <c r="C72" s="68"/>
      <c r="D72" s="68"/>
      <c r="E72" s="68"/>
      <c r="F72" s="3"/>
      <c r="G72" s="3"/>
      <c r="H72" s="3"/>
      <c r="I72" s="3"/>
      <c r="J72" s="3"/>
      <c r="K72" s="3"/>
      <c r="L72" s="3"/>
      <c r="M72" s="68"/>
      <c r="N72" s="68"/>
      <c r="O72" s="68"/>
      <c r="P72" s="3"/>
      <c r="Q72" s="142"/>
    </row>
    <row r="73" spans="1:17">
      <c r="A73" s="3" t="s">
        <v>87</v>
      </c>
      <c r="B73" s="68"/>
      <c r="C73" s="68"/>
      <c r="D73" s="68"/>
      <c r="E73" s="68"/>
      <c r="F73" s="3"/>
      <c r="G73" s="3"/>
      <c r="H73" s="3"/>
      <c r="I73" s="3"/>
      <c r="J73" s="3"/>
      <c r="K73" s="3"/>
      <c r="L73" s="3"/>
      <c r="M73" s="68"/>
      <c r="N73" s="68"/>
      <c r="O73" s="68"/>
      <c r="P73" s="3"/>
      <c r="Q73" s="142"/>
    </row>
    <row r="74" spans="1:17">
      <c r="A74" s="148" t="s">
        <v>88</v>
      </c>
      <c r="B74" s="68"/>
      <c r="C74" s="68"/>
      <c r="D74" s="68"/>
      <c r="E74" s="68"/>
      <c r="F74" s="3"/>
      <c r="G74" s="3"/>
      <c r="H74" s="3"/>
      <c r="I74" s="3"/>
      <c r="J74" s="3"/>
      <c r="K74" s="3"/>
      <c r="L74" s="3"/>
      <c r="M74" s="68"/>
      <c r="N74" s="68"/>
      <c r="O74" s="68"/>
      <c r="P74" s="134"/>
      <c r="Q74" s="143"/>
    </row>
    <row r="75" spans="1:17">
      <c r="A75" s="149" t="s">
        <v>89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4"/>
    </row>
    <row r="76" spans="1:17">
      <c r="A76" s="3" t="s">
        <v>90</v>
      </c>
      <c r="B76" s="3"/>
      <c r="C76" s="3"/>
      <c r="D76" s="3"/>
      <c r="E76" s="3"/>
      <c r="F76" s="3"/>
      <c r="G76" s="3"/>
      <c r="H76" s="3"/>
      <c r="I76" s="3"/>
      <c r="K76" s="3"/>
      <c r="M76" s="68"/>
      <c r="N76" s="68"/>
      <c r="O76" s="68"/>
      <c r="P76" s="3"/>
    </row>
    <row r="77" spans="1:17">
      <c r="A77" s="3" t="s">
        <v>91</v>
      </c>
      <c r="B77" s="3"/>
      <c r="C77" s="3"/>
      <c r="D77" s="3"/>
      <c r="E77" s="3"/>
      <c r="F77" s="3"/>
      <c r="G77" s="3"/>
      <c r="H77" s="3"/>
      <c r="I77" s="3"/>
      <c r="K77" s="3"/>
      <c r="M77" s="68"/>
      <c r="N77" s="68"/>
      <c r="O77" s="135"/>
      <c r="P77" s="3"/>
    </row>
    <row r="78" spans="1:17">
      <c r="A78" s="3" t="s">
        <v>92</v>
      </c>
      <c r="B78" s="3"/>
      <c r="C78" s="3"/>
      <c r="D78" s="3"/>
      <c r="E78" s="3"/>
      <c r="F78" s="3"/>
      <c r="G78" s="3"/>
      <c r="H78" s="3"/>
      <c r="I78" s="3"/>
      <c r="K78" s="3"/>
      <c r="L78" s="3"/>
      <c r="M78" s="68"/>
      <c r="N78" s="68"/>
      <c r="O78" s="68"/>
      <c r="P78" s="3"/>
    </row>
    <row r="80" spans="1:17">
      <c r="B80" s="606" t="s">
        <v>159</v>
      </c>
    </row>
    <row r="81" spans="2:17" ht="15.6">
      <c r="B81" s="112" t="s">
        <v>93</v>
      </c>
      <c r="C81" s="112"/>
      <c r="D81" s="114" t="s">
        <v>94</v>
      </c>
      <c r="E81" s="115" t="s">
        <v>95</v>
      </c>
      <c r="F81" s="115" t="s">
        <v>96</v>
      </c>
      <c r="G81" s="115" t="s">
        <v>97</v>
      </c>
      <c r="H81" s="115" t="s">
        <v>98</v>
      </c>
      <c r="I81" s="136" t="s">
        <v>99</v>
      </c>
      <c r="J81" s="115" t="s">
        <v>100</v>
      </c>
      <c r="K81" s="115" t="s">
        <v>101</v>
      </c>
      <c r="L81" s="115" t="s">
        <v>102</v>
      </c>
      <c r="M81" s="115" t="s">
        <v>103</v>
      </c>
      <c r="N81" s="115" t="s">
        <v>104</v>
      </c>
      <c r="O81" s="115" t="s">
        <v>105</v>
      </c>
      <c r="P81" s="115" t="s">
        <v>106</v>
      </c>
      <c r="Q81" s="145" t="s">
        <v>107</v>
      </c>
    </row>
    <row r="82" spans="2:17">
      <c r="B82" s="116" t="s">
        <v>108</v>
      </c>
      <c r="C82" s="116"/>
      <c r="D82" s="52">
        <v>250647.57142857101</v>
      </c>
      <c r="E82" s="52">
        <v>303326.78571428568</v>
      </c>
      <c r="F82" s="52">
        <v>278308.28571428568</v>
      </c>
      <c r="G82" s="52"/>
      <c r="H82" s="118"/>
      <c r="I82" s="52"/>
      <c r="J82" s="52"/>
      <c r="K82" s="137"/>
      <c r="L82" s="138"/>
      <c r="M82" s="52"/>
      <c r="N82" s="52"/>
      <c r="O82" s="52"/>
      <c r="P82" s="139">
        <f t="shared" ref="P82:P88" si="17">SUM(D82:O82)</f>
        <v>832282.64285714237</v>
      </c>
      <c r="Q82" s="146">
        <f t="shared" ref="Q82:Q88" si="18">P82/$P$88</f>
        <v>0.36016926781632758</v>
      </c>
    </row>
    <row r="83" spans="2:17">
      <c r="B83" s="119" t="s">
        <v>109</v>
      </c>
      <c r="C83" s="119"/>
      <c r="D83" s="121">
        <v>51557.785714285703</v>
      </c>
      <c r="E83" s="122">
        <v>38594.857142857145</v>
      </c>
      <c r="F83" s="122">
        <v>40995.357142857145</v>
      </c>
      <c r="G83" s="122"/>
      <c r="H83" s="123"/>
      <c r="I83" s="122"/>
      <c r="J83" s="122"/>
      <c r="K83" s="122"/>
      <c r="L83" s="122"/>
      <c r="M83" s="122"/>
      <c r="N83" s="122"/>
      <c r="O83" s="122"/>
      <c r="P83" s="140">
        <f t="shared" si="17"/>
        <v>131148</v>
      </c>
      <c r="Q83" s="147">
        <f t="shared" si="18"/>
        <v>5.6754132194107867E-2</v>
      </c>
    </row>
    <row r="84" spans="2:17">
      <c r="B84" s="119" t="s">
        <v>110</v>
      </c>
      <c r="C84" s="119"/>
      <c r="D84" s="121">
        <v>157521.85714285701</v>
      </c>
      <c r="E84" s="122">
        <v>160543.85714285713</v>
      </c>
      <c r="F84" s="122">
        <v>156602.71428571426</v>
      </c>
      <c r="G84" s="122"/>
      <c r="H84" s="123"/>
      <c r="I84" s="122"/>
      <c r="J84" s="122"/>
      <c r="K84" s="122"/>
      <c r="L84" s="122"/>
      <c r="M84" s="122"/>
      <c r="N84" s="122"/>
      <c r="O84" s="122"/>
      <c r="P84" s="140">
        <f t="shared" si="17"/>
        <v>474668.42857142841</v>
      </c>
      <c r="Q84" s="147">
        <f t="shared" si="18"/>
        <v>0.20541216597670034</v>
      </c>
    </row>
    <row r="85" spans="2:17">
      <c r="B85" s="124" t="s">
        <v>111</v>
      </c>
      <c r="C85" s="124"/>
      <c r="D85" s="52">
        <v>129327.714285714</v>
      </c>
      <c r="E85" s="52">
        <v>98880.78571428571</v>
      </c>
      <c r="F85" s="52">
        <v>142655.5</v>
      </c>
      <c r="G85" s="52"/>
      <c r="H85" s="118"/>
      <c r="I85" s="52"/>
      <c r="J85" s="52"/>
      <c r="K85" s="52"/>
      <c r="L85" s="52"/>
      <c r="M85" s="52"/>
      <c r="N85" s="52"/>
      <c r="O85" s="52"/>
      <c r="P85" s="139">
        <f t="shared" si="17"/>
        <v>370863.99999999971</v>
      </c>
      <c r="Q85" s="146">
        <f t="shared" si="18"/>
        <v>0.16049092995726663</v>
      </c>
    </row>
    <row r="86" spans="2:17">
      <c r="B86" s="124" t="s">
        <v>112</v>
      </c>
      <c r="C86" s="124"/>
      <c r="D86" s="52">
        <v>81303.642857142899</v>
      </c>
      <c r="E86" s="52">
        <v>79785.57142857142</v>
      </c>
      <c r="F86" s="52">
        <v>99571</v>
      </c>
      <c r="G86" s="52"/>
      <c r="H86" s="118"/>
      <c r="I86" s="52"/>
      <c r="J86" s="52"/>
      <c r="K86" s="52"/>
      <c r="L86" s="52"/>
      <c r="M86" s="52"/>
      <c r="N86" s="52"/>
      <c r="O86" s="52"/>
      <c r="P86" s="139">
        <f t="shared" si="17"/>
        <v>260660.21428571432</v>
      </c>
      <c r="Q86" s="146">
        <f t="shared" si="18"/>
        <v>0.11280038017595323</v>
      </c>
    </row>
    <row r="87" spans="2:17">
      <c r="B87" s="116" t="s">
        <v>57</v>
      </c>
      <c r="C87" s="116"/>
      <c r="D87" s="52">
        <v>79967.428571428594</v>
      </c>
      <c r="E87" s="52">
        <v>73659.642857142855</v>
      </c>
      <c r="F87" s="52">
        <v>87559.357142857145</v>
      </c>
      <c r="G87" s="52"/>
      <c r="H87" s="118"/>
      <c r="I87" s="52"/>
      <c r="J87" s="52"/>
      <c r="K87" s="52"/>
      <c r="L87" s="52"/>
      <c r="M87" s="52"/>
      <c r="N87" s="52"/>
      <c r="O87" s="52"/>
      <c r="P87" s="139">
        <f t="shared" si="17"/>
        <v>241186.42857142858</v>
      </c>
      <c r="Q87" s="146">
        <f t="shared" si="18"/>
        <v>0.10437312387964447</v>
      </c>
    </row>
    <row r="88" spans="2:17">
      <c r="D88" s="126">
        <f>SUM(D82:D87)</f>
        <v>750325.9999999993</v>
      </c>
      <c r="E88" s="126">
        <f>SUM(E82:E87)</f>
        <v>754791.49999999988</v>
      </c>
      <c r="F88" s="126">
        <f t="shared" ref="F88:O88" si="19">SUM(F82:F87)</f>
        <v>805692.2142857142</v>
      </c>
      <c r="G88" s="126">
        <f t="shared" si="19"/>
        <v>0</v>
      </c>
      <c r="H88" s="126">
        <f t="shared" si="19"/>
        <v>0</v>
      </c>
      <c r="I88" s="126">
        <f t="shared" si="19"/>
        <v>0</v>
      </c>
      <c r="J88" s="126">
        <f t="shared" si="19"/>
        <v>0</v>
      </c>
      <c r="K88" s="126">
        <f t="shared" si="19"/>
        <v>0</v>
      </c>
      <c r="L88" s="126">
        <f t="shared" si="19"/>
        <v>0</v>
      </c>
      <c r="M88" s="126">
        <f t="shared" si="19"/>
        <v>0</v>
      </c>
      <c r="N88" s="126">
        <f t="shared" si="19"/>
        <v>0</v>
      </c>
      <c r="O88" s="126">
        <f t="shared" si="19"/>
        <v>0</v>
      </c>
      <c r="P88" s="141">
        <f t="shared" si="17"/>
        <v>2310809.7142857132</v>
      </c>
      <c r="Q88" s="214">
        <f t="shared" si="18"/>
        <v>1</v>
      </c>
    </row>
  </sheetData>
  <mergeCells count="24">
    <mergeCell ref="A1:O1"/>
    <mergeCell ref="A3:A4"/>
    <mergeCell ref="B3:B4"/>
    <mergeCell ref="D3:D4"/>
    <mergeCell ref="E3:N3"/>
    <mergeCell ref="O3:O4"/>
    <mergeCell ref="B47:B48"/>
    <mergeCell ref="D47:D48"/>
    <mergeCell ref="E47:E48"/>
    <mergeCell ref="F47:F48"/>
    <mergeCell ref="C47:C48"/>
    <mergeCell ref="P47:P48"/>
    <mergeCell ref="C3:C4"/>
    <mergeCell ref="I47:I48"/>
    <mergeCell ref="J47:J48"/>
    <mergeCell ref="K47:K48"/>
    <mergeCell ref="L47:L48"/>
    <mergeCell ref="M47:M48"/>
    <mergeCell ref="N47:N48"/>
    <mergeCell ref="P6:P7"/>
    <mergeCell ref="F40:G40"/>
    <mergeCell ref="H40:I40"/>
    <mergeCell ref="G47:G48"/>
    <mergeCell ref="H47:H48"/>
  </mergeCells>
  <pageMargins left="0.7" right="0.7" top="0.75" bottom="0.75" header="0.3" footer="0.3"/>
  <pageSetup orientation="portrait" r:id="rId1"/>
  <ignoredErrors>
    <ignoredError sqref="C6" formula="1"/>
    <ignoredError sqref="E14 E17 E27 E33:E34 E36:E42 E49 E59 E6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E390-72E8-4DC5-94E5-1E039C4D85E4}">
  <dimension ref="A1:Q90"/>
  <sheetViews>
    <sheetView zoomScale="80" zoomScaleNormal="80" zoomScaleSheetLayoutView="90" workbookViewId="0">
      <pane xSplit="3" ySplit="4" topLeftCell="D40" activePane="bottomRight" state="frozen"/>
      <selection pane="topRight" activeCell="D1" sqref="D1"/>
      <selection pane="bottomLeft" activeCell="A5" sqref="A5"/>
      <selection pane="bottomRight" activeCell="I29" sqref="I29"/>
    </sheetView>
  </sheetViews>
  <sheetFormatPr defaultColWidth="8.5546875" defaultRowHeight="14.4"/>
  <cols>
    <col min="1" max="1" width="30.77734375" style="2" customWidth="1"/>
    <col min="2" max="2" width="11.77734375" style="2" customWidth="1"/>
    <col min="3" max="3" width="10.77734375" style="2" customWidth="1"/>
    <col min="4" max="4" width="10.21875" style="2" bestFit="1" customWidth="1"/>
    <col min="5" max="5" width="11" style="2" bestFit="1" customWidth="1"/>
    <col min="6" max="6" width="10.21875" style="2" bestFit="1" customWidth="1"/>
    <col min="7" max="7" width="10.5546875" style="2" bestFit="1" customWidth="1"/>
    <col min="8" max="8" width="11.77734375" style="2" bestFit="1" customWidth="1"/>
    <col min="9" max="9" width="8.44140625" style="2" bestFit="1" customWidth="1"/>
    <col min="10" max="10" width="11.44140625" style="2" customWidth="1"/>
    <col min="11" max="11" width="9.77734375" style="2" bestFit="1" customWidth="1"/>
    <col min="12" max="12" width="8.5546875" style="2"/>
    <col min="13" max="13" width="9.44140625" style="2" customWidth="1"/>
    <col min="14" max="14" width="9.5546875" style="2" customWidth="1"/>
    <col min="15" max="15" width="8.5546875" style="2"/>
    <col min="16" max="16" width="10.44140625" style="2" bestFit="1" customWidth="1"/>
    <col min="17" max="17" width="9.5546875" style="2" bestFit="1" customWidth="1"/>
    <col min="18" max="16384" width="8.5546875" style="2"/>
  </cols>
  <sheetData>
    <row r="1" spans="1:17" s="1" customFormat="1" ht="26.85" customHeight="1">
      <c r="A1" s="1066" t="s">
        <v>128</v>
      </c>
      <c r="B1" s="1066"/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4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67" t="s">
        <v>1</v>
      </c>
      <c r="B3" s="1069" t="s">
        <v>2</v>
      </c>
      <c r="C3" s="1071" t="s">
        <v>129</v>
      </c>
      <c r="D3" s="1063" t="s">
        <v>130</v>
      </c>
      <c r="E3" s="1032" t="s">
        <v>131</v>
      </c>
      <c r="F3" s="1033"/>
      <c r="G3" s="1033"/>
      <c r="H3" s="1033"/>
      <c r="I3" s="1033"/>
      <c r="J3" s="1033"/>
      <c r="K3" s="1033"/>
      <c r="L3" s="1033"/>
      <c r="M3" s="1033"/>
      <c r="N3" s="1034"/>
      <c r="O3" s="1065" t="s">
        <v>132</v>
      </c>
    </row>
    <row r="4" spans="1:17" ht="28.2" thickBot="1">
      <c r="A4" s="1068"/>
      <c r="B4" s="1070"/>
      <c r="C4" s="1072"/>
      <c r="D4" s="1073"/>
      <c r="E4" s="483" t="s">
        <v>7</v>
      </c>
      <c r="F4" s="484" t="s">
        <v>8</v>
      </c>
      <c r="G4" s="484" t="s">
        <v>9</v>
      </c>
      <c r="H4" s="484" t="s">
        <v>10</v>
      </c>
      <c r="I4" s="484" t="s">
        <v>11</v>
      </c>
      <c r="J4" s="485" t="s">
        <v>12</v>
      </c>
      <c r="K4" s="486" t="s">
        <v>13</v>
      </c>
      <c r="L4" s="486" t="s">
        <v>14</v>
      </c>
      <c r="M4" s="487" t="s">
        <v>15</v>
      </c>
      <c r="N4" s="488" t="s">
        <v>16</v>
      </c>
      <c r="O4" s="1074"/>
    </row>
    <row r="5" spans="1:17">
      <c r="A5" s="408"/>
      <c r="B5" s="409"/>
      <c r="C5" s="410"/>
      <c r="D5" s="427"/>
      <c r="E5" s="319"/>
      <c r="F5" s="5"/>
      <c r="G5" s="5"/>
      <c r="H5" s="5"/>
      <c r="I5" s="5"/>
      <c r="J5" s="69"/>
      <c r="K5" s="5"/>
      <c r="L5" s="70"/>
      <c r="M5" s="71"/>
      <c r="N5" s="320"/>
      <c r="O5" s="4"/>
    </row>
    <row r="6" spans="1:17">
      <c r="A6" s="6" t="s">
        <v>17</v>
      </c>
      <c r="B6" s="7">
        <f>SUM(B8:B18)</f>
        <v>4518182</v>
      </c>
      <c r="C6" s="421">
        <f>SUM(C8:C18)</f>
        <v>1300764</v>
      </c>
      <c r="D6" s="428">
        <f>SUM(D8:D18)</f>
        <v>1651414</v>
      </c>
      <c r="E6" s="274">
        <f>SUM(E8:E18)</f>
        <v>433766</v>
      </c>
      <c r="F6" s="9">
        <f t="shared" ref="F6:I6" si="0">SUM(F8:F17)</f>
        <v>179216</v>
      </c>
      <c r="G6" s="9">
        <f t="shared" si="0"/>
        <v>178752</v>
      </c>
      <c r="H6" s="9">
        <f t="shared" si="0"/>
        <v>29623</v>
      </c>
      <c r="I6" s="9">
        <f t="shared" si="0"/>
        <v>34760</v>
      </c>
      <c r="J6" s="9"/>
      <c r="K6" s="72"/>
      <c r="L6" s="72"/>
      <c r="M6" s="72"/>
      <c r="N6" s="275"/>
      <c r="O6" s="73">
        <f>+D6/C6</f>
        <v>1.2695723436380466</v>
      </c>
      <c r="P6" s="1014"/>
    </row>
    <row r="7" spans="1:17">
      <c r="A7" s="386" t="s">
        <v>18</v>
      </c>
      <c r="B7" s="387"/>
      <c r="C7" s="422"/>
      <c r="D7" s="429"/>
      <c r="E7" s="286">
        <f>SUM(F7:J7)</f>
        <v>0</v>
      </c>
      <c r="F7" s="12"/>
      <c r="G7" s="12"/>
      <c r="H7" s="12"/>
      <c r="I7" s="12"/>
      <c r="J7" s="12"/>
      <c r="K7" s="28"/>
      <c r="L7" s="28"/>
      <c r="M7" s="28"/>
      <c r="N7" s="277"/>
      <c r="O7" s="468"/>
      <c r="P7" s="1014"/>
    </row>
    <row r="8" spans="1:17">
      <c r="A8" s="388" t="s">
        <v>19</v>
      </c>
      <c r="B8" s="387"/>
      <c r="C8" s="422"/>
      <c r="D8" s="430"/>
      <c r="E8" s="286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278"/>
      <c r="O8" s="468"/>
      <c r="P8" s="3"/>
    </row>
    <row r="9" spans="1:17">
      <c r="A9" s="386" t="s">
        <v>120</v>
      </c>
      <c r="B9" s="14">
        <f>715133+126685+111732+106510+95851+111311</f>
        <v>1267222</v>
      </c>
      <c r="C9" s="422">
        <v>393464</v>
      </c>
      <c r="D9" s="429">
        <f>108077+85467+113186+113042</f>
        <v>419772</v>
      </c>
      <c r="E9" s="286">
        <f t="shared" si="1"/>
        <v>113042</v>
      </c>
      <c r="F9" s="13">
        <v>42090</v>
      </c>
      <c r="G9" s="13">
        <v>42696</v>
      </c>
      <c r="H9" s="13">
        <v>11676</v>
      </c>
      <c r="I9" s="13">
        <v>16580</v>
      </c>
      <c r="J9" s="12"/>
      <c r="K9" s="28"/>
      <c r="L9" s="28"/>
      <c r="M9" s="22"/>
      <c r="N9" s="278"/>
      <c r="O9" s="468">
        <f t="shared" ref="O9:O67" si="2">+D9/C9</f>
        <v>1.0668625338023301</v>
      </c>
      <c r="P9" s="111"/>
    </row>
    <row r="10" spans="1:17">
      <c r="A10" s="386" t="s">
        <v>20</v>
      </c>
      <c r="B10" s="14">
        <v>1272859</v>
      </c>
      <c r="C10" s="422">
        <v>325328</v>
      </c>
      <c r="D10" s="431">
        <f>148719+103732+138638+114388</f>
        <v>505477</v>
      </c>
      <c r="E10" s="286">
        <f t="shared" si="1"/>
        <v>114388</v>
      </c>
      <c r="F10" s="15">
        <v>52399</v>
      </c>
      <c r="G10" s="15">
        <v>61989</v>
      </c>
      <c r="H10" s="16"/>
      <c r="I10" s="16"/>
      <c r="J10" s="75"/>
      <c r="K10" s="76">
        <f>7464+7196</f>
        <v>14660</v>
      </c>
      <c r="L10" s="76">
        <f>2121+779</f>
        <v>2900</v>
      </c>
      <c r="M10" s="77"/>
      <c r="N10" s="278"/>
      <c r="O10" s="468">
        <f t="shared" si="2"/>
        <v>1.5537457581271825</v>
      </c>
      <c r="P10" s="78"/>
    </row>
    <row r="11" spans="1:17">
      <c r="A11" s="386" t="s">
        <v>21</v>
      </c>
      <c r="B11" s="14"/>
      <c r="C11" s="422"/>
      <c r="D11" s="431"/>
      <c r="E11" s="286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468"/>
      <c r="P11" s="78"/>
    </row>
    <row r="12" spans="1:17">
      <c r="A12" s="386" t="s">
        <v>22</v>
      </c>
      <c r="B12" s="14">
        <v>491959</v>
      </c>
      <c r="C12" s="422">
        <v>158796</v>
      </c>
      <c r="D12" s="431">
        <f>39231+38035+45839+55212</f>
        <v>178317</v>
      </c>
      <c r="E12" s="286">
        <f t="shared" si="1"/>
        <v>55212</v>
      </c>
      <c r="F12" s="13">
        <v>28482</v>
      </c>
      <c r="G12" s="13">
        <v>24879</v>
      </c>
      <c r="H12" s="13">
        <v>1284</v>
      </c>
      <c r="I12" s="13">
        <v>567</v>
      </c>
      <c r="J12" s="13"/>
      <c r="K12" s="22">
        <f>7787+3629+242+85</f>
        <v>11743</v>
      </c>
      <c r="L12" s="22">
        <f>29+3020+242+6</f>
        <v>3297</v>
      </c>
      <c r="M12" s="22">
        <v>0</v>
      </c>
      <c r="N12" s="278">
        <v>0</v>
      </c>
      <c r="O12" s="468">
        <f t="shared" si="2"/>
        <v>1.1229313080934029</v>
      </c>
      <c r="P12" s="79"/>
    </row>
    <row r="13" spans="1:17">
      <c r="A13" s="388" t="s">
        <v>23</v>
      </c>
      <c r="B13" s="14">
        <v>149160</v>
      </c>
      <c r="C13" s="422">
        <v>122737</v>
      </c>
      <c r="D13" s="431">
        <v>0</v>
      </c>
      <c r="E13" s="286">
        <f t="shared" si="1"/>
        <v>0</v>
      </c>
      <c r="F13" s="13"/>
      <c r="G13" s="13"/>
      <c r="H13" s="13"/>
      <c r="I13" s="13"/>
      <c r="J13" s="13"/>
      <c r="K13" s="22"/>
      <c r="L13" s="22"/>
      <c r="M13" s="22"/>
      <c r="N13" s="278"/>
      <c r="O13" s="468"/>
      <c r="P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422">
        <v>190918</v>
      </c>
      <c r="D14" s="429">
        <f>107401+71667+97692+112321</f>
        <v>389081</v>
      </c>
      <c r="E14" s="286">
        <f t="shared" si="1"/>
        <v>112321</v>
      </c>
      <c r="F14" s="18">
        <v>56245</v>
      </c>
      <c r="G14" s="18">
        <v>49188</v>
      </c>
      <c r="H14" s="18">
        <v>3248</v>
      </c>
      <c r="I14" s="18">
        <v>3640</v>
      </c>
      <c r="J14" s="18"/>
      <c r="K14" s="80">
        <f>12240+9149+672+962</f>
        <v>23023</v>
      </c>
      <c r="L14" s="80">
        <f>1231+4145+70+46</f>
        <v>5492</v>
      </c>
      <c r="M14" s="80">
        <v>4808</v>
      </c>
      <c r="N14" s="279">
        <v>452</v>
      </c>
      <c r="O14" s="468">
        <f t="shared" si="2"/>
        <v>2.0379482290826427</v>
      </c>
      <c r="P14" s="79"/>
    </row>
    <row r="15" spans="1:17">
      <c r="A15" s="386" t="s">
        <v>25</v>
      </c>
      <c r="B15" s="14">
        <f>6147+7479+7850+9613+8350+10297+8331+8950+9929+9191+7491+7125</f>
        <v>100753</v>
      </c>
      <c r="C15" s="422">
        <v>31089</v>
      </c>
      <c r="D15" s="429">
        <f>5818+3471+4879+3146</f>
        <v>17314</v>
      </c>
      <c r="E15" s="286">
        <f t="shared" si="1"/>
        <v>3146</v>
      </c>
      <c r="F15" s="13"/>
      <c r="G15" s="13"/>
      <c r="H15" s="13">
        <v>1502</v>
      </c>
      <c r="I15" s="13">
        <v>1644</v>
      </c>
      <c r="J15" s="13"/>
      <c r="K15" s="81">
        <v>678</v>
      </c>
      <c r="L15" s="22">
        <f>283+670</f>
        <v>953</v>
      </c>
      <c r="M15" s="22"/>
      <c r="N15" s="278">
        <v>3146</v>
      </c>
      <c r="O15" s="468">
        <f t="shared" si="2"/>
        <v>0.55691723760815726</v>
      </c>
      <c r="P15" s="79"/>
    </row>
    <row r="16" spans="1:17">
      <c r="A16" s="386" t="s">
        <v>26</v>
      </c>
      <c r="B16" s="14">
        <f>540+350</f>
        <v>890</v>
      </c>
      <c r="C16" s="422">
        <v>0</v>
      </c>
      <c r="D16" s="429">
        <f>528</f>
        <v>528</v>
      </c>
      <c r="E16" s="286">
        <v>44</v>
      </c>
      <c r="F16" s="13"/>
      <c r="G16" s="13"/>
      <c r="H16" s="13"/>
      <c r="I16" s="13"/>
      <c r="J16" s="13"/>
      <c r="K16" s="28"/>
      <c r="L16" s="36"/>
      <c r="M16" s="22"/>
      <c r="N16" s="278"/>
      <c r="O16" s="468"/>
      <c r="P16" s="78"/>
    </row>
    <row r="17" spans="1:16">
      <c r="A17" s="386" t="s">
        <v>27</v>
      </c>
      <c r="B17" s="391">
        <f>14801+21013+19343+20052+25339+15490+23521+25450+24091+25115+25902+30182</f>
        <v>270299</v>
      </c>
      <c r="C17" s="519">
        <v>75209</v>
      </c>
      <c r="D17" s="432">
        <f>29509+14652+23209+24242</f>
        <v>91612</v>
      </c>
      <c r="E17" s="286">
        <f t="shared" si="1"/>
        <v>24242</v>
      </c>
      <c r="F17" s="13"/>
      <c r="G17" s="13"/>
      <c r="H17" s="13">
        <v>11913</v>
      </c>
      <c r="I17" s="13">
        <v>12329</v>
      </c>
      <c r="J17" s="13"/>
      <c r="K17" s="22">
        <v>7162</v>
      </c>
      <c r="L17" s="22">
        <f>214+1539</f>
        <v>1753</v>
      </c>
      <c r="M17" s="22"/>
      <c r="N17" s="278"/>
      <c r="O17" s="468">
        <f t="shared" si="2"/>
        <v>1.2180988977383025</v>
      </c>
      <c r="P17" s="79"/>
    </row>
    <row r="18" spans="1:16" ht="15" thickBot="1">
      <c r="A18" s="402" t="s">
        <v>136</v>
      </c>
      <c r="B18" s="403">
        <v>67816</v>
      </c>
      <c r="C18" s="413">
        <v>3223</v>
      </c>
      <c r="D18" s="433">
        <f>37942+11371</f>
        <v>49313</v>
      </c>
      <c r="E18" s="404">
        <v>11371</v>
      </c>
      <c r="F18" s="202"/>
      <c r="G18" s="202"/>
      <c r="H18" s="202"/>
      <c r="I18" s="202"/>
      <c r="J18" s="202"/>
      <c r="K18" s="203"/>
      <c r="L18" s="203"/>
      <c r="M18" s="203"/>
      <c r="N18" s="283"/>
      <c r="O18" s="469"/>
      <c r="P18" s="79"/>
    </row>
    <row r="19" spans="1:16" ht="15.6">
      <c r="A19" s="490" t="s">
        <v>29</v>
      </c>
      <c r="B19" s="491">
        <v>633659</v>
      </c>
      <c r="C19" s="533">
        <v>153559</v>
      </c>
      <c r="D19" s="539">
        <f>161928+54011</f>
        <v>215939</v>
      </c>
      <c r="E19" s="492">
        <v>54011</v>
      </c>
      <c r="F19" s="193"/>
      <c r="G19" s="194"/>
      <c r="H19" s="194"/>
      <c r="I19" s="194"/>
      <c r="J19" s="194"/>
      <c r="K19" s="194"/>
      <c r="L19" s="194"/>
      <c r="M19" s="194"/>
      <c r="N19" s="284"/>
      <c r="O19" s="468">
        <f t="shared" si="2"/>
        <v>1.4062282249819287</v>
      </c>
      <c r="P19" s="78"/>
    </row>
    <row r="20" spans="1:16" ht="15.6">
      <c r="A20" s="493" t="s">
        <v>134</v>
      </c>
      <c r="B20" s="494">
        <v>255481</v>
      </c>
      <c r="C20" s="534">
        <v>62895</v>
      </c>
      <c r="D20" s="540">
        <v>86240</v>
      </c>
      <c r="E20" s="495">
        <v>21101</v>
      </c>
      <c r="F20" s="21"/>
      <c r="G20" s="22"/>
      <c r="H20" s="22"/>
      <c r="I20" s="22"/>
      <c r="J20" s="22"/>
      <c r="K20" s="22"/>
      <c r="L20" s="22"/>
      <c r="M20" s="22"/>
      <c r="N20" s="278"/>
      <c r="O20" s="468">
        <f t="shared" si="2"/>
        <v>1.3711741791875347</v>
      </c>
      <c r="P20" s="82"/>
    </row>
    <row r="21" spans="1:16" ht="15.6">
      <c r="A21" s="493" t="s">
        <v>31</v>
      </c>
      <c r="B21" s="494">
        <v>92242</v>
      </c>
      <c r="C21" s="534">
        <v>36650</v>
      </c>
      <c r="D21" s="540">
        <f>15392+5518</f>
        <v>20910</v>
      </c>
      <c r="E21" s="495">
        <v>5518</v>
      </c>
      <c r="F21" s="21"/>
      <c r="G21" s="22"/>
      <c r="H21" s="22"/>
      <c r="I21" s="22"/>
      <c r="J21" s="22"/>
      <c r="K21" s="22"/>
      <c r="L21" s="22"/>
      <c r="M21" s="22"/>
      <c r="N21" s="278"/>
      <c r="O21" s="468">
        <f t="shared" si="2"/>
        <v>0.57053206002728518</v>
      </c>
      <c r="P21" s="83"/>
    </row>
    <row r="22" spans="1:16" ht="15.6">
      <c r="A22" s="493" t="s">
        <v>32</v>
      </c>
      <c r="B22" s="494">
        <v>400078</v>
      </c>
      <c r="C22" s="534">
        <v>87163</v>
      </c>
      <c r="D22" s="540">
        <f>36183+30507+38929+42926</f>
        <v>148545</v>
      </c>
      <c r="E22" s="495">
        <v>42926</v>
      </c>
      <c r="F22" s="21"/>
      <c r="G22" s="22"/>
      <c r="H22" s="22"/>
      <c r="I22" s="22"/>
      <c r="J22" s="22"/>
      <c r="K22" s="22"/>
      <c r="L22" s="22"/>
      <c r="M22" s="22"/>
      <c r="N22" s="278"/>
      <c r="O22" s="468">
        <f t="shared" si="2"/>
        <v>1.7042208276447575</v>
      </c>
      <c r="P22" s="470"/>
    </row>
    <row r="23" spans="1:16" ht="15.6">
      <c r="A23" s="493" t="s">
        <v>33</v>
      </c>
      <c r="B23" s="496">
        <v>171077</v>
      </c>
      <c r="C23" s="534">
        <v>42937</v>
      </c>
      <c r="D23" s="540">
        <v>60794</v>
      </c>
      <c r="E23" s="495">
        <v>11357</v>
      </c>
      <c r="F23" s="21"/>
      <c r="G23" s="22"/>
      <c r="H23" s="22"/>
      <c r="I23" s="22"/>
      <c r="J23" s="22"/>
      <c r="K23" s="22"/>
      <c r="L23" s="22"/>
      <c r="M23" s="22"/>
      <c r="N23" s="278"/>
      <c r="O23" s="468">
        <f t="shared" si="2"/>
        <v>1.4158883946246827</v>
      </c>
      <c r="P23" s="470"/>
    </row>
    <row r="24" spans="1:16" ht="15.6">
      <c r="A24" s="493" t="s">
        <v>34</v>
      </c>
      <c r="B24" s="496">
        <v>270677</v>
      </c>
      <c r="C24" s="534">
        <v>93350</v>
      </c>
      <c r="D24" s="540">
        <f>22071+9654+13100+21751</f>
        <v>66576</v>
      </c>
      <c r="E24" s="495">
        <v>21751</v>
      </c>
      <c r="F24" s="22"/>
      <c r="G24" s="22"/>
      <c r="H24" s="25"/>
      <c r="I24" s="22"/>
      <c r="J24" s="22"/>
      <c r="K24" s="22"/>
      <c r="L24" s="22"/>
      <c r="M24" s="22"/>
      <c r="N24" s="278"/>
      <c r="O24" s="468">
        <f t="shared" si="2"/>
        <v>0.71318693090519547</v>
      </c>
      <c r="P24" s="470"/>
    </row>
    <row r="25" spans="1:16">
      <c r="A25" s="497" t="s">
        <v>135</v>
      </c>
      <c r="B25" s="489"/>
      <c r="C25" s="535"/>
      <c r="D25" s="541">
        <f>3457+12735</f>
        <v>16192</v>
      </c>
      <c r="E25" s="498">
        <v>16192</v>
      </c>
      <c r="F25" s="28"/>
      <c r="G25" s="28"/>
      <c r="H25" s="28"/>
      <c r="I25" s="28"/>
      <c r="J25" s="28"/>
      <c r="K25" s="28"/>
      <c r="L25" s="28"/>
      <c r="M25" s="28"/>
      <c r="N25" s="277"/>
      <c r="O25" s="468"/>
      <c r="P25" s="470"/>
    </row>
    <row r="26" spans="1:16">
      <c r="A26" s="472"/>
      <c r="B26" s="471"/>
      <c r="C26" s="471"/>
      <c r="D26" s="542"/>
      <c r="E26" s="471"/>
      <c r="F26" s="28"/>
      <c r="G26" s="28"/>
      <c r="H26" s="28"/>
      <c r="I26" s="28"/>
      <c r="J26" s="28"/>
      <c r="K26" s="28"/>
      <c r="L26" s="28"/>
      <c r="M26" s="28"/>
      <c r="N26" s="277"/>
      <c r="O26" s="468"/>
      <c r="P26" s="470"/>
    </row>
    <row r="27" spans="1:16">
      <c r="A27" s="472"/>
      <c r="B27" s="471"/>
      <c r="C27" s="536"/>
      <c r="D27" s="543"/>
      <c r="E27" s="473"/>
      <c r="F27" s="28"/>
      <c r="G27" s="28"/>
      <c r="H27" s="28"/>
      <c r="I27" s="28"/>
      <c r="J27" s="28"/>
      <c r="K27" s="28"/>
      <c r="L27" s="28"/>
      <c r="M27" s="28"/>
      <c r="N27" s="277"/>
      <c r="O27" s="468"/>
      <c r="P27" s="470"/>
    </row>
    <row r="28" spans="1:16">
      <c r="A28" s="6" t="s">
        <v>35</v>
      </c>
      <c r="B28" s="7">
        <f>SUM(B29:B32)</f>
        <v>860026</v>
      </c>
      <c r="C28" s="421">
        <f t="shared" ref="C28" si="3">SUM(C29:C32)</f>
        <v>267214</v>
      </c>
      <c r="D28" s="435">
        <f>SUM(D29:D32)</f>
        <v>320362</v>
      </c>
      <c r="E28" s="274">
        <f t="shared" ref="E28:L28" si="4">SUM(E29:E32)</f>
        <v>82406</v>
      </c>
      <c r="F28" s="9">
        <f t="shared" si="4"/>
        <v>28771</v>
      </c>
      <c r="G28" s="9">
        <f t="shared" si="4"/>
        <v>33832</v>
      </c>
      <c r="H28" s="9">
        <f t="shared" si="4"/>
        <v>11638</v>
      </c>
      <c r="I28" s="9">
        <f t="shared" si="4"/>
        <v>8165</v>
      </c>
      <c r="J28" s="9">
        <f t="shared" si="4"/>
        <v>0</v>
      </c>
      <c r="K28" s="72">
        <f t="shared" si="4"/>
        <v>13434</v>
      </c>
      <c r="L28" s="72">
        <f t="shared" si="4"/>
        <v>4788</v>
      </c>
      <c r="M28" s="72"/>
      <c r="N28" s="275">
        <f>SUM(N29:N32)</f>
        <v>0</v>
      </c>
      <c r="O28" s="73">
        <f t="shared" si="2"/>
        <v>1.1988967643910873</v>
      </c>
      <c r="P28" s="474"/>
    </row>
    <row r="29" spans="1:16">
      <c r="A29" s="386" t="s">
        <v>36</v>
      </c>
      <c r="B29" s="389">
        <f>30481+3346</f>
        <v>33827</v>
      </c>
      <c r="C29" s="515">
        <v>10163</v>
      </c>
      <c r="D29" s="436">
        <f>4188+2189+2953+3363</f>
        <v>12693</v>
      </c>
      <c r="E29" s="286">
        <f t="shared" ref="E29:E31" si="5">SUM(F29:J29)</f>
        <v>3363</v>
      </c>
      <c r="F29" s="13"/>
      <c r="G29" s="13"/>
      <c r="H29" s="13">
        <v>1788</v>
      </c>
      <c r="I29" s="13">
        <v>1575</v>
      </c>
      <c r="J29" s="12"/>
      <c r="K29" s="22">
        <v>1471</v>
      </c>
      <c r="L29" s="22">
        <f>1027+1</f>
        <v>1028</v>
      </c>
      <c r="M29" s="22"/>
      <c r="N29" s="278"/>
      <c r="O29" s="468">
        <f t="shared" si="2"/>
        <v>1.2489422414641347</v>
      </c>
      <c r="P29" s="474"/>
    </row>
    <row r="30" spans="1:16">
      <c r="A30" s="31" t="s">
        <v>37</v>
      </c>
      <c r="B30" s="389">
        <v>675254</v>
      </c>
      <c r="C30" s="523">
        <v>202656</v>
      </c>
      <c r="D30" s="436">
        <f>64505+48073+62185+62452</f>
        <v>237215</v>
      </c>
      <c r="E30" s="286">
        <f t="shared" si="5"/>
        <v>62452</v>
      </c>
      <c r="F30" s="33">
        <v>22899</v>
      </c>
      <c r="G30" s="33">
        <v>25053</v>
      </c>
      <c r="H30" s="33">
        <v>7988</v>
      </c>
      <c r="I30" s="33">
        <v>6512</v>
      </c>
      <c r="J30" s="41"/>
      <c r="K30" s="52">
        <f>4375+3715+1553+1004</f>
        <v>10647</v>
      </c>
      <c r="L30" s="52">
        <f>384+1560+389+788</f>
        <v>3121</v>
      </c>
      <c r="M30" s="28"/>
      <c r="N30" s="277"/>
      <c r="O30" s="468">
        <f t="shared" si="2"/>
        <v>1.1705303568608874</v>
      </c>
    </row>
    <row r="31" spans="1:16">
      <c r="A31" s="31" t="s">
        <v>38</v>
      </c>
      <c r="B31" s="392">
        <f>120488+12239+18218</f>
        <v>150945</v>
      </c>
      <c r="C31" s="524">
        <v>54395</v>
      </c>
      <c r="D31" s="437">
        <f>22490+11900+19473+16591</f>
        <v>70454</v>
      </c>
      <c r="E31" s="286">
        <f t="shared" si="5"/>
        <v>16591</v>
      </c>
      <c r="F31" s="33">
        <v>5872</v>
      </c>
      <c r="G31" s="33">
        <v>8779</v>
      </c>
      <c r="H31" s="33">
        <v>1862</v>
      </c>
      <c r="I31" s="33">
        <v>78</v>
      </c>
      <c r="J31" s="12"/>
      <c r="K31" s="87">
        <f>177+991+79+69</f>
        <v>1316</v>
      </c>
      <c r="L31" s="87">
        <f>437+8+189+5</f>
        <v>639</v>
      </c>
      <c r="M31" s="22">
        <v>0</v>
      </c>
      <c r="N31" s="278">
        <v>0</v>
      </c>
      <c r="O31" s="468">
        <f t="shared" si="2"/>
        <v>1.295229340932071</v>
      </c>
    </row>
    <row r="32" spans="1:16">
      <c r="A32" s="31" t="s">
        <v>39</v>
      </c>
      <c r="B32" s="14">
        <v>0</v>
      </c>
      <c r="C32" s="422"/>
      <c r="D32" s="429"/>
      <c r="E32" s="286">
        <f t="shared" ref="E32" si="6">F32+G32+H32+I32+J32</f>
        <v>0</v>
      </c>
      <c r="F32" s="13"/>
      <c r="G32" s="13"/>
      <c r="H32" s="13"/>
      <c r="I32" s="13"/>
      <c r="J32" s="13"/>
      <c r="K32" s="22"/>
      <c r="L32" s="22"/>
      <c r="M32" s="22"/>
      <c r="N32" s="278"/>
      <c r="O32" s="468"/>
    </row>
    <row r="33" spans="1:16">
      <c r="A33" s="31"/>
      <c r="B33" s="475"/>
      <c r="C33" s="422"/>
      <c r="D33" s="383"/>
      <c r="E33" s="287"/>
      <c r="F33" s="36"/>
      <c r="G33" s="36"/>
      <c r="H33" s="36"/>
      <c r="I33" s="36"/>
      <c r="J33" s="36"/>
      <c r="K33" s="36"/>
      <c r="L33" s="36"/>
      <c r="M33" s="36"/>
      <c r="N33" s="288"/>
      <c r="O33" s="468"/>
    </row>
    <row r="34" spans="1:16">
      <c r="A34" s="6" t="s">
        <v>40</v>
      </c>
      <c r="B34" s="7">
        <f>SUM(B35:B45)</f>
        <v>8314054</v>
      </c>
      <c r="C34" s="421">
        <f t="shared" ref="C34" si="7">SUM(C35:C45)</f>
        <v>2559334</v>
      </c>
      <c r="D34" s="435">
        <f>SUM(D35:D45)</f>
        <v>2898765</v>
      </c>
      <c r="E34" s="274">
        <f t="shared" ref="E34:N34" si="8">SUM(E35:E45)</f>
        <v>784719</v>
      </c>
      <c r="F34" s="9">
        <f t="shared" si="8"/>
        <v>338620</v>
      </c>
      <c r="G34" s="9">
        <f t="shared" si="8"/>
        <v>295109</v>
      </c>
      <c r="H34" s="9">
        <f t="shared" si="8"/>
        <v>74547</v>
      </c>
      <c r="I34" s="9">
        <f t="shared" si="8"/>
        <v>75579</v>
      </c>
      <c r="J34" s="9">
        <f t="shared" si="8"/>
        <v>864</v>
      </c>
      <c r="K34" s="72">
        <f t="shared" si="8"/>
        <v>198553</v>
      </c>
      <c r="L34" s="72">
        <f t="shared" si="8"/>
        <v>68115</v>
      </c>
      <c r="M34" s="72">
        <f t="shared" si="8"/>
        <v>325</v>
      </c>
      <c r="N34" s="275">
        <f t="shared" si="8"/>
        <v>62104</v>
      </c>
      <c r="O34" s="73">
        <f t="shared" si="2"/>
        <v>1.132624737529373</v>
      </c>
    </row>
    <row r="35" spans="1:16">
      <c r="A35" s="386" t="s">
        <v>41</v>
      </c>
      <c r="B35" s="14">
        <f>439746+58130+61049</f>
        <v>558925</v>
      </c>
      <c r="C35" s="422">
        <v>160002</v>
      </c>
      <c r="D35" s="429">
        <f>176793+71526</f>
        <v>248319</v>
      </c>
      <c r="E35" s="286">
        <f t="shared" ref="E35:E44" si="9">SUM(F35:J35)</f>
        <v>71526</v>
      </c>
      <c r="F35" s="13">
        <v>19960</v>
      </c>
      <c r="G35" s="13">
        <v>51566</v>
      </c>
      <c r="H35" s="13"/>
      <c r="I35" s="13"/>
      <c r="J35" s="13"/>
      <c r="K35" s="88"/>
      <c r="L35" s="88"/>
      <c r="M35" s="88"/>
      <c r="N35" s="289"/>
      <c r="O35" s="468">
        <f t="shared" si="2"/>
        <v>1.5519743503206209</v>
      </c>
    </row>
    <row r="36" spans="1:16">
      <c r="A36" s="386" t="s">
        <v>42</v>
      </c>
      <c r="B36" s="14">
        <f>506252+63971</f>
        <v>570223</v>
      </c>
      <c r="C36" s="422">
        <v>151336</v>
      </c>
      <c r="D36" s="429">
        <f>58796+40986+58237+58418</f>
        <v>216437</v>
      </c>
      <c r="E36" s="286">
        <f t="shared" si="9"/>
        <v>58418</v>
      </c>
      <c r="F36" s="151"/>
      <c r="G36" s="151"/>
      <c r="H36" s="13">
        <v>10441</v>
      </c>
      <c r="I36" s="13">
        <v>47977</v>
      </c>
      <c r="J36" s="13"/>
      <c r="K36" s="88">
        <f>68+1725</f>
        <v>1793</v>
      </c>
      <c r="L36" s="88">
        <f>257+0</f>
        <v>257</v>
      </c>
      <c r="M36" s="88">
        <v>128</v>
      </c>
      <c r="N36" s="289">
        <v>58418</v>
      </c>
      <c r="O36" s="468">
        <f t="shared" si="2"/>
        <v>1.4301752392028335</v>
      </c>
    </row>
    <row r="37" spans="1:16">
      <c r="A37" s="386" t="s">
        <v>43</v>
      </c>
      <c r="B37" s="464">
        <f>42017+51282+45948+47390+55304+49234+45680+47437+43911+34616+30188+41910</f>
        <v>534917</v>
      </c>
      <c r="C37" s="537">
        <v>186637</v>
      </c>
      <c r="D37" s="466">
        <f>43919+38655+49389+49920</f>
        <v>181883</v>
      </c>
      <c r="E37" s="286">
        <f t="shared" si="9"/>
        <v>49920</v>
      </c>
      <c r="F37" s="13">
        <v>20373</v>
      </c>
      <c r="G37" s="13">
        <v>23783</v>
      </c>
      <c r="H37" s="13">
        <v>2526</v>
      </c>
      <c r="I37" s="291">
        <v>2422</v>
      </c>
      <c r="J37" s="13">
        <v>816</v>
      </c>
      <c r="K37" s="88">
        <f>1224+7305+622+401+54</f>
        <v>9606</v>
      </c>
      <c r="L37" s="88">
        <f>1224+138+46+1+198</f>
        <v>1607</v>
      </c>
      <c r="M37" s="88"/>
      <c r="N37" s="289">
        <v>1876</v>
      </c>
      <c r="O37" s="452">
        <f t="shared" si="2"/>
        <v>0.97452809464361301</v>
      </c>
      <c r="P37" s="385"/>
    </row>
    <row r="38" spans="1:16">
      <c r="A38" s="31" t="s">
        <v>44</v>
      </c>
      <c r="B38" s="393">
        <f>154869+18461+17185+18184+22072</f>
        <v>230771</v>
      </c>
      <c r="C38" s="526">
        <v>58532</v>
      </c>
      <c r="D38" s="449">
        <f>20214+11681+23581+25619</f>
        <v>81095</v>
      </c>
      <c r="E38" s="286">
        <f t="shared" si="9"/>
        <v>25619</v>
      </c>
      <c r="F38" s="13"/>
      <c r="G38" s="13"/>
      <c r="H38" s="13">
        <v>13073</v>
      </c>
      <c r="I38" s="13">
        <v>12546</v>
      </c>
      <c r="J38" s="89"/>
      <c r="K38" s="90">
        <f>3260+2945</f>
        <v>6205</v>
      </c>
      <c r="L38" s="88">
        <f>735+719</f>
        <v>1454</v>
      </c>
      <c r="M38" s="88">
        <v>197</v>
      </c>
      <c r="N38" s="289">
        <v>0</v>
      </c>
      <c r="O38" s="468">
        <f t="shared" si="2"/>
        <v>1.3854814460466069</v>
      </c>
    </row>
    <row r="39" spans="1:16">
      <c r="A39" s="31" t="s">
        <v>45</v>
      </c>
      <c r="B39" s="394">
        <f>50925+32855+32535+28886+28236+30552+33558+32390+29858+33841+31383</f>
        <v>365019</v>
      </c>
      <c r="C39" s="527">
        <v>116315</v>
      </c>
      <c r="D39" s="450">
        <f>36191+20920+29070+23929</f>
        <v>110110</v>
      </c>
      <c r="E39" s="286">
        <f t="shared" si="9"/>
        <v>23929</v>
      </c>
      <c r="F39" s="292"/>
      <c r="G39" s="293"/>
      <c r="H39" s="41">
        <v>12388</v>
      </c>
      <c r="I39" s="12">
        <v>11541</v>
      </c>
      <c r="J39" s="13"/>
      <c r="K39" s="52">
        <f>4187+3694</f>
        <v>7881</v>
      </c>
      <c r="L39" s="22">
        <f>169+217</f>
        <v>386</v>
      </c>
      <c r="M39" s="22"/>
      <c r="N39" s="278"/>
      <c r="O39" s="468">
        <f t="shared" si="2"/>
        <v>0.94665348407342131</v>
      </c>
    </row>
    <row r="40" spans="1:16">
      <c r="A40" s="31" t="s">
        <v>46</v>
      </c>
      <c r="B40" s="394">
        <f>5696+3958+5815+9110+7468+13154+12856+16704+16494+13524+11707+13991</f>
        <v>130477</v>
      </c>
      <c r="C40" s="527">
        <v>24579</v>
      </c>
      <c r="D40" s="450">
        <f>12008+9467+14763+14113</f>
        <v>50351</v>
      </c>
      <c r="E40" s="286">
        <f t="shared" si="9"/>
        <v>14113</v>
      </c>
      <c r="F40" s="13">
        <v>4135</v>
      </c>
      <c r="G40" s="13">
        <v>7885</v>
      </c>
      <c r="H40" s="13">
        <v>952</v>
      </c>
      <c r="I40" s="13">
        <v>1093</v>
      </c>
      <c r="J40" s="13">
        <v>48</v>
      </c>
      <c r="K40" s="22">
        <v>5853</v>
      </c>
      <c r="L40" s="22">
        <f>920+4510+384+534+48</f>
        <v>6396</v>
      </c>
      <c r="M40" s="88"/>
      <c r="N40" s="289">
        <v>11</v>
      </c>
      <c r="O40" s="468">
        <f t="shared" si="2"/>
        <v>2.048537369298995</v>
      </c>
    </row>
    <row r="41" spans="1:16">
      <c r="A41" s="31" t="s">
        <v>47</v>
      </c>
      <c r="B41" s="394">
        <f>372397+393542+480876+438506+433683+444706+469051+460647+432596+460939+470477+474708</f>
        <v>5332128</v>
      </c>
      <c r="C41" s="527">
        <v>1685321</v>
      </c>
      <c r="D41" s="450">
        <f>492323+373517+489518+501319</f>
        <v>1856677</v>
      </c>
      <c r="E41" s="286">
        <f t="shared" si="9"/>
        <v>501319</v>
      </c>
      <c r="F41" s="13">
        <v>290627</v>
      </c>
      <c r="G41" s="13">
        <v>210692</v>
      </c>
      <c r="H41" s="13"/>
      <c r="I41" s="12"/>
      <c r="J41" s="13"/>
      <c r="K41" s="87">
        <v>166691</v>
      </c>
      <c r="L41" s="87">
        <f>38093+19602</f>
        <v>57695</v>
      </c>
      <c r="M41" s="88"/>
      <c r="N41" s="289"/>
      <c r="O41" s="468">
        <f t="shared" si="2"/>
        <v>1.1016755858379501</v>
      </c>
    </row>
    <row r="42" spans="1:16">
      <c r="A42" s="31" t="s">
        <v>48</v>
      </c>
      <c r="B42" s="394">
        <f>32440+39588+48102+43548+41412+40968+51704+51435+55440+57617+45700+41689</f>
        <v>549643</v>
      </c>
      <c r="C42" s="527">
        <v>163678</v>
      </c>
      <c r="D42" s="450">
        <f>41444+27037+39698+37856</f>
        <v>146035</v>
      </c>
      <c r="E42" s="286">
        <f t="shared" si="9"/>
        <v>37856</v>
      </c>
      <c r="F42" s="1035">
        <v>2689</v>
      </c>
      <c r="G42" s="1035"/>
      <c r="H42" s="1035">
        <v>35167</v>
      </c>
      <c r="I42" s="1035"/>
      <c r="J42" s="13"/>
      <c r="K42" s="88"/>
      <c r="L42" s="88"/>
      <c r="M42" s="88"/>
      <c r="N42" s="289"/>
      <c r="O42" s="468">
        <f t="shared" si="2"/>
        <v>0.89220909346399635</v>
      </c>
    </row>
    <row r="43" spans="1:16">
      <c r="A43" s="31" t="s">
        <v>49</v>
      </c>
      <c r="B43" s="389">
        <f>SUM(D43:G43)</f>
        <v>0</v>
      </c>
      <c r="C43" s="527">
        <v>0</v>
      </c>
      <c r="D43" s="436"/>
      <c r="E43" s="286">
        <f t="shared" si="9"/>
        <v>0</v>
      </c>
      <c r="F43" s="13"/>
      <c r="G43" s="13"/>
      <c r="H43" s="13"/>
      <c r="I43" s="13"/>
      <c r="J43" s="13"/>
      <c r="K43" s="88"/>
      <c r="L43" s="88"/>
      <c r="M43" s="88"/>
      <c r="N43" s="289"/>
      <c r="O43" s="468"/>
    </row>
    <row r="44" spans="1:16">
      <c r="A44" s="31" t="s">
        <v>50</v>
      </c>
      <c r="B44" s="395">
        <f>2388+2166+2181+2143+2735+2159+2232+3124+2401+2891+2264+3229</f>
        <v>29913</v>
      </c>
      <c r="C44" s="423">
        <v>8878</v>
      </c>
      <c r="D44" s="438">
        <f>1591+185+300+228</f>
        <v>2304</v>
      </c>
      <c r="E44" s="286">
        <f t="shared" si="9"/>
        <v>228</v>
      </c>
      <c r="F44" s="13">
        <v>131</v>
      </c>
      <c r="G44" s="13">
        <v>97</v>
      </c>
      <c r="H44" s="13"/>
      <c r="I44" s="13"/>
      <c r="J44" s="13"/>
      <c r="K44" s="88">
        <v>228</v>
      </c>
      <c r="L44" s="88">
        <f>131</f>
        <v>131</v>
      </c>
      <c r="M44" s="88"/>
      <c r="N44" s="289">
        <v>8</v>
      </c>
      <c r="O44" s="468">
        <f t="shared" si="2"/>
        <v>0.25951790943906283</v>
      </c>
    </row>
    <row r="45" spans="1:16">
      <c r="A45" s="31" t="s">
        <v>51</v>
      </c>
      <c r="B45" s="395">
        <v>12038</v>
      </c>
      <c r="C45" s="423">
        <v>4056</v>
      </c>
      <c r="D45" s="438">
        <v>5554</v>
      </c>
      <c r="E45" s="286">
        <f>SUM(F45:J45)</f>
        <v>1791</v>
      </c>
      <c r="F45" s="13">
        <v>705</v>
      </c>
      <c r="G45" s="13">
        <v>1086</v>
      </c>
      <c r="H45" s="13"/>
      <c r="I45" s="13"/>
      <c r="J45" s="91"/>
      <c r="K45" s="90">
        <f>62+234</f>
        <v>296</v>
      </c>
      <c r="L45" s="88">
        <v>189</v>
      </c>
      <c r="M45" s="88"/>
      <c r="N45" s="289">
        <v>1791</v>
      </c>
      <c r="O45" s="468">
        <f t="shared" si="2"/>
        <v>1.3693293885601578</v>
      </c>
    </row>
    <row r="46" spans="1:16" ht="17.100000000000001" customHeight="1">
      <c r="A46" s="31"/>
      <c r="B46" s="419"/>
      <c r="C46" s="423"/>
      <c r="D46" s="439"/>
      <c r="E46" s="294"/>
      <c r="F46" s="44"/>
      <c r="G46" s="44"/>
      <c r="H46" s="44"/>
      <c r="I46" s="44"/>
      <c r="J46" s="44"/>
      <c r="K46" s="44"/>
      <c r="L46" s="44"/>
      <c r="M46" s="44"/>
      <c r="N46" s="295"/>
      <c r="O46" s="468"/>
    </row>
    <row r="47" spans="1:16">
      <c r="A47" s="6" t="s">
        <v>52</v>
      </c>
      <c r="B47" s="928">
        <f>SUM(B48:B55)</f>
        <v>4797590</v>
      </c>
      <c r="C47" s="928">
        <f>SUM(C48:C55)</f>
        <v>1351944</v>
      </c>
      <c r="D47" s="936">
        <f>SUM(D48:D55)</f>
        <v>1846199</v>
      </c>
      <c r="E47" s="500">
        <f t="shared" ref="E47:G47" si="10">SUM(E48:E55)</f>
        <v>525651</v>
      </c>
      <c r="F47" s="500">
        <f t="shared" si="10"/>
        <v>222659</v>
      </c>
      <c r="G47" s="500">
        <f t="shared" si="10"/>
        <v>260130</v>
      </c>
      <c r="H47" s="9">
        <f t="shared" ref="H47:N47" si="11">SUM(H48:H55)</f>
        <v>5784</v>
      </c>
      <c r="I47" s="9">
        <f t="shared" si="11"/>
        <v>2760</v>
      </c>
      <c r="J47" s="9">
        <f t="shared" si="11"/>
        <v>34318</v>
      </c>
      <c r="K47" s="72">
        <f t="shared" si="11"/>
        <v>42451</v>
      </c>
      <c r="L47" s="72">
        <f t="shared" si="11"/>
        <v>45996</v>
      </c>
      <c r="M47" s="72">
        <f t="shared" si="11"/>
        <v>0</v>
      </c>
      <c r="N47" s="275">
        <f t="shared" si="11"/>
        <v>64955</v>
      </c>
      <c r="O47" s="73">
        <f t="shared" si="2"/>
        <v>1.3655883675655205</v>
      </c>
    </row>
    <row r="48" spans="1:16">
      <c r="A48" s="31" t="s">
        <v>53</v>
      </c>
      <c r="B48" s="14">
        <v>0</v>
      </c>
      <c r="C48" s="422">
        <v>0</v>
      </c>
      <c r="D48" s="429"/>
      <c r="E48" s="286">
        <f t="shared" ref="E48" si="12">F48+G48+H48+I48+J48</f>
        <v>0</v>
      </c>
      <c r="F48" s="13"/>
      <c r="G48" s="13"/>
      <c r="H48" s="13"/>
      <c r="I48" s="13"/>
      <c r="J48" s="13"/>
      <c r="K48" s="36"/>
      <c r="L48" s="36"/>
      <c r="M48" s="36"/>
      <c r="N48" s="288"/>
      <c r="O48" s="468"/>
    </row>
    <row r="49" spans="1:16">
      <c r="A49" s="1075" t="s">
        <v>54</v>
      </c>
      <c r="B49" s="1057">
        <f>127394+89400+147995+127434+174236+176428+189135+187087+174544+192913+163797+135579</f>
        <v>1885942</v>
      </c>
      <c r="C49" s="1077">
        <v>492223</v>
      </c>
      <c r="D49" s="1059">
        <f>152617+131920+130997+153389</f>
        <v>568923</v>
      </c>
      <c r="E49" s="1019">
        <f t="shared" ref="E49:E52" si="13">SUM(F49:J49)</f>
        <v>153389</v>
      </c>
      <c r="F49" s="1016">
        <v>62448</v>
      </c>
      <c r="G49" s="1016">
        <v>75563</v>
      </c>
      <c r="H49" s="1016">
        <v>5784</v>
      </c>
      <c r="I49" s="1016">
        <v>2352</v>
      </c>
      <c r="J49" s="1016">
        <v>7242</v>
      </c>
      <c r="K49" s="1017">
        <f>4049+9151+1054+297+973</f>
        <v>15524</v>
      </c>
      <c r="L49" s="1017">
        <f>4407+16+4+303+317</f>
        <v>5047</v>
      </c>
      <c r="M49" s="1017"/>
      <c r="N49" s="1018"/>
      <c r="O49" s="1078">
        <f t="shared" si="2"/>
        <v>1.1558236815427154</v>
      </c>
      <c r="P49" s="1080"/>
    </row>
    <row r="50" spans="1:16">
      <c r="A50" s="1076"/>
      <c r="B50" s="1058"/>
      <c r="C50" s="1077"/>
      <c r="D50" s="1060"/>
      <c r="E50" s="1020"/>
      <c r="F50" s="1016"/>
      <c r="G50" s="1016"/>
      <c r="H50" s="1016"/>
      <c r="I50" s="1016"/>
      <c r="J50" s="1016"/>
      <c r="K50" s="1017"/>
      <c r="L50" s="1017"/>
      <c r="M50" s="1017"/>
      <c r="N50" s="1018"/>
      <c r="O50" s="1079"/>
      <c r="P50" s="1080"/>
    </row>
    <row r="51" spans="1:16">
      <c r="A51" s="31" t="s">
        <v>56</v>
      </c>
      <c r="B51" s="397">
        <f>47356+52560+79724+85499+66734+68133+73487+69407+60723+61109+72181+84025</f>
        <v>820938</v>
      </c>
      <c r="C51" s="423">
        <v>265139</v>
      </c>
      <c r="D51" s="440">
        <f>97537+55586+99611+80866</f>
        <v>333600</v>
      </c>
      <c r="E51" s="286">
        <f t="shared" si="13"/>
        <v>80866</v>
      </c>
      <c r="F51" s="45">
        <v>36072</v>
      </c>
      <c r="G51" s="33">
        <v>38989</v>
      </c>
      <c r="H51" s="46"/>
      <c r="I51" s="12"/>
      <c r="J51" s="33">
        <v>5805</v>
      </c>
      <c r="K51" s="87">
        <v>9106</v>
      </c>
      <c r="L51" s="81">
        <f>23400+407+2315</f>
        <v>26122</v>
      </c>
      <c r="M51" s="36"/>
      <c r="N51" s="288">
        <v>5768</v>
      </c>
      <c r="O51" s="468">
        <f t="shared" si="2"/>
        <v>1.258207958844229</v>
      </c>
      <c r="P51" s="385"/>
    </row>
    <row r="52" spans="1:16">
      <c r="A52" s="17" t="s">
        <v>57</v>
      </c>
      <c r="B52" s="395">
        <f>38855+42860+48337+46082+47751+44611+75076+55809+60576+63502+55882+64932</f>
        <v>644273</v>
      </c>
      <c r="C52" s="423">
        <v>176134</v>
      </c>
      <c r="D52" s="438">
        <f>59734+65037+69566+76869</f>
        <v>271206</v>
      </c>
      <c r="E52" s="286">
        <f t="shared" si="13"/>
        <v>76869</v>
      </c>
      <c r="F52" s="13">
        <v>26978</v>
      </c>
      <c r="G52" s="13">
        <v>36462</v>
      </c>
      <c r="H52" s="13"/>
      <c r="I52" s="92"/>
      <c r="J52" s="13">
        <v>13429</v>
      </c>
      <c r="K52" s="22">
        <f>1915+4681+1711</f>
        <v>8307</v>
      </c>
      <c r="L52" s="22">
        <f>6909+1+26</f>
        <v>6936</v>
      </c>
      <c r="M52" s="36"/>
      <c r="N52" s="288"/>
      <c r="O52" s="468">
        <f t="shared" si="2"/>
        <v>1.5397708562798778</v>
      </c>
    </row>
    <row r="53" spans="1:16">
      <c r="A53" s="17" t="s">
        <v>58</v>
      </c>
      <c r="B53" s="395">
        <f>38927+25455+65397+44769+34250+34453+44944+60275+38990+46527+28707+33843</f>
        <v>496537</v>
      </c>
      <c r="C53" s="423">
        <v>174548</v>
      </c>
      <c r="D53" s="438">
        <f>47624+41548+39771+61527</f>
        <v>190470</v>
      </c>
      <c r="E53" s="286">
        <f>SUM(F53:J53)</f>
        <v>61527</v>
      </c>
      <c r="F53" s="13">
        <v>25251</v>
      </c>
      <c r="G53" s="13">
        <v>28026</v>
      </c>
      <c r="H53" s="13"/>
      <c r="I53" s="13">
        <v>408</v>
      </c>
      <c r="J53" s="13">
        <v>7842</v>
      </c>
      <c r="K53" s="88">
        <f>1306+6701+182+1325</f>
        <v>9514</v>
      </c>
      <c r="L53" s="88">
        <f>7421+9+461</f>
        <v>7891</v>
      </c>
      <c r="M53" s="88"/>
      <c r="N53" s="289">
        <v>59187</v>
      </c>
      <c r="O53" s="468">
        <f t="shared" si="2"/>
        <v>1.0912184613974381</v>
      </c>
      <c r="P53" s="385"/>
    </row>
    <row r="54" spans="1:16">
      <c r="A54" s="47" t="s">
        <v>59</v>
      </c>
      <c r="B54" s="905">
        <v>949900</v>
      </c>
      <c r="C54" s="929">
        <v>243900</v>
      </c>
      <c r="D54" s="930">
        <v>482000</v>
      </c>
      <c r="E54" s="598">
        <f>SUM(F54:G54)</f>
        <v>153000</v>
      </c>
      <c r="F54" s="920">
        <v>71910</v>
      </c>
      <c r="G54" s="920">
        <v>81090</v>
      </c>
      <c r="H54" s="48"/>
      <c r="I54" s="93"/>
      <c r="J54" s="94"/>
      <c r="K54" s="95"/>
      <c r="L54" s="95"/>
      <c r="M54" s="95"/>
      <c r="N54" s="296"/>
      <c r="O54" s="468">
        <f t="shared" si="2"/>
        <v>1.9762197621976221</v>
      </c>
      <c r="P54" s="96"/>
    </row>
    <row r="55" spans="1:16">
      <c r="A55" s="17" t="s">
        <v>60</v>
      </c>
      <c r="B55" s="382"/>
      <c r="C55" s="117"/>
      <c r="D55" s="441"/>
      <c r="E55" s="287"/>
      <c r="F55" s="505"/>
      <c r="G55" s="51"/>
      <c r="H55" s="52"/>
      <c r="I55" s="505"/>
      <c r="J55" s="51"/>
      <c r="K55" s="36"/>
      <c r="L55" s="36"/>
      <c r="M55" s="36"/>
      <c r="N55" s="288"/>
      <c r="O55" s="468"/>
    </row>
    <row r="56" spans="1:16">
      <c r="A56" s="17"/>
      <c r="B56" s="382"/>
      <c r="C56" s="117"/>
      <c r="D56" s="442"/>
      <c r="E56" s="287"/>
      <c r="F56" s="480"/>
      <c r="G56" s="480"/>
      <c r="H56" s="52"/>
      <c r="I56" s="28"/>
      <c r="J56" s="22"/>
      <c r="K56" s="36"/>
      <c r="L56" s="36"/>
      <c r="M56" s="36"/>
      <c r="N56" s="288"/>
      <c r="O56" s="468"/>
    </row>
    <row r="57" spans="1:16">
      <c r="A57" s="54" t="s">
        <v>61</v>
      </c>
      <c r="B57" s="218">
        <f>SUM(B58:B65)</f>
        <v>71421</v>
      </c>
      <c r="C57" s="218">
        <f>SUM(C58:C65)</f>
        <v>25799</v>
      </c>
      <c r="D57" s="443">
        <f>SUM(D58:D65)</f>
        <v>18394</v>
      </c>
      <c r="E57" s="298">
        <f t="shared" ref="E57:N57" si="14">SUM(E58:E65)</f>
        <v>6659</v>
      </c>
      <c r="F57" s="55">
        <f t="shared" si="14"/>
        <v>1497</v>
      </c>
      <c r="G57" s="55">
        <f t="shared" si="14"/>
        <v>1669</v>
      </c>
      <c r="H57" s="55">
        <f t="shared" si="14"/>
        <v>1885</v>
      </c>
      <c r="I57" s="55">
        <f t="shared" si="14"/>
        <v>1608</v>
      </c>
      <c r="J57" s="55">
        <f t="shared" si="14"/>
        <v>0</v>
      </c>
      <c r="K57" s="97">
        <f t="shared" si="14"/>
        <v>2259</v>
      </c>
      <c r="L57" s="97">
        <f t="shared" si="14"/>
        <v>2742</v>
      </c>
      <c r="M57" s="97">
        <f t="shared" si="14"/>
        <v>0</v>
      </c>
      <c r="N57" s="299">
        <f t="shared" si="14"/>
        <v>4355</v>
      </c>
      <c r="O57" s="73">
        <f t="shared" si="2"/>
        <v>0.71297337106089387</v>
      </c>
    </row>
    <row r="58" spans="1:16">
      <c r="A58" s="17" t="s">
        <v>62</v>
      </c>
      <c r="B58" s="395">
        <f>122+557+792+366+499+468+393+769+628+559+497+230</f>
        <v>5880</v>
      </c>
      <c r="C58" s="423">
        <v>1837</v>
      </c>
      <c r="D58" s="444">
        <f>335+74+675+1816</f>
        <v>2900</v>
      </c>
      <c r="E58" s="286">
        <f t="shared" ref="E58:E65" si="15">SUM(F58:J58)</f>
        <v>1816</v>
      </c>
      <c r="F58" s="291">
        <v>997</v>
      </c>
      <c r="G58" s="13">
        <v>819</v>
      </c>
      <c r="H58" s="57"/>
      <c r="I58" s="13"/>
      <c r="J58" s="13"/>
      <c r="K58" s="36">
        <f>18+111</f>
        <v>129</v>
      </c>
      <c r="L58" s="36">
        <f>87+28</f>
        <v>115</v>
      </c>
      <c r="M58" s="36"/>
      <c r="N58" s="288"/>
      <c r="O58" s="468">
        <f t="shared" si="2"/>
        <v>1.5786608600979859</v>
      </c>
    </row>
    <row r="59" spans="1:16">
      <c r="A59" s="17" t="s">
        <v>63</v>
      </c>
      <c r="B59" s="14"/>
      <c r="C59" s="422"/>
      <c r="D59" s="445"/>
      <c r="E59" s="286">
        <f t="shared" si="15"/>
        <v>0</v>
      </c>
      <c r="F59" s="58"/>
      <c r="G59" s="11"/>
      <c r="H59" s="13"/>
      <c r="I59" s="13"/>
      <c r="J59" s="13"/>
      <c r="K59" s="36"/>
      <c r="L59" s="36"/>
      <c r="M59" s="36"/>
      <c r="N59" s="288"/>
      <c r="O59" s="468"/>
    </row>
    <row r="60" spans="1:16">
      <c r="A60" s="17" t="s">
        <v>64</v>
      </c>
      <c r="B60" s="395">
        <f>774+884+1093+1806+989+1127+1587+1317+1182+1138+1729+1456</f>
        <v>15082</v>
      </c>
      <c r="C60" s="423">
        <v>4557</v>
      </c>
      <c r="D60" s="444">
        <f>1670+1062+1129+1350</f>
        <v>5211</v>
      </c>
      <c r="E60" s="286">
        <f t="shared" si="15"/>
        <v>1350</v>
      </c>
      <c r="F60" s="57">
        <v>500</v>
      </c>
      <c r="G60" s="11">
        <v>850</v>
      </c>
      <c r="H60" s="13"/>
      <c r="I60" s="13"/>
      <c r="J60" s="13"/>
      <c r="K60" s="36">
        <f>330+263</f>
        <v>593</v>
      </c>
      <c r="L60" s="36">
        <f>170+567</f>
        <v>737</v>
      </c>
      <c r="M60" s="36"/>
      <c r="N60" s="288">
        <v>1350</v>
      </c>
      <c r="O60" s="468">
        <f t="shared" si="2"/>
        <v>1.1435154707044108</v>
      </c>
    </row>
    <row r="61" spans="1:16">
      <c r="A61" s="17" t="s">
        <v>65</v>
      </c>
      <c r="B61" s="14">
        <f>19101+1605+2057+920+1082</f>
        <v>24765</v>
      </c>
      <c r="C61" s="422">
        <v>11707</v>
      </c>
      <c r="D61" s="445">
        <f>1089+517+1381+2546</f>
        <v>5533</v>
      </c>
      <c r="E61" s="286">
        <f t="shared" si="15"/>
        <v>2546</v>
      </c>
      <c r="F61" s="58"/>
      <c r="G61" s="11"/>
      <c r="H61" s="13">
        <v>1273</v>
      </c>
      <c r="I61" s="13">
        <v>1273</v>
      </c>
      <c r="J61" s="13"/>
      <c r="K61" s="22">
        <f>8+1129</f>
        <v>1137</v>
      </c>
      <c r="L61" s="22">
        <f>1155+46</f>
        <v>1201</v>
      </c>
      <c r="M61" s="36"/>
      <c r="N61" s="288">
        <v>2338</v>
      </c>
      <c r="O61" s="468">
        <f t="shared" si="2"/>
        <v>0.47262321687879044</v>
      </c>
    </row>
    <row r="62" spans="1:16">
      <c r="A62" s="398" t="s">
        <v>66</v>
      </c>
      <c r="B62" s="389">
        <f>SUM(D62:G62)</f>
        <v>0</v>
      </c>
      <c r="C62" s="422">
        <v>0</v>
      </c>
      <c r="D62" s="446"/>
      <c r="E62" s="286">
        <f t="shared" si="15"/>
        <v>0</v>
      </c>
      <c r="F62" s="476"/>
      <c r="G62" s="11"/>
      <c r="H62" s="13"/>
      <c r="I62" s="13"/>
      <c r="J62" s="13"/>
      <c r="K62" s="36"/>
      <c r="L62" s="36"/>
      <c r="M62" s="36"/>
      <c r="N62" s="288"/>
      <c r="O62" s="468"/>
    </row>
    <row r="63" spans="1:16">
      <c r="A63" s="17" t="s">
        <v>67</v>
      </c>
      <c r="B63" s="14">
        <v>19597</v>
      </c>
      <c r="C63" s="422">
        <v>5418</v>
      </c>
      <c r="D63" s="445">
        <f>949+632+800+680</f>
        <v>3061</v>
      </c>
      <c r="E63" s="286">
        <f t="shared" si="15"/>
        <v>680</v>
      </c>
      <c r="F63" s="58"/>
      <c r="G63" s="11"/>
      <c r="H63" s="13">
        <v>450</v>
      </c>
      <c r="I63" s="13">
        <v>230</v>
      </c>
      <c r="J63" s="13"/>
      <c r="K63" s="22">
        <v>400</v>
      </c>
      <c r="L63" s="22">
        <f>450</f>
        <v>450</v>
      </c>
      <c r="M63" s="36"/>
      <c r="N63" s="288">
        <v>400</v>
      </c>
      <c r="O63" s="468">
        <f t="shared" si="2"/>
        <v>0.56496862310815799</v>
      </c>
    </row>
    <row r="64" spans="1:16">
      <c r="A64" s="399" t="s">
        <v>68</v>
      </c>
      <c r="B64" s="390"/>
      <c r="C64" s="423"/>
      <c r="D64" s="447"/>
      <c r="E64" s="286">
        <f t="shared" si="15"/>
        <v>0</v>
      </c>
      <c r="F64" s="57"/>
      <c r="G64" s="62"/>
      <c r="H64" s="12"/>
      <c r="I64" s="12"/>
      <c r="J64" s="12"/>
      <c r="K64" s="28"/>
      <c r="L64" s="28"/>
      <c r="M64" s="28"/>
      <c r="N64" s="277"/>
      <c r="O64" s="468"/>
    </row>
    <row r="65" spans="1:17">
      <c r="A65" s="17" t="s">
        <v>69</v>
      </c>
      <c r="B65" s="395">
        <f>3284+527+85+247+741+628+585</f>
        <v>6097</v>
      </c>
      <c r="C65" s="538">
        <v>2280</v>
      </c>
      <c r="D65" s="438">
        <f>703+210+509+267</f>
        <v>1689</v>
      </c>
      <c r="E65" s="286">
        <f t="shared" si="15"/>
        <v>267</v>
      </c>
      <c r="F65" s="13"/>
      <c r="G65" s="13"/>
      <c r="H65" s="13">
        <v>162</v>
      </c>
      <c r="I65" s="13">
        <v>105</v>
      </c>
      <c r="J65" s="13"/>
      <c r="K65" s="22"/>
      <c r="L65" s="22">
        <f>134+105</f>
        <v>239</v>
      </c>
      <c r="M65" s="22"/>
      <c r="N65" s="278">
        <v>267</v>
      </c>
      <c r="O65" s="468">
        <f t="shared" si="2"/>
        <v>0.74078947368421055</v>
      </c>
    </row>
    <row r="66" spans="1:17" ht="15" thickBot="1">
      <c r="A66" s="477"/>
      <c r="B66" s="222"/>
      <c r="C66" s="523"/>
      <c r="D66" s="448"/>
      <c r="E66" s="451"/>
      <c r="F66" s="66"/>
      <c r="G66" s="178"/>
      <c r="H66" s="66"/>
      <c r="I66" s="66"/>
      <c r="J66" s="66"/>
      <c r="K66" s="66"/>
      <c r="L66" s="66"/>
      <c r="M66" s="66"/>
      <c r="N66" s="301"/>
      <c r="O66" s="481"/>
    </row>
    <row r="67" spans="1:17" s="1" customFormat="1" ht="20.100000000000001" customHeight="1" thickBot="1">
      <c r="A67" s="100" t="s">
        <v>70</v>
      </c>
      <c r="B67" s="942">
        <f t="shared" ref="B67:C67" si="16">B6+B28+B34+B47+B57</f>
        <v>18561273</v>
      </c>
      <c r="C67" s="942">
        <f t="shared" si="16"/>
        <v>5505055</v>
      </c>
      <c r="D67" s="931">
        <f>D6+D28+D34+D47+D57</f>
        <v>6735134</v>
      </c>
      <c r="E67" s="932">
        <f>E6+E28+E34+E47+E57</f>
        <v>1833201</v>
      </c>
      <c r="F67" s="934">
        <f>F6+F28+F34+F47+F57</f>
        <v>770763</v>
      </c>
      <c r="G67" s="935">
        <f t="shared" ref="G67:N67" si="17">G6+G28+F34+G47+G57</f>
        <v>813003</v>
      </c>
      <c r="H67" s="102">
        <f t="shared" si="17"/>
        <v>344039</v>
      </c>
      <c r="I67" s="102">
        <f t="shared" si="17"/>
        <v>121840</v>
      </c>
      <c r="J67" s="102">
        <f t="shared" si="17"/>
        <v>109897</v>
      </c>
      <c r="K67" s="127">
        <f t="shared" si="17"/>
        <v>59008</v>
      </c>
      <c r="L67" s="127">
        <f t="shared" si="17"/>
        <v>252079</v>
      </c>
      <c r="M67" s="127">
        <f t="shared" si="17"/>
        <v>68115</v>
      </c>
      <c r="N67" s="302">
        <f t="shared" si="17"/>
        <v>69635</v>
      </c>
      <c r="O67" s="482">
        <f t="shared" si="2"/>
        <v>1.2234453606730542</v>
      </c>
    </row>
    <row r="68" spans="1:17">
      <c r="A68" s="3"/>
      <c r="B68" s="3"/>
      <c r="C68" s="384"/>
      <c r="D68" s="401"/>
      <c r="E68" s="401" t="s">
        <v>156</v>
      </c>
      <c r="F68" s="68"/>
      <c r="G68" s="68"/>
      <c r="H68" s="3"/>
      <c r="I68" s="3"/>
      <c r="J68" s="3"/>
      <c r="K68" s="3"/>
      <c r="L68" s="68"/>
      <c r="M68" s="68" t="s">
        <v>133</v>
      </c>
      <c r="N68" s="68"/>
      <c r="O68" s="3"/>
    </row>
    <row r="69" spans="1:17">
      <c r="B69" s="3"/>
      <c r="C69" s="3"/>
      <c r="D69" s="68"/>
      <c r="E69" s="3"/>
      <c r="F69" s="68"/>
      <c r="G69" s="3"/>
      <c r="H69" s="3"/>
      <c r="I69" s="3"/>
      <c r="J69" s="3"/>
      <c r="K69" s="3"/>
      <c r="L69" s="68"/>
      <c r="M69" s="68"/>
      <c r="N69" s="68"/>
      <c r="O69" s="3"/>
    </row>
    <row r="70" spans="1:17" ht="15" thickBot="1">
      <c r="B70" s="3"/>
      <c r="C70" s="3"/>
      <c r="D70" s="104" t="s">
        <v>71</v>
      </c>
      <c r="E70" s="104" t="s">
        <v>72</v>
      </c>
      <c r="F70" s="104" t="s">
        <v>73</v>
      </c>
      <c r="G70" s="104" t="s">
        <v>74</v>
      </c>
      <c r="H70" s="104" t="s">
        <v>75</v>
      </c>
      <c r="I70" s="104" t="s">
        <v>76</v>
      </c>
      <c r="J70" s="104" t="s">
        <v>77</v>
      </c>
      <c r="K70" s="104" t="s">
        <v>78</v>
      </c>
      <c r="L70" s="104" t="s">
        <v>79</v>
      </c>
      <c r="M70" s="104" t="s">
        <v>80</v>
      </c>
      <c r="N70" s="104" t="s">
        <v>81</v>
      </c>
      <c r="O70" s="104" t="s">
        <v>82</v>
      </c>
      <c r="P70" s="104" t="s">
        <v>83</v>
      </c>
    </row>
    <row r="71" spans="1:17" ht="15" thickBot="1">
      <c r="B71" s="105" t="s">
        <v>84</v>
      </c>
      <c r="C71" s="105"/>
      <c r="D71" s="106">
        <v>1844639.8451408118</v>
      </c>
      <c r="E71" s="106">
        <v>1453853.1301010782</v>
      </c>
      <c r="F71" s="407">
        <v>1812571.4812098993</v>
      </c>
      <c r="G71" s="106">
        <v>1892531</v>
      </c>
      <c r="H71" s="106"/>
      <c r="I71" s="129"/>
      <c r="J71" s="106"/>
      <c r="K71" s="130"/>
      <c r="L71" s="22"/>
      <c r="M71" s="131"/>
      <c r="N71" s="111"/>
      <c r="O71" s="131"/>
      <c r="P71" s="132">
        <f>SUM(D71:O71)</f>
        <v>7003595.4564517895</v>
      </c>
    </row>
    <row r="72" spans="1:17">
      <c r="A72" s="3"/>
      <c r="B72" s="107" t="s">
        <v>85</v>
      </c>
      <c r="C72" s="107"/>
      <c r="D72" s="108"/>
      <c r="E72" s="109">
        <f>IF(D71&gt;0,E71/D71,0)*100</f>
        <v>78.815012802138469</v>
      </c>
      <c r="F72" s="109">
        <f>IF(E71&gt;0,F71/E71,0)*100</f>
        <v>124.67363062208914</v>
      </c>
      <c r="G72" s="109">
        <f>IF(F71&gt;0,G71/F71,0)*100</f>
        <v>104.41138568155819</v>
      </c>
      <c r="H72" s="109">
        <f>IF(G71&gt;0,H71/G71,0)*100</f>
        <v>0</v>
      </c>
      <c r="I72" s="109">
        <f>IF(H71&gt;0,I71/H71,0)*100</f>
        <v>0</v>
      </c>
      <c r="J72" s="109">
        <f>IF(H71&gt;0,J71/H71,0)*100</f>
        <v>0</v>
      </c>
      <c r="K72" s="109">
        <f>IF(J71&gt;0,K71/J71,0)*100</f>
        <v>0</v>
      </c>
      <c r="L72" s="109">
        <f>IF(K71&gt;0,L71/K71,0)*100</f>
        <v>0</v>
      </c>
      <c r="M72" s="109">
        <f>IF(L71&gt;0,M71/L71,0)*100</f>
        <v>0</v>
      </c>
      <c r="N72" s="109">
        <f>IF(M71&gt;0,N71/M71,0)*100</f>
        <v>0</v>
      </c>
      <c r="O72" s="109">
        <f>IF(N71&gt;0,O71/N71,0)*100</f>
        <v>0</v>
      </c>
      <c r="P72" s="109"/>
    </row>
    <row r="73" spans="1:17">
      <c r="A73" s="3"/>
      <c r="B73" s="110"/>
      <c r="C73" s="110"/>
      <c r="D73" s="110"/>
      <c r="E73" s="111"/>
      <c r="F73" s="110"/>
      <c r="G73" s="3"/>
      <c r="H73" s="3"/>
      <c r="I73" s="3"/>
      <c r="J73" s="3"/>
      <c r="K73" s="3"/>
      <c r="L73" s="3"/>
      <c r="M73" s="68"/>
      <c r="N73" s="68"/>
      <c r="O73" s="68"/>
      <c r="P73" s="3"/>
    </row>
    <row r="74" spans="1:17">
      <c r="A74" s="148" t="s">
        <v>86</v>
      </c>
      <c r="B74" s="68"/>
      <c r="C74" s="68"/>
      <c r="D74" s="68"/>
      <c r="E74" s="68"/>
      <c r="F74" s="3"/>
      <c r="G74" s="3"/>
      <c r="H74" s="3"/>
      <c r="I74" s="3"/>
      <c r="J74" s="3"/>
      <c r="K74" s="3"/>
      <c r="L74" s="3"/>
      <c r="M74" s="68"/>
      <c r="N74" s="68"/>
      <c r="O74" s="68"/>
      <c r="P74" s="3"/>
      <c r="Q74" s="142"/>
    </row>
    <row r="75" spans="1:17">
      <c r="A75" s="3" t="s">
        <v>87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148" t="s">
        <v>88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9" t="s">
        <v>89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4"/>
    </row>
    <row r="78" spans="1:17">
      <c r="A78" s="3" t="s">
        <v>90</v>
      </c>
      <c r="B78" s="3"/>
      <c r="C78" s="3"/>
      <c r="D78" s="3"/>
      <c r="E78" s="3"/>
      <c r="F78" s="3"/>
      <c r="G78" s="3"/>
      <c r="H78" s="3"/>
      <c r="I78" s="3"/>
      <c r="K78" s="3"/>
      <c r="M78" s="68"/>
      <c r="N78" s="68"/>
      <c r="O78" s="68"/>
      <c r="P78" s="3"/>
    </row>
    <row r="79" spans="1:17">
      <c r="A79" s="3" t="s">
        <v>91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135"/>
      <c r="P79" s="3"/>
    </row>
    <row r="80" spans="1:17">
      <c r="A80" s="3" t="s">
        <v>92</v>
      </c>
      <c r="B80" s="3"/>
      <c r="C80" s="3"/>
      <c r="D80" s="3"/>
      <c r="E80" s="3"/>
      <c r="F80" s="3"/>
      <c r="G80" s="3"/>
      <c r="H80" s="3"/>
      <c r="I80" s="3"/>
      <c r="K80" s="3"/>
      <c r="L80" s="3"/>
      <c r="M80" s="68"/>
      <c r="N80" s="68"/>
      <c r="O80" s="68"/>
      <c r="P80" s="3"/>
    </row>
    <row r="82" spans="2:17">
      <c r="B82" s="606" t="s">
        <v>159</v>
      </c>
    </row>
    <row r="83" spans="2:17" ht="15.6">
      <c r="B83" s="112" t="s">
        <v>93</v>
      </c>
      <c r="C83" s="112"/>
      <c r="D83" s="114" t="s">
        <v>94</v>
      </c>
      <c r="E83" s="115" t="s">
        <v>95</v>
      </c>
      <c r="F83" s="115" t="s">
        <v>96</v>
      </c>
      <c r="G83" s="115" t="s">
        <v>97</v>
      </c>
      <c r="H83" s="115" t="s">
        <v>98</v>
      </c>
      <c r="I83" s="136" t="s">
        <v>99</v>
      </c>
      <c r="J83" s="115" t="s">
        <v>100</v>
      </c>
      <c r="K83" s="115" t="s">
        <v>101</v>
      </c>
      <c r="L83" s="115" t="s">
        <v>102</v>
      </c>
      <c r="M83" s="115" t="s">
        <v>103</v>
      </c>
      <c r="N83" s="115" t="s">
        <v>104</v>
      </c>
      <c r="O83" s="115" t="s">
        <v>105</v>
      </c>
      <c r="P83" s="115" t="s">
        <v>106</v>
      </c>
      <c r="Q83" s="145" t="s">
        <v>107</v>
      </c>
    </row>
    <row r="84" spans="2:17">
      <c r="B84" s="116" t="s">
        <v>108</v>
      </c>
      <c r="C84" s="116"/>
      <c r="D84" s="52">
        <v>250647.57142857101</v>
      </c>
      <c r="E84" s="52">
        <v>303326.78571428568</v>
      </c>
      <c r="F84" s="52">
        <v>278308.28571428568</v>
      </c>
      <c r="G84" s="52">
        <v>329534.92857142858</v>
      </c>
      <c r="H84" s="118"/>
      <c r="I84" s="52"/>
      <c r="J84" s="52"/>
      <c r="K84" s="137"/>
      <c r="L84" s="138"/>
      <c r="M84" s="52"/>
      <c r="N84" s="52"/>
      <c r="O84" s="52"/>
      <c r="P84" s="478">
        <f t="shared" ref="P84:P90" si="18">SUM(D84:O84)</f>
        <v>1161817.5714285709</v>
      </c>
      <c r="Q84" s="146">
        <f t="shared" ref="Q84:Q90" si="19">P84/$P$90</f>
        <v>0.36095909561243555</v>
      </c>
    </row>
    <row r="85" spans="2:17">
      <c r="B85" s="119" t="s">
        <v>109</v>
      </c>
      <c r="C85" s="119"/>
      <c r="D85" s="121">
        <v>51557.785714285703</v>
      </c>
      <c r="E85" s="122">
        <v>38594.857142857145</v>
      </c>
      <c r="F85" s="122">
        <v>40995.357142857145</v>
      </c>
      <c r="G85" s="122">
        <v>33533.714285714283</v>
      </c>
      <c r="H85" s="123"/>
      <c r="I85" s="122"/>
      <c r="J85" s="122"/>
      <c r="K85" s="122"/>
      <c r="L85" s="122"/>
      <c r="M85" s="122"/>
      <c r="N85" s="122"/>
      <c r="O85" s="122"/>
      <c r="P85" s="479">
        <f t="shared" si="18"/>
        <v>164681.71428571429</v>
      </c>
      <c r="Q85" s="147">
        <f t="shared" si="19"/>
        <v>5.1164110540508852E-2</v>
      </c>
    </row>
    <row r="86" spans="2:17">
      <c r="B86" s="119" t="s">
        <v>110</v>
      </c>
      <c r="C86" s="119"/>
      <c r="D86" s="121">
        <v>157521.85714285701</v>
      </c>
      <c r="E86" s="122">
        <v>160543.85714285713</v>
      </c>
      <c r="F86" s="122">
        <v>156602.71428571426</v>
      </c>
      <c r="G86" s="122">
        <v>190080.78571428574</v>
      </c>
      <c r="H86" s="123"/>
      <c r="I86" s="122"/>
      <c r="J86" s="122"/>
      <c r="K86" s="122"/>
      <c r="L86" s="122"/>
      <c r="M86" s="122"/>
      <c r="N86" s="122"/>
      <c r="O86" s="122"/>
      <c r="P86" s="479">
        <f t="shared" si="18"/>
        <v>664749.21428571409</v>
      </c>
      <c r="Q86" s="147">
        <f t="shared" si="19"/>
        <v>0.20652749717204683</v>
      </c>
    </row>
    <row r="87" spans="2:17">
      <c r="B87" s="124" t="s">
        <v>111</v>
      </c>
      <c r="C87" s="124"/>
      <c r="D87" s="52">
        <v>129327.714285714</v>
      </c>
      <c r="E87" s="52">
        <v>98880.78571428571</v>
      </c>
      <c r="F87" s="52">
        <v>142655.5</v>
      </c>
      <c r="G87" s="52">
        <v>133507.35714285716</v>
      </c>
      <c r="H87" s="118"/>
      <c r="I87" s="52"/>
      <c r="J87" s="52"/>
      <c r="K87" s="52"/>
      <c r="L87" s="52"/>
      <c r="M87" s="52"/>
      <c r="N87" s="52"/>
      <c r="O87" s="52"/>
      <c r="P87" s="478">
        <f t="shared" si="18"/>
        <v>504371.35714285687</v>
      </c>
      <c r="Q87" s="146">
        <f t="shared" si="19"/>
        <v>0.15670052975980089</v>
      </c>
    </row>
    <row r="88" spans="2:17">
      <c r="B88" s="124" t="s">
        <v>112</v>
      </c>
      <c r="C88" s="124"/>
      <c r="D88" s="52">
        <v>81303.642857142899</v>
      </c>
      <c r="E88" s="52">
        <v>79785.57142857142</v>
      </c>
      <c r="F88" s="52">
        <v>99571</v>
      </c>
      <c r="G88" s="52">
        <v>105052.5</v>
      </c>
      <c r="H88" s="118"/>
      <c r="I88" s="52"/>
      <c r="J88" s="52"/>
      <c r="K88" s="52"/>
      <c r="L88" s="52"/>
      <c r="M88" s="52"/>
      <c r="N88" s="52"/>
      <c r="O88" s="52"/>
      <c r="P88" s="478">
        <f t="shared" si="18"/>
        <v>365712.71428571432</v>
      </c>
      <c r="Q88" s="146">
        <f t="shared" si="19"/>
        <v>0.11362139276325824</v>
      </c>
    </row>
    <row r="89" spans="2:17">
      <c r="B89" s="116" t="s">
        <v>57</v>
      </c>
      <c r="C89" s="116"/>
      <c r="D89" s="52">
        <v>79967.428571428594</v>
      </c>
      <c r="E89" s="52">
        <v>73659.642857142855</v>
      </c>
      <c r="F89" s="52">
        <v>87559.357142857145</v>
      </c>
      <c r="G89" s="52">
        <v>116176.92857142858</v>
      </c>
      <c r="H89" s="118"/>
      <c r="I89" s="52"/>
      <c r="J89" s="52"/>
      <c r="K89" s="52"/>
      <c r="L89" s="52"/>
      <c r="M89" s="52"/>
      <c r="N89" s="52"/>
      <c r="O89" s="52"/>
      <c r="P89" s="478">
        <f t="shared" si="18"/>
        <v>357363.35714285716</v>
      </c>
      <c r="Q89" s="146">
        <f t="shared" si="19"/>
        <v>0.11102737415194974</v>
      </c>
    </row>
    <row r="90" spans="2:17">
      <c r="D90" s="118">
        <f>SUM(D84:D89)</f>
        <v>750325.9999999993</v>
      </c>
      <c r="E90" s="118">
        <f>SUM(E84:E89)</f>
        <v>754791.49999999988</v>
      </c>
      <c r="F90" s="118">
        <f t="shared" ref="F90:O90" si="20">SUM(F84:F89)</f>
        <v>805692.2142857142</v>
      </c>
      <c r="G90" s="118">
        <f t="shared" si="20"/>
        <v>907886.21428571432</v>
      </c>
      <c r="H90" s="118">
        <f t="shared" si="20"/>
        <v>0</v>
      </c>
      <c r="I90" s="118">
        <f t="shared" si="20"/>
        <v>0</v>
      </c>
      <c r="J90" s="118">
        <f t="shared" si="20"/>
        <v>0</v>
      </c>
      <c r="K90" s="118">
        <f t="shared" si="20"/>
        <v>0</v>
      </c>
      <c r="L90" s="118">
        <f t="shared" si="20"/>
        <v>0</v>
      </c>
      <c r="M90" s="118">
        <f t="shared" si="20"/>
        <v>0</v>
      </c>
      <c r="N90" s="118">
        <f t="shared" si="20"/>
        <v>0</v>
      </c>
      <c r="O90" s="118">
        <f t="shared" si="20"/>
        <v>0</v>
      </c>
      <c r="P90" s="478">
        <f t="shared" si="18"/>
        <v>3218695.9285714272</v>
      </c>
      <c r="Q90" s="146">
        <f t="shared" si="19"/>
        <v>1</v>
      </c>
    </row>
  </sheetData>
  <mergeCells count="26">
    <mergeCell ref="K49:K50"/>
    <mergeCell ref="L49:L50"/>
    <mergeCell ref="M49:M50"/>
    <mergeCell ref="P6:P7"/>
    <mergeCell ref="F42:G42"/>
    <mergeCell ref="H42:I42"/>
    <mergeCell ref="F49:F50"/>
    <mergeCell ref="G49:G50"/>
    <mergeCell ref="N49:N50"/>
    <mergeCell ref="O49:O50"/>
    <mergeCell ref="P49:P50"/>
    <mergeCell ref="H49:H50"/>
    <mergeCell ref="I49:I50"/>
    <mergeCell ref="J49:J50"/>
    <mergeCell ref="A49:A50"/>
    <mergeCell ref="B49:B50"/>
    <mergeCell ref="C49:C50"/>
    <mergeCell ref="D49:D50"/>
    <mergeCell ref="E49:E50"/>
    <mergeCell ref="A1:O1"/>
    <mergeCell ref="A3:A4"/>
    <mergeCell ref="B3:B4"/>
    <mergeCell ref="C3:C4"/>
    <mergeCell ref="D3:D4"/>
    <mergeCell ref="E3:N3"/>
    <mergeCell ref="O3:O4"/>
  </mergeCells>
  <pageMargins left="0.7" right="0.7" top="0.75" bottom="0.75" header="0.3" footer="0.3"/>
  <pageSetup orientation="portrait" r:id="rId1"/>
  <ignoredErrors>
    <ignoredError sqref="E63 E51 E44 E40:E41 E29 E15 E17" formulaRange="1"/>
    <ignoredError sqref="J7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0D26-1DD0-4679-B903-3AB695581535}">
  <dimension ref="A1:Q90"/>
  <sheetViews>
    <sheetView zoomScale="80" zoomScaleNormal="80" workbookViewId="0">
      <pane xSplit="3" ySplit="4" topLeftCell="D37" activePane="bottomRight" state="frozen"/>
      <selection pane="topRight" activeCell="D1" sqref="D1"/>
      <selection pane="bottomLeft" activeCell="A5" sqref="A5"/>
      <selection pane="bottomRight" activeCell="D48" sqref="D48"/>
    </sheetView>
  </sheetViews>
  <sheetFormatPr defaultColWidth="8.5546875" defaultRowHeight="14.4"/>
  <cols>
    <col min="1" max="1" width="30.77734375" style="2" customWidth="1"/>
    <col min="2" max="3" width="11.77734375" style="2" customWidth="1"/>
    <col min="4" max="4" width="10.77734375" style="2" bestFit="1" customWidth="1"/>
    <col min="5" max="5" width="11.77734375" style="2" customWidth="1"/>
    <col min="6" max="6" width="10.21875" style="2" bestFit="1" customWidth="1"/>
    <col min="7" max="7" width="10.5546875" style="2" bestFit="1" customWidth="1"/>
    <col min="8" max="8" width="11.77734375" style="2" bestFit="1" customWidth="1"/>
    <col min="9" max="9" width="8.44140625" style="2" bestFit="1" customWidth="1"/>
    <col min="10" max="10" width="11.44140625" style="2" customWidth="1"/>
    <col min="11" max="11" width="9.77734375" style="2" bestFit="1" customWidth="1"/>
    <col min="12" max="12" width="8.5546875" style="2"/>
    <col min="13" max="13" width="9.44140625" style="2" customWidth="1"/>
    <col min="14" max="14" width="9.5546875" style="2" customWidth="1"/>
    <col min="15" max="15" width="8.5546875" style="2"/>
    <col min="16" max="16" width="17.77734375" style="2" customWidth="1"/>
    <col min="17" max="17" width="18" style="2" bestFit="1" customWidth="1"/>
    <col min="18" max="16384" width="8.5546875" style="2"/>
  </cols>
  <sheetData>
    <row r="1" spans="1:17" s="1" customFormat="1" ht="26.85" customHeight="1">
      <c r="A1" s="1066" t="s">
        <v>137</v>
      </c>
      <c r="B1" s="1066"/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4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67" t="s">
        <v>1</v>
      </c>
      <c r="B3" s="1069" t="s">
        <v>2</v>
      </c>
      <c r="C3" s="1081" t="s">
        <v>143</v>
      </c>
      <c r="D3" s="1063" t="s">
        <v>138</v>
      </c>
      <c r="E3" s="1032" t="s">
        <v>139</v>
      </c>
      <c r="F3" s="1033"/>
      <c r="G3" s="1033"/>
      <c r="H3" s="1033"/>
      <c r="I3" s="1033"/>
      <c r="J3" s="1033"/>
      <c r="K3" s="1033"/>
      <c r="L3" s="1033"/>
      <c r="M3" s="1033"/>
      <c r="N3" s="1034"/>
      <c r="O3" s="1065" t="s">
        <v>140</v>
      </c>
    </row>
    <row r="4" spans="1:17" ht="28.2" thickBot="1">
      <c r="A4" s="1068"/>
      <c r="B4" s="1070"/>
      <c r="C4" s="1082"/>
      <c r="D4" s="1073"/>
      <c r="E4" s="483" t="s">
        <v>7</v>
      </c>
      <c r="F4" s="484" t="s">
        <v>8</v>
      </c>
      <c r="G4" s="484" t="s">
        <v>9</v>
      </c>
      <c r="H4" s="484" t="s">
        <v>10</v>
      </c>
      <c r="I4" s="484" t="s">
        <v>11</v>
      </c>
      <c r="J4" s="485" t="s">
        <v>12</v>
      </c>
      <c r="K4" s="486" t="s">
        <v>13</v>
      </c>
      <c r="L4" s="486" t="s">
        <v>14</v>
      </c>
      <c r="M4" s="487" t="s">
        <v>15</v>
      </c>
      <c r="N4" s="488" t="s">
        <v>16</v>
      </c>
      <c r="O4" s="1074"/>
    </row>
    <row r="5" spans="1:17">
      <c r="A5" s="408"/>
      <c r="B5" s="409"/>
      <c r="C5" s="518"/>
      <c r="D5" s="427"/>
      <c r="E5" s="319"/>
      <c r="F5" s="5"/>
      <c r="G5" s="5"/>
      <c r="H5" s="5"/>
      <c r="I5" s="5"/>
      <c r="J5" s="69"/>
      <c r="K5" s="5"/>
      <c r="L5" s="70"/>
      <c r="M5" s="71"/>
      <c r="N5" s="320"/>
      <c r="O5" s="4"/>
    </row>
    <row r="6" spans="1:17">
      <c r="A6" s="6" t="s">
        <v>17</v>
      </c>
      <c r="B6" s="7">
        <f>SUM(B8:B18)</f>
        <v>4518182</v>
      </c>
      <c r="C6" s="421">
        <v>1679704</v>
      </c>
      <c r="D6" s="428">
        <f>SUM(D8:D18)</f>
        <v>2112505</v>
      </c>
      <c r="E6" s="274">
        <f>SUM(E8:E18)</f>
        <v>461091</v>
      </c>
      <c r="F6" s="9">
        <f t="shared" ref="F6:I6" si="0">SUM(F8:F17)</f>
        <v>203309</v>
      </c>
      <c r="G6" s="9">
        <f t="shared" si="0"/>
        <v>189387</v>
      </c>
      <c r="H6" s="9">
        <f t="shared" si="0"/>
        <v>24793</v>
      </c>
      <c r="I6" s="9">
        <f t="shared" si="0"/>
        <v>29711</v>
      </c>
      <c r="J6" s="9"/>
      <c r="K6" s="72"/>
      <c r="L6" s="72"/>
      <c r="M6" s="72"/>
      <c r="N6" s="275"/>
      <c r="O6" s="73">
        <f>+D6/C6</f>
        <v>1.2576650409834114</v>
      </c>
      <c r="P6" s="1014"/>
    </row>
    <row r="7" spans="1:17">
      <c r="A7" s="386" t="s">
        <v>18</v>
      </c>
      <c r="B7" s="387"/>
      <c r="C7" s="422"/>
      <c r="D7" s="429"/>
      <c r="E7" s="286">
        <f>SUM(F7:J7)</f>
        <v>0</v>
      </c>
      <c r="F7" s="12"/>
      <c r="G7" s="12"/>
      <c r="H7" s="12"/>
      <c r="I7" s="12"/>
      <c r="J7" s="12"/>
      <c r="K7" s="28"/>
      <c r="L7" s="28"/>
      <c r="M7" s="28"/>
      <c r="N7" s="277"/>
      <c r="O7" s="468"/>
      <c r="P7" s="1014"/>
      <c r="Q7" s="570"/>
    </row>
    <row r="8" spans="1:17">
      <c r="A8" s="388" t="s">
        <v>19</v>
      </c>
      <c r="B8" s="387"/>
      <c r="C8" s="422"/>
      <c r="D8" s="430"/>
      <c r="E8" s="286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278"/>
      <c r="O8" s="468"/>
      <c r="P8" s="3"/>
    </row>
    <row r="9" spans="1:17">
      <c r="A9" s="386" t="s">
        <v>120</v>
      </c>
      <c r="B9" s="14">
        <f>715133+126685+111732+106510+95851+111311</f>
        <v>1267222</v>
      </c>
      <c r="C9" s="422">
        <v>497600</v>
      </c>
      <c r="D9" s="429">
        <f>108077+85467+113186+113042+116756</f>
        <v>536528</v>
      </c>
      <c r="E9" s="286">
        <f t="shared" si="1"/>
        <v>116756</v>
      </c>
      <c r="F9" s="13">
        <v>44278</v>
      </c>
      <c r="G9" s="13">
        <v>43655</v>
      </c>
      <c r="H9" s="13">
        <v>13958</v>
      </c>
      <c r="I9" s="13">
        <v>14865</v>
      </c>
      <c r="J9" s="12"/>
      <c r="K9" s="28"/>
      <c r="L9" s="28"/>
      <c r="M9" s="22"/>
      <c r="N9" s="278"/>
      <c r="O9" s="468">
        <f t="shared" ref="O9:O67" si="2">+D9/C9</f>
        <v>1.0782315112540193</v>
      </c>
      <c r="P9" s="111"/>
      <c r="Q9" s="79"/>
    </row>
    <row r="10" spans="1:17">
      <c r="A10" s="386" t="s">
        <v>20</v>
      </c>
      <c r="B10" s="14">
        <v>1272859</v>
      </c>
      <c r="C10" s="422">
        <v>428772</v>
      </c>
      <c r="D10" s="431">
        <f>148719+103732+138638+114388+149772</f>
        <v>655249</v>
      </c>
      <c r="E10" s="286">
        <f t="shared" si="1"/>
        <v>149772</v>
      </c>
      <c r="F10" s="15">
        <v>78585</v>
      </c>
      <c r="G10" s="15">
        <f>71187</f>
        <v>71187</v>
      </c>
      <c r="H10" s="16"/>
      <c r="I10" s="16"/>
      <c r="J10" s="75"/>
      <c r="K10" s="76">
        <f>8950+7298</f>
        <v>16248</v>
      </c>
      <c r="L10" s="76">
        <f>3649+1555</f>
        <v>5204</v>
      </c>
      <c r="M10" s="77"/>
      <c r="N10" s="278"/>
      <c r="O10" s="468">
        <f t="shared" si="2"/>
        <v>1.5281991361376208</v>
      </c>
      <c r="P10" s="79"/>
      <c r="Q10" s="79"/>
    </row>
    <row r="11" spans="1:17">
      <c r="A11" s="386" t="s">
        <v>21</v>
      </c>
      <c r="B11" s="14"/>
      <c r="C11" s="422"/>
      <c r="D11" s="431"/>
      <c r="E11" s="286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468"/>
      <c r="P11" s="79"/>
      <c r="Q11" s="79"/>
    </row>
    <row r="12" spans="1:17">
      <c r="A12" s="386" t="s">
        <v>22</v>
      </c>
      <c r="B12" s="14">
        <v>491959</v>
      </c>
      <c r="C12" s="422">
        <v>197010</v>
      </c>
      <c r="D12" s="431">
        <f>39231+38035+45839+55212+55252</f>
        <v>233569</v>
      </c>
      <c r="E12" s="286">
        <f t="shared" si="1"/>
        <v>55252</v>
      </c>
      <c r="F12" s="13">
        <v>28755</v>
      </c>
      <c r="G12" s="13">
        <v>25693</v>
      </c>
      <c r="H12" s="13">
        <v>239</v>
      </c>
      <c r="I12" s="13">
        <v>565</v>
      </c>
      <c r="J12" s="13">
        <v>0</v>
      </c>
      <c r="K12" s="22"/>
      <c r="L12" s="22"/>
      <c r="M12" s="22"/>
      <c r="N12" s="278">
        <v>0</v>
      </c>
      <c r="O12" s="468">
        <f t="shared" si="2"/>
        <v>1.1855692604436323</v>
      </c>
      <c r="P12" s="79"/>
      <c r="Q12" s="79"/>
    </row>
    <row r="13" spans="1:17">
      <c r="A13" s="388" t="s">
        <v>23</v>
      </c>
      <c r="B13" s="14">
        <v>149160</v>
      </c>
      <c r="C13" s="422">
        <v>149160</v>
      </c>
      <c r="D13" s="431">
        <v>0</v>
      </c>
      <c r="E13" s="286">
        <f t="shared" si="1"/>
        <v>0</v>
      </c>
      <c r="F13" s="13"/>
      <c r="G13" s="13"/>
      <c r="H13" s="13"/>
      <c r="I13" s="13"/>
      <c r="J13" s="13"/>
      <c r="K13" s="22"/>
      <c r="L13" s="22"/>
      <c r="M13" s="22"/>
      <c r="N13" s="278"/>
      <c r="O13" s="468"/>
      <c r="P13" s="79"/>
      <c r="Q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422">
        <v>259900</v>
      </c>
      <c r="D14" s="429">
        <f>107401+71667+97692+112321+100543</f>
        <v>489624</v>
      </c>
      <c r="E14" s="286">
        <f t="shared" si="1"/>
        <v>100543</v>
      </c>
      <c r="F14" s="18">
        <v>51691</v>
      </c>
      <c r="G14" s="18">
        <v>48852</v>
      </c>
      <c r="H14" s="18"/>
      <c r="I14" s="18"/>
      <c r="J14" s="18"/>
      <c r="K14" s="80">
        <f>12088+7515</f>
        <v>19603</v>
      </c>
      <c r="L14" s="80">
        <f>905+5185</f>
        <v>6090</v>
      </c>
      <c r="M14" s="80">
        <v>6174</v>
      </c>
      <c r="N14" s="279">
        <v>415</v>
      </c>
      <c r="O14" s="468">
        <f t="shared" si="2"/>
        <v>1.8838938053097345</v>
      </c>
      <c r="P14" s="79"/>
      <c r="Q14" s="79"/>
    </row>
    <row r="15" spans="1:17">
      <c r="A15" s="386" t="s">
        <v>25</v>
      </c>
      <c r="B15" s="14">
        <f>6147+7479+7850+9613+8350+10297+8331+8950+9929+9191+7491+7125</f>
        <v>100753</v>
      </c>
      <c r="C15" s="422">
        <v>39439</v>
      </c>
      <c r="D15" s="429">
        <f>5818+3471+4879+3146+1868</f>
        <v>19182</v>
      </c>
      <c r="E15" s="286">
        <f t="shared" si="1"/>
        <v>1868</v>
      </c>
      <c r="F15" s="13"/>
      <c r="G15" s="13"/>
      <c r="H15" s="13">
        <v>933</v>
      </c>
      <c r="I15" s="13">
        <v>935</v>
      </c>
      <c r="J15" s="13"/>
      <c r="K15" s="81">
        <f>172+213</f>
        <v>385</v>
      </c>
      <c r="L15" s="22">
        <f>53+18</f>
        <v>71</v>
      </c>
      <c r="M15" s="22"/>
      <c r="N15" s="278">
        <v>0</v>
      </c>
      <c r="O15" s="468">
        <f t="shared" si="2"/>
        <v>0.48637135830015976</v>
      </c>
      <c r="P15" s="79"/>
      <c r="Q15" s="79"/>
    </row>
    <row r="16" spans="1:17">
      <c r="A16" s="386" t="s">
        <v>26</v>
      </c>
      <c r="B16" s="14">
        <f>540+350</f>
        <v>890</v>
      </c>
      <c r="C16" s="422">
        <v>436</v>
      </c>
      <c r="D16" s="429">
        <f>528</f>
        <v>528</v>
      </c>
      <c r="E16" s="286">
        <v>0</v>
      </c>
      <c r="F16" s="13"/>
      <c r="G16" s="13"/>
      <c r="H16" s="13"/>
      <c r="I16" s="13"/>
      <c r="J16" s="13"/>
      <c r="K16" s="28"/>
      <c r="L16" s="36"/>
      <c r="M16" s="22"/>
      <c r="N16" s="278"/>
      <c r="O16" s="468"/>
      <c r="P16" s="79"/>
      <c r="Q16" s="79"/>
    </row>
    <row r="17" spans="1:17">
      <c r="A17" s="386" t="s">
        <v>27</v>
      </c>
      <c r="B17" s="391">
        <f>14801+21013+19343+20052+25339+15490+23521+25450+24091+25115+25902+30182</f>
        <v>270299</v>
      </c>
      <c r="C17" s="519">
        <v>100548</v>
      </c>
      <c r="D17" s="432">
        <f>29509+14652+23209+24242+23009</f>
        <v>114621</v>
      </c>
      <c r="E17" s="286">
        <f t="shared" si="1"/>
        <v>23009</v>
      </c>
      <c r="F17" s="13"/>
      <c r="G17" s="13"/>
      <c r="H17" s="13">
        <v>9663</v>
      </c>
      <c r="I17" s="13">
        <v>13346</v>
      </c>
      <c r="J17" s="13"/>
      <c r="K17" s="22">
        <f>2763+3500</f>
        <v>6263</v>
      </c>
      <c r="L17" s="22">
        <f>32+188</f>
        <v>220</v>
      </c>
      <c r="M17" s="22"/>
      <c r="N17" s="278"/>
      <c r="O17" s="468">
        <f t="shared" si="2"/>
        <v>1.1399630027449577</v>
      </c>
      <c r="P17" s="79"/>
      <c r="Q17" s="82"/>
    </row>
    <row r="18" spans="1:17" ht="15" thickBot="1">
      <c r="A18" s="402" t="s">
        <v>136</v>
      </c>
      <c r="B18" s="403">
        <v>67816</v>
      </c>
      <c r="C18" s="413">
        <v>7275</v>
      </c>
      <c r="D18" s="433">
        <f>37942+11371+13891</f>
        <v>63204</v>
      </c>
      <c r="E18" s="404">
        <v>13891</v>
      </c>
      <c r="F18" s="202"/>
      <c r="G18" s="202"/>
      <c r="H18" s="202"/>
      <c r="I18" s="202"/>
      <c r="J18" s="202"/>
      <c r="K18" s="203"/>
      <c r="L18" s="203"/>
      <c r="M18" s="203"/>
      <c r="N18" s="283"/>
      <c r="O18" s="468">
        <f t="shared" si="2"/>
        <v>8.6878350515463918</v>
      </c>
      <c r="P18" s="79"/>
      <c r="Q18" s="82"/>
    </row>
    <row r="19" spans="1:17" ht="15.6">
      <c r="A19" s="544" t="s">
        <v>29</v>
      </c>
      <c r="B19" s="506">
        <v>633659</v>
      </c>
      <c r="C19" s="520">
        <v>262872</v>
      </c>
      <c r="D19" s="460">
        <f>161928+54011+52836</f>
        <v>268775</v>
      </c>
      <c r="E19" s="546">
        <v>52836</v>
      </c>
      <c r="F19" s="193"/>
      <c r="G19" s="194"/>
      <c r="H19" s="194"/>
      <c r="I19" s="194"/>
      <c r="J19" s="194"/>
      <c r="K19" s="194"/>
      <c r="L19" s="194"/>
      <c r="M19" s="194"/>
      <c r="N19" s="284"/>
      <c r="O19" s="468">
        <f t="shared" si="2"/>
        <v>1.0224557959767491</v>
      </c>
      <c r="P19" s="79"/>
      <c r="Q19" s="499"/>
    </row>
    <row r="20" spans="1:17" ht="15.6">
      <c r="A20" s="545" t="s">
        <v>134</v>
      </c>
      <c r="B20" s="507">
        <v>255481</v>
      </c>
      <c r="C20" s="521">
        <v>109228</v>
      </c>
      <c r="D20" s="461">
        <f>86240+22448</f>
        <v>108688</v>
      </c>
      <c r="E20" s="547">
        <v>22448</v>
      </c>
      <c r="F20" s="21"/>
      <c r="G20" s="22"/>
      <c r="H20" s="22"/>
      <c r="I20" s="22"/>
      <c r="J20" s="22"/>
      <c r="K20" s="22"/>
      <c r="L20" s="22"/>
      <c r="M20" s="22"/>
      <c r="N20" s="278"/>
      <c r="O20" s="468">
        <f t="shared" si="2"/>
        <v>0.99505621269271616</v>
      </c>
      <c r="P20" s="82"/>
    </row>
    <row r="21" spans="1:17" ht="15.6">
      <c r="A21" s="545" t="s">
        <v>31</v>
      </c>
      <c r="B21" s="507">
        <v>92242</v>
      </c>
      <c r="C21" s="521">
        <v>60593</v>
      </c>
      <c r="D21" s="461">
        <f>15392+5518+8672</f>
        <v>29582</v>
      </c>
      <c r="E21" s="547">
        <v>8672</v>
      </c>
      <c r="F21" s="21"/>
      <c r="G21" s="22"/>
      <c r="H21" s="22"/>
      <c r="I21" s="22"/>
      <c r="J21" s="22"/>
      <c r="K21" s="22"/>
      <c r="L21" s="22"/>
      <c r="M21" s="22"/>
      <c r="N21" s="278"/>
      <c r="O21" s="468">
        <f t="shared" si="2"/>
        <v>0.48820820886901128</v>
      </c>
      <c r="P21" s="508"/>
    </row>
    <row r="22" spans="1:17" ht="15.6">
      <c r="A22" s="545" t="s">
        <v>32</v>
      </c>
      <c r="B22" s="507">
        <v>400078</v>
      </c>
      <c r="C22" s="521">
        <v>403715</v>
      </c>
      <c r="D22" s="461">
        <f>36183+30507+38929+42926+38815</f>
        <v>187360</v>
      </c>
      <c r="E22" s="547">
        <v>38815</v>
      </c>
      <c r="F22" s="21"/>
      <c r="G22" s="22"/>
      <c r="H22" s="22"/>
      <c r="I22" s="22"/>
      <c r="J22" s="22"/>
      <c r="K22" s="22"/>
      <c r="L22" s="22"/>
      <c r="M22" s="22"/>
      <c r="N22" s="278"/>
      <c r="O22" s="468">
        <f t="shared" si="2"/>
        <v>0.46408976629553028</v>
      </c>
      <c r="P22" s="508"/>
    </row>
    <row r="23" spans="1:17" ht="15.6">
      <c r="A23" s="545" t="s">
        <v>33</v>
      </c>
      <c r="B23" s="509">
        <v>171077</v>
      </c>
      <c r="C23" s="521">
        <v>148142</v>
      </c>
      <c r="D23" s="461">
        <f>60794+15126</f>
        <v>75920</v>
      </c>
      <c r="E23" s="547">
        <v>15126</v>
      </c>
      <c r="F23" s="21"/>
      <c r="G23" s="22"/>
      <c r="H23" s="22"/>
      <c r="I23" s="22"/>
      <c r="J23" s="22"/>
      <c r="K23" s="22"/>
      <c r="L23" s="22"/>
      <c r="M23" s="22"/>
      <c r="N23" s="278"/>
      <c r="O23" s="468">
        <f t="shared" si="2"/>
        <v>0.51248126797262084</v>
      </c>
      <c r="P23" s="508"/>
    </row>
    <row r="24" spans="1:17" ht="15.6">
      <c r="A24" s="545" t="s">
        <v>34</v>
      </c>
      <c r="B24" s="509">
        <v>270677</v>
      </c>
      <c r="C24" s="548"/>
      <c r="D24" s="461">
        <f>22071+9654+13100+21751+25961</f>
        <v>92537</v>
      </c>
      <c r="E24" s="547">
        <v>25961</v>
      </c>
      <c r="F24" s="22"/>
      <c r="G24" s="22"/>
      <c r="H24" s="25"/>
      <c r="I24" s="22"/>
      <c r="J24" s="22"/>
      <c r="K24" s="22"/>
      <c r="L24" s="22"/>
      <c r="M24" s="22"/>
      <c r="N24" s="278"/>
      <c r="O24" s="468"/>
      <c r="P24" s="508"/>
    </row>
    <row r="25" spans="1:17" ht="15.6">
      <c r="A25" s="553" t="s">
        <v>135</v>
      </c>
      <c r="B25" s="549"/>
      <c r="C25" s="550"/>
      <c r="D25" s="551">
        <f>3457+12735+18119</f>
        <v>34311</v>
      </c>
      <c r="E25" s="552">
        <v>18119</v>
      </c>
      <c r="F25" s="28"/>
      <c r="G25" s="28"/>
      <c r="H25" s="28"/>
      <c r="I25" s="28"/>
      <c r="J25" s="28"/>
      <c r="K25" s="28"/>
      <c r="L25" s="28"/>
      <c r="M25" s="28"/>
      <c r="N25" s="277"/>
      <c r="O25" s="468"/>
      <c r="P25" s="508"/>
    </row>
    <row r="26" spans="1:17">
      <c r="A26" s="510"/>
      <c r="B26" s="511"/>
      <c r="C26" s="515"/>
      <c r="D26" s="528"/>
      <c r="E26" s="511"/>
      <c r="F26" s="28"/>
      <c r="G26" s="28"/>
      <c r="H26" s="28"/>
      <c r="I26" s="28"/>
      <c r="J26" s="28"/>
      <c r="K26" s="28"/>
      <c r="L26" s="28"/>
      <c r="M26" s="28"/>
      <c r="N26" s="277"/>
      <c r="O26" s="73"/>
      <c r="P26" s="508"/>
    </row>
    <row r="27" spans="1:17">
      <c r="A27" s="510"/>
      <c r="B27" s="511"/>
      <c r="C27" s="523"/>
      <c r="D27" s="529"/>
      <c r="E27" s="512"/>
      <c r="F27" s="28"/>
      <c r="G27" s="28"/>
      <c r="H27" s="28"/>
      <c r="I27" s="28"/>
      <c r="J27" s="28"/>
      <c r="K27" s="28"/>
      <c r="L27" s="28"/>
      <c r="M27" s="28"/>
      <c r="N27" s="277"/>
      <c r="O27" s="73"/>
      <c r="P27" s="508"/>
    </row>
    <row r="28" spans="1:17">
      <c r="A28" s="6" t="s">
        <v>35</v>
      </c>
      <c r="B28" s="7">
        <f>SUM(B29:B32)</f>
        <v>860026</v>
      </c>
      <c r="C28" s="421">
        <v>339710</v>
      </c>
      <c r="D28" s="435">
        <f>SUM(D29:D32)</f>
        <v>395954</v>
      </c>
      <c r="E28" s="274">
        <f t="shared" ref="E28:L28" si="3">SUM(E29:E32)</f>
        <v>76068</v>
      </c>
      <c r="F28" s="9">
        <f t="shared" si="3"/>
        <v>27566</v>
      </c>
      <c r="G28" s="9">
        <f t="shared" si="3"/>
        <v>28847</v>
      </c>
      <c r="H28" s="9">
        <f t="shared" si="3"/>
        <v>11366</v>
      </c>
      <c r="I28" s="9">
        <f t="shared" si="3"/>
        <v>8289</v>
      </c>
      <c r="J28" s="9">
        <f t="shared" si="3"/>
        <v>0</v>
      </c>
      <c r="K28" s="72">
        <f t="shared" si="3"/>
        <v>12338</v>
      </c>
      <c r="L28" s="72">
        <f t="shared" si="3"/>
        <v>1580</v>
      </c>
      <c r="M28" s="72"/>
      <c r="N28" s="275">
        <f>SUM(N29:N32)</f>
        <v>0</v>
      </c>
      <c r="O28" s="73">
        <f t="shared" si="2"/>
        <v>1.1655647464013423</v>
      </c>
      <c r="P28" s="513"/>
    </row>
    <row r="29" spans="1:17">
      <c r="A29" s="386" t="s">
        <v>36</v>
      </c>
      <c r="B29" s="389">
        <f>30481+3346</f>
        <v>33827</v>
      </c>
      <c r="C29" s="515">
        <v>13573</v>
      </c>
      <c r="D29" s="597">
        <v>15606</v>
      </c>
      <c r="E29" s="598">
        <v>3389</v>
      </c>
      <c r="F29" s="13"/>
      <c r="G29" s="13"/>
      <c r="H29" s="13">
        <v>1689</v>
      </c>
      <c r="I29" s="13">
        <v>1700</v>
      </c>
      <c r="J29" s="12"/>
      <c r="K29" s="22">
        <f>473+678</f>
        <v>1151</v>
      </c>
      <c r="L29" s="22">
        <f>147+7</f>
        <v>154</v>
      </c>
      <c r="M29" s="22"/>
      <c r="N29" s="278"/>
      <c r="O29" s="468">
        <f t="shared" si="2"/>
        <v>1.1497826567450085</v>
      </c>
      <c r="P29" s="599"/>
    </row>
    <row r="30" spans="1:17">
      <c r="A30" s="31" t="s">
        <v>37</v>
      </c>
      <c r="B30" s="389">
        <v>675254</v>
      </c>
      <c r="C30" s="523">
        <v>259916</v>
      </c>
      <c r="D30" s="436">
        <f>64505+48073+62185+62452+59765</f>
        <v>296980</v>
      </c>
      <c r="E30" s="286">
        <f t="shared" ref="E30:E31" si="4">SUM(F30:J30)</f>
        <v>59765</v>
      </c>
      <c r="F30" s="33">
        <v>22888</v>
      </c>
      <c r="G30" s="33">
        <v>23059</v>
      </c>
      <c r="H30" s="33">
        <v>7411</v>
      </c>
      <c r="I30" s="33">
        <v>6407</v>
      </c>
      <c r="J30" s="41"/>
      <c r="K30" s="52">
        <f>4095+3452+1413+991</f>
        <v>9951</v>
      </c>
      <c r="L30" s="52">
        <f>63+761+308</f>
        <v>1132</v>
      </c>
      <c r="M30" s="28">
        <v>0</v>
      </c>
      <c r="N30" s="277">
        <v>0</v>
      </c>
      <c r="O30" s="468">
        <f t="shared" si="2"/>
        <v>1.142599916896228</v>
      </c>
    </row>
    <row r="31" spans="1:17">
      <c r="A31" s="31" t="s">
        <v>38</v>
      </c>
      <c r="B31" s="392">
        <f>120488+12239+18218</f>
        <v>150945</v>
      </c>
      <c r="C31" s="524">
        <v>67221</v>
      </c>
      <c r="D31" s="437">
        <f>22490+11900+19473+16591+12914</f>
        <v>83368</v>
      </c>
      <c r="E31" s="286">
        <f t="shared" si="4"/>
        <v>12914</v>
      </c>
      <c r="F31" s="33">
        <v>4678</v>
      </c>
      <c r="G31" s="33">
        <v>5788</v>
      </c>
      <c r="H31" s="33">
        <v>2266</v>
      </c>
      <c r="I31" s="33">
        <v>182</v>
      </c>
      <c r="J31" s="12"/>
      <c r="K31" s="87">
        <f>338+623+141+134</f>
        <v>1236</v>
      </c>
      <c r="L31" s="87">
        <f>194+3+97</f>
        <v>294</v>
      </c>
      <c r="M31" s="22"/>
      <c r="N31" s="278"/>
      <c r="O31" s="468">
        <f t="shared" si="2"/>
        <v>1.2402076731973639</v>
      </c>
    </row>
    <row r="32" spans="1:17">
      <c r="A32" s="31" t="s">
        <v>39</v>
      </c>
      <c r="B32" s="14">
        <v>0</v>
      </c>
      <c r="C32" s="422">
        <v>0</v>
      </c>
      <c r="D32" s="429"/>
      <c r="E32" s="286">
        <f t="shared" ref="E32" si="5">F32+G32+H32+I32+J32</f>
        <v>0</v>
      </c>
      <c r="F32" s="13"/>
      <c r="G32" s="13"/>
      <c r="H32" s="13"/>
      <c r="I32" s="13"/>
      <c r="J32" s="13"/>
      <c r="K32" s="22"/>
      <c r="L32" s="22"/>
      <c r="M32" s="22"/>
      <c r="N32" s="278"/>
      <c r="O32" s="73"/>
    </row>
    <row r="33" spans="1:16">
      <c r="A33" s="31"/>
      <c r="B33" s="387"/>
      <c r="C33" s="422"/>
      <c r="D33" s="383"/>
      <c r="E33" s="287"/>
      <c r="F33" s="36"/>
      <c r="G33" s="36"/>
      <c r="H33" s="36"/>
      <c r="I33" s="36"/>
      <c r="J33" s="36"/>
      <c r="K33" s="36"/>
      <c r="L33" s="36"/>
      <c r="M33" s="36"/>
      <c r="N33" s="288"/>
      <c r="O33" s="73"/>
    </row>
    <row r="34" spans="1:16">
      <c r="A34" s="6" t="s">
        <v>40</v>
      </c>
      <c r="B34" s="7">
        <f>SUM(B35:B45)</f>
        <v>8314054</v>
      </c>
      <c r="C34" s="421">
        <v>3239967</v>
      </c>
      <c r="D34" s="435">
        <f>SUM(D35:D45)</f>
        <v>3657494</v>
      </c>
      <c r="E34" s="274">
        <f t="shared" ref="E34:N34" si="6">SUM(E35:E45)</f>
        <v>758729</v>
      </c>
      <c r="F34" s="9">
        <f t="shared" si="6"/>
        <v>311266</v>
      </c>
      <c r="G34" s="9">
        <f t="shared" si="6"/>
        <v>239478</v>
      </c>
      <c r="H34" s="9">
        <f t="shared" si="6"/>
        <v>97378</v>
      </c>
      <c r="I34" s="9">
        <f t="shared" si="6"/>
        <v>109192</v>
      </c>
      <c r="J34" s="9">
        <f t="shared" si="6"/>
        <v>1415</v>
      </c>
      <c r="K34" s="72">
        <f t="shared" si="6"/>
        <v>169421</v>
      </c>
      <c r="L34" s="72">
        <f t="shared" si="6"/>
        <v>26796</v>
      </c>
      <c r="M34" s="72">
        <f t="shared" si="6"/>
        <v>3815</v>
      </c>
      <c r="N34" s="275">
        <f t="shared" si="6"/>
        <v>57713</v>
      </c>
      <c r="O34" s="73">
        <f t="shared" si="2"/>
        <v>1.1288676705657805</v>
      </c>
    </row>
    <row r="35" spans="1:16">
      <c r="A35" s="386" t="s">
        <v>41</v>
      </c>
      <c r="B35" s="14">
        <f>439746+58130+61049</f>
        <v>558925</v>
      </c>
      <c r="C35" s="422">
        <v>203006</v>
      </c>
      <c r="D35" s="429">
        <f>176793+71526+59980</f>
        <v>308299</v>
      </c>
      <c r="E35" s="286">
        <f t="shared" ref="E35:E44" si="7">SUM(F35:J35)</f>
        <v>59980</v>
      </c>
      <c r="F35" s="13"/>
      <c r="G35" s="13"/>
      <c r="H35" s="13">
        <v>19701</v>
      </c>
      <c r="I35" s="13">
        <v>40279</v>
      </c>
      <c r="J35" s="13"/>
      <c r="K35" s="88">
        <f>24+1405</f>
        <v>1429</v>
      </c>
      <c r="L35" s="88">
        <f>375</f>
        <v>375</v>
      </c>
      <c r="M35" s="88"/>
      <c r="N35" s="289"/>
      <c r="O35" s="468">
        <f t="shared" si="2"/>
        <v>1.5186693989340216</v>
      </c>
    </row>
    <row r="36" spans="1:16">
      <c r="A36" s="386" t="s">
        <v>42</v>
      </c>
      <c r="B36" s="14">
        <f>506252+63971</f>
        <v>570223</v>
      </c>
      <c r="C36" s="422">
        <v>198808</v>
      </c>
      <c r="D36" s="429">
        <f>58796+40986+58237+58418+48813</f>
        <v>265250</v>
      </c>
      <c r="E36" s="286">
        <f t="shared" si="7"/>
        <v>48813</v>
      </c>
      <c r="F36" s="12"/>
      <c r="G36" s="12"/>
      <c r="H36" s="13">
        <v>8824</v>
      </c>
      <c r="I36" s="13">
        <v>39989</v>
      </c>
      <c r="J36" s="13"/>
      <c r="K36" s="88">
        <f>63+1237</f>
        <v>1300</v>
      </c>
      <c r="L36" s="88">
        <f>655</f>
        <v>655</v>
      </c>
      <c r="M36" s="88"/>
      <c r="N36" s="289">
        <v>48813</v>
      </c>
      <c r="O36" s="468">
        <f t="shared" si="2"/>
        <v>1.3342018429841858</v>
      </c>
    </row>
    <row r="37" spans="1:16">
      <c r="A37" s="386" t="s">
        <v>43</v>
      </c>
      <c r="B37" s="464">
        <f>42017+51282+45948+47390+55304+49234+45680+47437+43911+34616+30188+41910</f>
        <v>534917</v>
      </c>
      <c r="C37" s="525">
        <v>241941</v>
      </c>
      <c r="D37" s="466">
        <f>43919+38655+49389+49920+41452</f>
        <v>223335</v>
      </c>
      <c r="E37" s="286">
        <f t="shared" si="7"/>
        <v>41452</v>
      </c>
      <c r="F37" s="13">
        <v>15922</v>
      </c>
      <c r="G37" s="13">
        <v>18129</v>
      </c>
      <c r="H37" s="13">
        <v>2999</v>
      </c>
      <c r="I37" s="291">
        <v>3028</v>
      </c>
      <c r="J37" s="13">
        <v>1374</v>
      </c>
      <c r="K37" s="88">
        <f>3247+5392+825+459+40</f>
        <v>9963</v>
      </c>
      <c r="L37" s="88">
        <f>637+75+77+490</f>
        <v>1279</v>
      </c>
      <c r="M37" s="88">
        <v>3068</v>
      </c>
      <c r="N37" s="289"/>
      <c r="O37" s="468">
        <f t="shared" si="2"/>
        <v>0.92309695338946274</v>
      </c>
    </row>
    <row r="38" spans="1:16">
      <c r="A38" s="31" t="s">
        <v>44</v>
      </c>
      <c r="B38" s="393">
        <f>154869+18461+17185+18184+22072</f>
        <v>230771</v>
      </c>
      <c r="C38" s="526">
        <v>78439</v>
      </c>
      <c r="D38" s="449">
        <f>20214+11681+23581+25619+22301</f>
        <v>103396</v>
      </c>
      <c r="E38" s="286">
        <f t="shared" si="7"/>
        <v>22301</v>
      </c>
      <c r="F38" s="13"/>
      <c r="G38" s="13">
        <v>8</v>
      </c>
      <c r="H38" s="13">
        <v>11231</v>
      </c>
      <c r="I38" s="13">
        <v>11062</v>
      </c>
      <c r="J38" s="89"/>
      <c r="K38" s="90">
        <f>3250+2469</f>
        <v>5719</v>
      </c>
      <c r="L38" s="88">
        <f>409+941</f>
        <v>1350</v>
      </c>
      <c r="M38" s="88">
        <v>443</v>
      </c>
      <c r="N38" s="289">
        <v>0</v>
      </c>
      <c r="O38" s="468">
        <f t="shared" si="2"/>
        <v>1.3181708078889327</v>
      </c>
    </row>
    <row r="39" spans="1:16" ht="15.6">
      <c r="A39" s="31" t="s">
        <v>45</v>
      </c>
      <c r="B39" s="394">
        <f>50925+32855+32535+28886+28236+30552+33558+32390+29858+33841+31383</f>
        <v>365019</v>
      </c>
      <c r="C39" s="527">
        <v>145201</v>
      </c>
      <c r="D39" s="450">
        <f>36191+20920+29070+23929+27875</f>
        <v>137985</v>
      </c>
      <c r="E39" s="286">
        <f t="shared" si="7"/>
        <v>27875</v>
      </c>
      <c r="F39" s="292"/>
      <c r="G39" s="292"/>
      <c r="H39" s="503">
        <v>14240</v>
      </c>
      <c r="I39" s="504">
        <v>13635</v>
      </c>
      <c r="J39" s="13"/>
      <c r="K39" s="52">
        <f>5016+4163</f>
        <v>9179</v>
      </c>
      <c r="L39" s="22">
        <f>248+980</f>
        <v>1228</v>
      </c>
      <c r="M39" s="22">
        <v>304</v>
      </c>
      <c r="N39" s="278">
        <v>603</v>
      </c>
      <c r="O39" s="468">
        <f t="shared" si="2"/>
        <v>0.95030337256630459</v>
      </c>
      <c r="P39" s="2" t="s">
        <v>142</v>
      </c>
    </row>
    <row r="40" spans="1:16">
      <c r="A40" s="31" t="s">
        <v>46</v>
      </c>
      <c r="B40" s="394">
        <f>5696+3958+5815+9110+7468+13154+12856+16704+16494+13524+11707+13991</f>
        <v>130477</v>
      </c>
      <c r="C40" s="527">
        <v>32047</v>
      </c>
      <c r="D40" s="450">
        <f>12008+9467+14763+14113+14691</f>
        <v>65042</v>
      </c>
      <c r="E40" s="286">
        <f t="shared" si="7"/>
        <v>14691</v>
      </c>
      <c r="F40" s="13">
        <v>3600</v>
      </c>
      <c r="G40" s="13">
        <v>8885</v>
      </c>
      <c r="H40" s="13">
        <v>966</v>
      </c>
      <c r="I40" s="13">
        <v>1199</v>
      </c>
      <c r="J40" s="13">
        <v>41</v>
      </c>
      <c r="K40" s="22">
        <f>1530+1619+303+118</f>
        <v>3570</v>
      </c>
      <c r="L40" s="22">
        <f>10+1838+13+343+21</f>
        <v>2225</v>
      </c>
      <c r="M40" s="88"/>
      <c r="N40" s="289">
        <v>4</v>
      </c>
      <c r="O40" s="468">
        <f t="shared" si="2"/>
        <v>2.02958155209536</v>
      </c>
    </row>
    <row r="41" spans="1:16">
      <c r="A41" s="31" t="s">
        <v>47</v>
      </c>
      <c r="B41" s="394">
        <f>372397+393542+480876+438506+433683+444706+469051+460647+432596+460939+470477+474708</f>
        <v>5332128</v>
      </c>
      <c r="C41" s="527">
        <v>2119004</v>
      </c>
      <c r="D41" s="450">
        <f>492323+373517+489518+501319+498148</f>
        <v>2354825</v>
      </c>
      <c r="E41" s="286">
        <f t="shared" si="7"/>
        <v>498148</v>
      </c>
      <c r="F41" s="13">
        <v>287038</v>
      </c>
      <c r="G41" s="13">
        <v>211110</v>
      </c>
      <c r="H41" s="13"/>
      <c r="I41" s="12"/>
      <c r="J41" s="13"/>
      <c r="K41" s="87">
        <f>78837+59050</f>
        <v>137887</v>
      </c>
      <c r="L41" s="87">
        <f>5635+13812</f>
        <v>19447</v>
      </c>
      <c r="M41" s="88"/>
      <c r="N41" s="289"/>
      <c r="O41" s="468">
        <f t="shared" si="2"/>
        <v>1.1112886054014055</v>
      </c>
    </row>
    <row r="42" spans="1:16">
      <c r="A42" s="31" t="s">
        <v>48</v>
      </c>
      <c r="B42" s="394">
        <f>32440+39588+48102+43548+41412+40968+51704+51435+55440+57617+45700+41689</f>
        <v>549643</v>
      </c>
      <c r="C42" s="527">
        <v>205090</v>
      </c>
      <c r="D42" s="450">
        <f>41444+27037+39698+37856+42480</f>
        <v>188515</v>
      </c>
      <c r="E42" s="286">
        <f t="shared" si="7"/>
        <v>42480</v>
      </c>
      <c r="F42" s="1035">
        <v>3063</v>
      </c>
      <c r="G42" s="1035"/>
      <c r="H42" s="1035">
        <v>39417</v>
      </c>
      <c r="I42" s="1035"/>
      <c r="J42" s="13"/>
      <c r="K42" s="88"/>
      <c r="L42" s="88"/>
      <c r="M42" s="88"/>
      <c r="N42" s="289"/>
      <c r="O42" s="468">
        <f t="shared" si="2"/>
        <v>0.91918182261446191</v>
      </c>
    </row>
    <row r="43" spans="1:16">
      <c r="A43" s="31" t="s">
        <v>49</v>
      </c>
      <c r="B43" s="389">
        <f>SUM(D43:G43)</f>
        <v>0</v>
      </c>
      <c r="C43" s="527">
        <v>0</v>
      </c>
      <c r="D43" s="436"/>
      <c r="E43" s="286">
        <f t="shared" si="7"/>
        <v>0</v>
      </c>
      <c r="F43" s="13"/>
      <c r="G43" s="13"/>
      <c r="H43" s="13"/>
      <c r="I43" s="13"/>
      <c r="J43" s="13"/>
      <c r="K43" s="88"/>
      <c r="L43" s="88"/>
      <c r="M43" s="88"/>
      <c r="N43" s="289"/>
      <c r="O43" s="468"/>
    </row>
    <row r="44" spans="1:16">
      <c r="A44" s="31" t="s">
        <v>50</v>
      </c>
      <c r="B44" s="395">
        <f>2388+2166+2181+2143+2735+2159+2232+3124+2401+2891+2264+3229</f>
        <v>29913</v>
      </c>
      <c r="C44" s="423">
        <v>11613</v>
      </c>
      <c r="D44" s="438">
        <f>1591+185+300+228+282</f>
        <v>2586</v>
      </c>
      <c r="E44" s="286">
        <f t="shared" si="7"/>
        <v>282</v>
      </c>
      <c r="F44" s="13">
        <v>97</v>
      </c>
      <c r="G44" s="13">
        <v>185</v>
      </c>
      <c r="H44" s="13"/>
      <c r="I44" s="13"/>
      <c r="J44" s="13"/>
      <c r="K44" s="88">
        <f>185</f>
        <v>185</v>
      </c>
      <c r="L44" s="88">
        <f>97</f>
        <v>97</v>
      </c>
      <c r="M44" s="88"/>
      <c r="N44" s="289">
        <v>32</v>
      </c>
      <c r="O44" s="468">
        <f t="shared" si="2"/>
        <v>0.22268147765435289</v>
      </c>
    </row>
    <row r="45" spans="1:16">
      <c r="A45" s="31" t="s">
        <v>51</v>
      </c>
      <c r="B45" s="395">
        <v>12038</v>
      </c>
      <c r="C45" s="423">
        <v>4818</v>
      </c>
      <c r="D45" s="438">
        <f>5554+2707</f>
        <v>8261</v>
      </c>
      <c r="E45" s="286">
        <f>SUM(F45:J45)</f>
        <v>2707</v>
      </c>
      <c r="F45" s="13">
        <v>1546</v>
      </c>
      <c r="G45" s="13">
        <v>1161</v>
      </c>
      <c r="H45" s="13"/>
      <c r="I45" s="13"/>
      <c r="J45" s="91"/>
      <c r="K45" s="90">
        <f>54+135</f>
        <v>189</v>
      </c>
      <c r="L45" s="88">
        <f>138+2</f>
        <v>140</v>
      </c>
      <c r="M45" s="88"/>
      <c r="N45" s="289">
        <v>8261</v>
      </c>
      <c r="O45" s="468">
        <f t="shared" si="2"/>
        <v>1.7146118721461188</v>
      </c>
    </row>
    <row r="46" spans="1:16" ht="17.100000000000001" customHeight="1">
      <c r="A46" s="31"/>
      <c r="B46" s="233"/>
      <c r="C46" s="938"/>
      <c r="D46" s="939"/>
      <c r="E46" s="940"/>
      <c r="F46" s="941"/>
      <c r="G46" s="941"/>
      <c r="H46" s="44"/>
      <c r="I46" s="44"/>
      <c r="J46" s="44"/>
      <c r="K46" s="44"/>
      <c r="L46" s="44"/>
      <c r="M46" s="44"/>
      <c r="N46" s="295"/>
      <c r="O46" s="73"/>
    </row>
    <row r="47" spans="1:16">
      <c r="A47" s="6" t="s">
        <v>52</v>
      </c>
      <c r="B47" s="928">
        <f t="shared" ref="B47:G47" si="8">SUM(B48:B55)</f>
        <v>4797590</v>
      </c>
      <c r="C47" s="928">
        <f>SUM(C48:C55)</f>
        <v>1743915</v>
      </c>
      <c r="D47" s="936">
        <f>SUM(D48:D55)</f>
        <v>2358062</v>
      </c>
      <c r="E47" s="936">
        <f t="shared" si="8"/>
        <v>511862.9220436592</v>
      </c>
      <c r="F47" s="925">
        <f t="shared" si="8"/>
        <v>209183</v>
      </c>
      <c r="G47" s="925">
        <f t="shared" si="8"/>
        <v>240031.9220436592</v>
      </c>
      <c r="H47" s="9">
        <f t="shared" ref="H47:N47" si="9">SUM(H48:H55)</f>
        <v>6039</v>
      </c>
      <c r="I47" s="9">
        <f t="shared" si="9"/>
        <v>2298</v>
      </c>
      <c r="J47" s="9">
        <f t="shared" si="9"/>
        <v>54311</v>
      </c>
      <c r="K47" s="72">
        <f t="shared" si="9"/>
        <v>33448</v>
      </c>
      <c r="L47" s="72">
        <f t="shared" si="9"/>
        <v>14176</v>
      </c>
      <c r="M47" s="72">
        <f t="shared" si="9"/>
        <v>0</v>
      </c>
      <c r="N47" s="275">
        <f t="shared" si="9"/>
        <v>56536</v>
      </c>
      <c r="O47" s="73">
        <f t="shared" si="2"/>
        <v>1.3521656732122838</v>
      </c>
    </row>
    <row r="48" spans="1:16">
      <c r="A48" s="31" t="s">
        <v>53</v>
      </c>
      <c r="B48" s="14">
        <v>0</v>
      </c>
      <c r="C48" s="422">
        <v>0</v>
      </c>
      <c r="D48" s="429"/>
      <c r="E48" s="286">
        <f t="shared" ref="E48" si="10">F48+G48+H48+I48+J48</f>
        <v>0</v>
      </c>
      <c r="F48" s="13"/>
      <c r="G48" s="13"/>
      <c r="H48" s="13"/>
      <c r="I48" s="13"/>
      <c r="J48" s="13"/>
      <c r="K48" s="36"/>
      <c r="L48" s="36"/>
      <c r="M48" s="36"/>
      <c r="N48" s="288"/>
      <c r="O48" s="73"/>
    </row>
    <row r="49" spans="1:16">
      <c r="A49" s="1075" t="s">
        <v>54</v>
      </c>
      <c r="B49" s="1057">
        <f>127394+89400+147995+127434+174236+176428+189135+187087+174544+192913+163797+135579</f>
        <v>1885942</v>
      </c>
      <c r="C49" s="1077">
        <v>666459</v>
      </c>
      <c r="D49" s="1059">
        <f>152617+131920+130997+153389+149066</f>
        <v>717989</v>
      </c>
      <c r="E49" s="1019">
        <f>F49+G49+H49+I49+J49</f>
        <v>149066</v>
      </c>
      <c r="F49" s="1016">
        <v>62837</v>
      </c>
      <c r="G49" s="1016">
        <v>70194</v>
      </c>
      <c r="H49" s="1016">
        <v>6039</v>
      </c>
      <c r="I49" s="1016">
        <v>2298</v>
      </c>
      <c r="J49" s="1083">
        <v>7698</v>
      </c>
      <c r="K49" s="1017">
        <f>3666+7367+1002+304+921</f>
        <v>13260</v>
      </c>
      <c r="L49" s="1017">
        <f>4131+79+11+196+21</f>
        <v>4438</v>
      </c>
      <c r="M49" s="1017"/>
      <c r="N49" s="1018"/>
      <c r="O49" s="1084">
        <f t="shared" si="2"/>
        <v>1.0773190848949448</v>
      </c>
      <c r="P49" s="1080"/>
    </row>
    <row r="50" spans="1:16">
      <c r="A50" s="1076"/>
      <c r="B50" s="1058"/>
      <c r="C50" s="1077"/>
      <c r="D50" s="1060"/>
      <c r="E50" s="1020"/>
      <c r="F50" s="1016"/>
      <c r="G50" s="1016"/>
      <c r="H50" s="1016"/>
      <c r="I50" s="1016"/>
      <c r="J50" s="1083"/>
      <c r="K50" s="1017"/>
      <c r="L50" s="1017"/>
      <c r="M50" s="1017"/>
      <c r="N50" s="1018"/>
      <c r="O50" s="1085"/>
      <c r="P50" s="1080"/>
    </row>
    <row r="51" spans="1:16">
      <c r="A51" s="31" t="s">
        <v>56</v>
      </c>
      <c r="B51" s="397">
        <f>47356+52560+79724+85499+66734+68133+73487+69407+60723+61109+72181+84025</f>
        <v>820938</v>
      </c>
      <c r="C51" s="423">
        <v>331873</v>
      </c>
      <c r="D51" s="440">
        <f>97537+55586+99611+80866+84077</f>
        <v>417677</v>
      </c>
      <c r="E51" s="286">
        <f t="shared" ref="E51:E53" si="11">SUM(F51:J51)</f>
        <v>84077</v>
      </c>
      <c r="F51" s="45">
        <v>33572</v>
      </c>
      <c r="G51" s="33">
        <v>43520</v>
      </c>
      <c r="H51" s="46"/>
      <c r="I51" s="12"/>
      <c r="J51" s="33">
        <v>6985</v>
      </c>
      <c r="K51" s="87">
        <f>1137+3846+1541</f>
        <v>6524</v>
      </c>
      <c r="L51" s="81">
        <f>1847+4+520</f>
        <v>2371</v>
      </c>
      <c r="M51" s="36"/>
      <c r="N51" s="288"/>
      <c r="O51" s="468">
        <f t="shared" si="2"/>
        <v>1.2585446842617507</v>
      </c>
      <c r="P51" s="385"/>
    </row>
    <row r="52" spans="1:16">
      <c r="A52" s="17" t="s">
        <v>57</v>
      </c>
      <c r="B52" s="395">
        <f>38855+42860+48337+46082+47751+44611+75076+55809+60576+63502+55882+64932</f>
        <v>644273</v>
      </c>
      <c r="C52" s="423">
        <v>223885</v>
      </c>
      <c r="D52" s="438">
        <f>59734+65037+69566+76869+85180</f>
        <v>356386</v>
      </c>
      <c r="E52" s="286">
        <f t="shared" si="11"/>
        <v>85180</v>
      </c>
      <c r="F52" s="13">
        <v>28568</v>
      </c>
      <c r="G52" s="13">
        <v>34285</v>
      </c>
      <c r="H52" s="13"/>
      <c r="I52" s="92"/>
      <c r="J52" s="13">
        <v>22327</v>
      </c>
      <c r="K52" s="22">
        <f>1241+3971</f>
        <v>5212</v>
      </c>
      <c r="L52" s="22">
        <f>3847+32</f>
        <v>3879</v>
      </c>
      <c r="M52" s="36"/>
      <c r="N52" s="288"/>
      <c r="O52" s="468">
        <f t="shared" si="2"/>
        <v>1.591826160752172</v>
      </c>
      <c r="P52" s="385"/>
    </row>
    <row r="53" spans="1:16">
      <c r="A53" s="17" t="s">
        <v>58</v>
      </c>
      <c r="B53" s="395">
        <f>38927+25455+65397+44769+34250+34453+44944+60275+38990+46527+28707+33843</f>
        <v>496537</v>
      </c>
      <c r="C53" s="423">
        <v>208798</v>
      </c>
      <c r="D53" s="438">
        <f>47624+41548+39771+61527+61540</f>
        <v>252010</v>
      </c>
      <c r="E53" s="286">
        <f t="shared" si="11"/>
        <v>61540</v>
      </c>
      <c r="F53" s="13">
        <v>26417</v>
      </c>
      <c r="G53" s="13">
        <v>17822</v>
      </c>
      <c r="H53" s="13"/>
      <c r="I53" s="13"/>
      <c r="J53" s="13">
        <v>17301</v>
      </c>
      <c r="K53" s="88">
        <f>1253+2359+4840</f>
        <v>8452</v>
      </c>
      <c r="L53" s="88">
        <f>3370+13+105</f>
        <v>3488</v>
      </c>
      <c r="M53" s="88"/>
      <c r="N53" s="289">
        <v>56536</v>
      </c>
      <c r="O53" s="468">
        <f t="shared" si="2"/>
        <v>1.2069560053257216</v>
      </c>
      <c r="P53" s="385"/>
    </row>
    <row r="54" spans="1:16">
      <c r="A54" s="47" t="s">
        <v>59</v>
      </c>
      <c r="B54" s="905">
        <v>949900</v>
      </c>
      <c r="C54" s="929">
        <v>312900</v>
      </c>
      <c r="D54" s="930">
        <v>614000</v>
      </c>
      <c r="E54" s="598">
        <f>SUM(F54:N54)</f>
        <v>131999.9220436592</v>
      </c>
      <c r="F54" s="920">
        <v>57789</v>
      </c>
      <c r="G54" s="920">
        <v>74210.922043659186</v>
      </c>
      <c r="H54" s="48"/>
      <c r="I54" s="93"/>
      <c r="J54" s="94"/>
      <c r="K54" s="95"/>
      <c r="L54" s="95"/>
      <c r="M54" s="95"/>
      <c r="N54" s="296"/>
      <c r="O54" s="468">
        <f>+D54/C54</f>
        <v>1.9622882710131033</v>
      </c>
      <c r="P54" s="572"/>
    </row>
    <row r="55" spans="1:16">
      <c r="A55" s="17" t="s">
        <v>60</v>
      </c>
      <c r="B55" s="382"/>
      <c r="C55" s="423"/>
      <c r="D55" s="441"/>
      <c r="E55" s="287"/>
      <c r="F55" s="937"/>
      <c r="G55" s="915"/>
      <c r="H55" s="52"/>
      <c r="I55" s="514"/>
      <c r="J55" s="51"/>
      <c r="K55" s="36"/>
      <c r="L55" s="36"/>
      <c r="M55" s="36"/>
      <c r="N55" s="288"/>
      <c r="O55" s="468"/>
      <c r="P55" s="385"/>
    </row>
    <row r="56" spans="1:16">
      <c r="A56" s="17"/>
      <c r="B56" s="382"/>
      <c r="C56" s="422"/>
      <c r="D56" s="442"/>
      <c r="E56" s="517"/>
      <c r="F56" s="480"/>
      <c r="G56" s="480"/>
      <c r="H56" s="52"/>
      <c r="I56" s="28"/>
      <c r="J56" s="22"/>
      <c r="K56" s="36"/>
      <c r="L56" s="36"/>
      <c r="M56" s="36"/>
      <c r="N56" s="288"/>
      <c r="O56" s="468"/>
      <c r="P56" s="385"/>
    </row>
    <row r="57" spans="1:16">
      <c r="A57" s="54" t="s">
        <v>61</v>
      </c>
      <c r="B57" s="218">
        <f>SUM(B58:B65)</f>
        <v>71421</v>
      </c>
      <c r="C57" s="424">
        <v>32062</v>
      </c>
      <c r="D57" s="443">
        <f>SUM(D58:D65)</f>
        <v>22649</v>
      </c>
      <c r="E57" s="298">
        <f t="shared" ref="E57:N57" si="12">SUM(E58:E65)</f>
        <v>4255</v>
      </c>
      <c r="F57" s="55">
        <f t="shared" si="12"/>
        <v>243</v>
      </c>
      <c r="G57" s="55">
        <f t="shared" si="12"/>
        <v>283</v>
      </c>
      <c r="H57" s="55">
        <f t="shared" si="12"/>
        <v>1741</v>
      </c>
      <c r="I57" s="55">
        <f t="shared" si="12"/>
        <v>1988</v>
      </c>
      <c r="J57" s="55">
        <f t="shared" si="12"/>
        <v>0</v>
      </c>
      <c r="K57" s="97">
        <f t="shared" si="12"/>
        <v>1394</v>
      </c>
      <c r="L57" s="97">
        <f t="shared" si="12"/>
        <v>2003</v>
      </c>
      <c r="M57" s="97">
        <f t="shared" si="12"/>
        <v>0</v>
      </c>
      <c r="N57" s="299">
        <f t="shared" si="12"/>
        <v>3089</v>
      </c>
      <c r="O57" s="73">
        <f t="shared" si="2"/>
        <v>0.70641257563470772</v>
      </c>
      <c r="P57" s="385"/>
    </row>
    <row r="58" spans="1:16">
      <c r="A58" s="17" t="s">
        <v>62</v>
      </c>
      <c r="B58" s="395">
        <f>122+557+792+366+499+468+393+769+628+559+497+230</f>
        <v>5880</v>
      </c>
      <c r="C58" s="423">
        <v>2336</v>
      </c>
      <c r="D58" s="530">
        <f>335+74+675+1816+624</f>
        <v>3524</v>
      </c>
      <c r="E58" s="516">
        <f t="shared" ref="E58:E65" si="13">SUM(F58:J58)</f>
        <v>624</v>
      </c>
      <c r="F58" s="291"/>
      <c r="G58" s="13"/>
      <c r="H58" s="57">
        <v>149</v>
      </c>
      <c r="I58" s="13">
        <v>475</v>
      </c>
      <c r="J58" s="13"/>
      <c r="K58" s="36">
        <f>95+50</f>
        <v>145</v>
      </c>
      <c r="L58" s="36">
        <f>61</f>
        <v>61</v>
      </c>
      <c r="M58" s="36"/>
      <c r="N58" s="288"/>
      <c r="O58" s="468">
        <f t="shared" si="2"/>
        <v>1.5085616438356164</v>
      </c>
      <c r="P58" s="1080"/>
    </row>
    <row r="59" spans="1:16">
      <c r="A59" s="17" t="s">
        <v>63</v>
      </c>
      <c r="B59" s="14"/>
      <c r="C59" s="422"/>
      <c r="D59" s="430"/>
      <c r="E59" s="516">
        <f t="shared" si="13"/>
        <v>0</v>
      </c>
      <c r="F59" s="58"/>
      <c r="G59" s="11"/>
      <c r="H59" s="13"/>
      <c r="I59" s="13"/>
      <c r="J59" s="13"/>
      <c r="K59" s="36"/>
      <c r="L59" s="36"/>
      <c r="M59" s="36"/>
      <c r="N59" s="288"/>
      <c r="O59" s="468"/>
      <c r="P59" s="1080"/>
    </row>
    <row r="60" spans="1:16">
      <c r="A60" s="17" t="s">
        <v>64</v>
      </c>
      <c r="B60" s="395">
        <f>774+884+1093+1806+989+1127+1587+1317+1182+1138+1729+1456</f>
        <v>15082</v>
      </c>
      <c r="C60" s="423">
        <v>5546</v>
      </c>
      <c r="D60" s="530">
        <f>1670+1062+1129+1350+1391</f>
        <v>6602</v>
      </c>
      <c r="E60" s="516">
        <f t="shared" si="13"/>
        <v>1391</v>
      </c>
      <c r="F60" s="57"/>
      <c r="G60" s="11"/>
      <c r="H60" s="13">
        <v>723</v>
      </c>
      <c r="I60" s="13">
        <v>668</v>
      </c>
      <c r="J60" s="13"/>
      <c r="K60" s="36">
        <f>165+269</f>
        <v>434</v>
      </c>
      <c r="L60" s="36">
        <f>286+177</f>
        <v>463</v>
      </c>
      <c r="M60" s="36"/>
      <c r="N60" s="288">
        <v>1391</v>
      </c>
      <c r="O60" s="468">
        <f t="shared" si="2"/>
        <v>1.1904075009015507</v>
      </c>
    </row>
    <row r="61" spans="1:16">
      <c r="A61" s="17" t="s">
        <v>65</v>
      </c>
      <c r="B61" s="14">
        <f>19101+1605+2057+920+1082</f>
        <v>24765</v>
      </c>
      <c r="C61" s="422">
        <v>14408</v>
      </c>
      <c r="D61" s="430">
        <f>1089+517+1381+2546+1336</f>
        <v>6869</v>
      </c>
      <c r="E61" s="516">
        <f t="shared" si="13"/>
        <v>1336</v>
      </c>
      <c r="F61" s="58"/>
      <c r="G61" s="11"/>
      <c r="H61" s="13">
        <v>661</v>
      </c>
      <c r="I61" s="13">
        <v>675</v>
      </c>
      <c r="J61" s="13"/>
      <c r="K61" s="22">
        <f>11+563</f>
        <v>574</v>
      </c>
      <c r="L61" s="22">
        <f>568+30</f>
        <v>598</v>
      </c>
      <c r="M61" s="36"/>
      <c r="N61" s="288">
        <v>1172</v>
      </c>
      <c r="O61" s="468">
        <f t="shared" si="2"/>
        <v>0.47674902831760135</v>
      </c>
    </row>
    <row r="62" spans="1:16">
      <c r="A62" s="398" t="s">
        <v>66</v>
      </c>
      <c r="B62" s="389">
        <f>SUM(D62:G62)</f>
        <v>0</v>
      </c>
      <c r="C62" s="422">
        <v>0</v>
      </c>
      <c r="D62" s="531"/>
      <c r="E62" s="516">
        <f t="shared" si="13"/>
        <v>0</v>
      </c>
      <c r="F62" s="476"/>
      <c r="G62" s="11"/>
      <c r="H62" s="13"/>
      <c r="I62" s="13"/>
      <c r="J62" s="13"/>
      <c r="K62" s="36"/>
      <c r="L62" s="36"/>
      <c r="M62" s="36"/>
      <c r="N62" s="288"/>
      <c r="O62" s="468"/>
    </row>
    <row r="63" spans="1:16">
      <c r="A63" s="17" t="s">
        <v>67</v>
      </c>
      <c r="B63" s="14">
        <v>19597</v>
      </c>
      <c r="C63" s="422">
        <v>6968</v>
      </c>
      <c r="D63" s="445">
        <f>949+632+800+680+378</f>
        <v>3439</v>
      </c>
      <c r="E63" s="516">
        <f t="shared" si="13"/>
        <v>378</v>
      </c>
      <c r="F63" s="58"/>
      <c r="G63" s="11"/>
      <c r="H63" s="13">
        <v>208</v>
      </c>
      <c r="I63" s="13">
        <v>170</v>
      </c>
      <c r="J63" s="13"/>
      <c r="K63" s="22">
        <f>230</f>
        <v>230</v>
      </c>
      <c r="L63" s="22">
        <f>450</f>
        <v>450</v>
      </c>
      <c r="M63" s="36"/>
      <c r="N63" s="288"/>
      <c r="O63" s="468">
        <f t="shared" si="2"/>
        <v>0.49354190585533869</v>
      </c>
    </row>
    <row r="64" spans="1:16">
      <c r="A64" s="399" t="s">
        <v>68</v>
      </c>
      <c r="B64" s="390"/>
      <c r="C64" s="423">
        <v>0</v>
      </c>
      <c r="D64" s="532"/>
      <c r="E64" s="516">
        <f t="shared" si="13"/>
        <v>0</v>
      </c>
      <c r="F64" s="57"/>
      <c r="G64" s="62"/>
      <c r="H64" s="12"/>
      <c r="I64" s="12"/>
      <c r="J64" s="12"/>
      <c r="K64" s="28"/>
      <c r="L64" s="28"/>
      <c r="M64" s="28"/>
      <c r="N64" s="277"/>
      <c r="O64" s="468"/>
    </row>
    <row r="65" spans="1:17">
      <c r="A65" s="17" t="s">
        <v>69</v>
      </c>
      <c r="B65" s="395">
        <f>3284+527+85+247+741+628+585</f>
        <v>6097</v>
      </c>
      <c r="C65" s="116">
        <v>2804</v>
      </c>
      <c r="D65" s="530">
        <f>703+210+509+267+526</f>
        <v>2215</v>
      </c>
      <c r="E65" s="516">
        <f t="shared" si="13"/>
        <v>526</v>
      </c>
      <c r="F65" s="13">
        <v>243</v>
      </c>
      <c r="G65" s="13">
        <v>283</v>
      </c>
      <c r="H65" s="13">
        <v>0</v>
      </c>
      <c r="I65" s="13"/>
      <c r="J65" s="13"/>
      <c r="K65" s="22">
        <f>11</f>
        <v>11</v>
      </c>
      <c r="L65" s="22">
        <f>211+220</f>
        <v>431</v>
      </c>
      <c r="M65" s="22"/>
      <c r="N65" s="278">
        <v>526</v>
      </c>
      <c r="O65" s="468">
        <f t="shared" si="2"/>
        <v>0.78994293865905851</v>
      </c>
    </row>
    <row r="66" spans="1:17" ht="15" thickBot="1">
      <c r="A66" s="477"/>
      <c r="B66" s="222"/>
      <c r="C66" s="522"/>
      <c r="D66" s="448"/>
      <c r="E66" s="451"/>
      <c r="F66" s="571"/>
      <c r="G66" s="178"/>
      <c r="H66" s="66"/>
      <c r="I66" s="66"/>
      <c r="J66" s="66"/>
      <c r="K66" s="66"/>
      <c r="L66" s="66"/>
      <c r="M66" s="66"/>
      <c r="N66" s="301"/>
      <c r="O66" s="73"/>
    </row>
    <row r="67" spans="1:17" s="1" customFormat="1" ht="20.100000000000001" customHeight="1" thickBot="1">
      <c r="A67" s="100" t="s">
        <v>70</v>
      </c>
      <c r="B67" s="942">
        <f>B6+B28+B34+B47+B57</f>
        <v>18561273</v>
      </c>
      <c r="C67" s="942">
        <f>C6+C28+C34+C47+C57</f>
        <v>7035358</v>
      </c>
      <c r="D67" s="931">
        <f>D6+D28+D34+D47+D57</f>
        <v>8546664</v>
      </c>
      <c r="E67" s="932">
        <f>E6+E28+E34+E47+E57</f>
        <v>1812005.9220436593</v>
      </c>
      <c r="F67" s="934">
        <f t="shared" ref="F67" si="14">F6+F28+F34+F47+F57</f>
        <v>751567</v>
      </c>
      <c r="G67" s="935">
        <f t="shared" ref="G67:N67" si="15">G6+G28+F34+G47+G57</f>
        <v>769814.92204365926</v>
      </c>
      <c r="H67" s="935">
        <f t="shared" si="15"/>
        <v>283417</v>
      </c>
      <c r="I67" s="102">
        <f t="shared" si="15"/>
        <v>139664</v>
      </c>
      <c r="J67" s="102">
        <f t="shared" si="15"/>
        <v>163503</v>
      </c>
      <c r="K67" s="127">
        <f t="shared" si="15"/>
        <v>48595</v>
      </c>
      <c r="L67" s="127">
        <f t="shared" si="15"/>
        <v>187180</v>
      </c>
      <c r="M67" s="127">
        <f t="shared" si="15"/>
        <v>26796</v>
      </c>
      <c r="N67" s="302">
        <f t="shared" si="15"/>
        <v>63440</v>
      </c>
      <c r="O67" s="406">
        <f t="shared" si="2"/>
        <v>1.2148157918900502</v>
      </c>
    </row>
    <row r="68" spans="1:17">
      <c r="A68" s="3"/>
      <c r="B68" s="3"/>
      <c r="C68" s="3"/>
      <c r="D68" s="501"/>
      <c r="E68" s="401" t="s">
        <v>156</v>
      </c>
      <c r="F68" s="554"/>
      <c r="G68" s="68"/>
      <c r="H68" s="3"/>
      <c r="I68" s="3"/>
      <c r="J68" s="3"/>
      <c r="K68" s="3"/>
      <c r="L68" s="68"/>
      <c r="M68" s="68" t="s">
        <v>141</v>
      </c>
      <c r="N68" s="68"/>
      <c r="O68" s="3"/>
    </row>
    <row r="69" spans="1:17">
      <c r="B69" s="3"/>
      <c r="C69" s="3"/>
      <c r="D69" s="68"/>
      <c r="E69" s="3"/>
      <c r="F69" s="68"/>
      <c r="G69" s="3"/>
      <c r="H69" s="3"/>
      <c r="I69" s="3"/>
      <c r="J69" s="3"/>
      <c r="K69" s="3"/>
      <c r="L69" s="68"/>
      <c r="M69" s="68"/>
      <c r="N69" s="68"/>
      <c r="O69" s="3"/>
    </row>
    <row r="70" spans="1:17" ht="15" thickBot="1">
      <c r="B70" s="3"/>
      <c r="C70" s="3"/>
      <c r="D70" s="104" t="s">
        <v>71</v>
      </c>
      <c r="E70" s="104" t="s">
        <v>72</v>
      </c>
      <c r="F70" s="104" t="s">
        <v>73</v>
      </c>
      <c r="G70" s="104" t="s">
        <v>74</v>
      </c>
      <c r="H70" s="104" t="s">
        <v>75</v>
      </c>
      <c r="I70" s="104" t="s">
        <v>76</v>
      </c>
      <c r="J70" s="104" t="s">
        <v>77</v>
      </c>
      <c r="K70" s="104" t="s">
        <v>78</v>
      </c>
      <c r="L70" s="104" t="s">
        <v>79</v>
      </c>
      <c r="M70" s="104" t="s">
        <v>80</v>
      </c>
      <c r="N70" s="104" t="s">
        <v>81</v>
      </c>
      <c r="O70" s="104" t="s">
        <v>82</v>
      </c>
      <c r="P70" s="104" t="s">
        <v>83</v>
      </c>
    </row>
    <row r="71" spans="1:17" ht="15" thickBot="1">
      <c r="B71" s="105" t="s">
        <v>84</v>
      </c>
      <c r="C71" s="105"/>
      <c r="D71" s="106">
        <v>1845076</v>
      </c>
      <c r="E71" s="106">
        <v>1453853.1301010782</v>
      </c>
      <c r="F71" s="407">
        <v>1812571.4812098993</v>
      </c>
      <c r="G71" s="106">
        <v>1892251.3322744532</v>
      </c>
      <c r="H71" s="805">
        <v>1870678</v>
      </c>
      <c r="I71" s="129"/>
      <c r="J71" s="106"/>
      <c r="K71" s="130"/>
      <c r="L71" s="22"/>
      <c r="M71" s="131"/>
      <c r="N71" s="111"/>
      <c r="O71" s="131"/>
      <c r="P71" s="132">
        <f>SUM(D71:O71)</f>
        <v>8874429.9435854312</v>
      </c>
    </row>
    <row r="72" spans="1:17">
      <c r="A72" s="3"/>
      <c r="B72" s="107" t="s">
        <v>85</v>
      </c>
      <c r="C72" s="107"/>
      <c r="D72" s="108"/>
      <c r="E72" s="109">
        <f>IF(D71&gt;0,E71/D71,0)*100</f>
        <v>78.796381834736252</v>
      </c>
      <c r="F72" s="109">
        <f>IF(E71&gt;0,F71/E71,0)*100</f>
        <v>124.67363062208914</v>
      </c>
      <c r="G72" s="109">
        <f>IF(F71&gt;0,G71/F71,0)*100</f>
        <v>104.39595634658045</v>
      </c>
      <c r="H72" s="109">
        <f>IF(G71&gt;0,H71/G71,0)*100</f>
        <v>98.859911899307662</v>
      </c>
      <c r="I72" s="109">
        <f>IF(H71&gt;0,I71/H71,0)*100</f>
        <v>0</v>
      </c>
      <c r="J72" s="109">
        <f>IF(H71&gt;0,J71/H71,0)*100</f>
        <v>0</v>
      </c>
      <c r="K72" s="109">
        <f>IF(J71&gt;0,K71/J71,0)*100</f>
        <v>0</v>
      </c>
      <c r="L72" s="109">
        <f>IF(K71&gt;0,L71/K71,0)*100</f>
        <v>0</v>
      </c>
      <c r="M72" s="109">
        <f>IF(L71&gt;0,M71/L71,0)*100</f>
        <v>0</v>
      </c>
      <c r="N72" s="109">
        <f>IF(M71&gt;0,N71/M71,0)*100</f>
        <v>0</v>
      </c>
      <c r="O72" s="109">
        <f>IF(N71&gt;0,O71/N71,0)*100</f>
        <v>0</v>
      </c>
      <c r="P72" s="109"/>
    </row>
    <row r="73" spans="1:17">
      <c r="A73" s="3"/>
      <c r="B73" s="110"/>
      <c r="C73" s="110"/>
      <c r="D73" s="110"/>
      <c r="E73" s="111"/>
      <c r="F73" s="110"/>
      <c r="G73" s="3"/>
      <c r="H73" s="3"/>
      <c r="I73" s="3"/>
      <c r="J73" s="3"/>
      <c r="K73" s="3"/>
      <c r="L73" s="3"/>
      <c r="M73" s="68"/>
      <c r="N73" s="68"/>
      <c r="O73" s="68"/>
      <c r="P73" s="3"/>
    </row>
    <row r="74" spans="1:17">
      <c r="A74" s="148" t="s">
        <v>86</v>
      </c>
      <c r="B74" s="68"/>
      <c r="C74" s="68"/>
      <c r="D74" s="68"/>
      <c r="E74" s="68"/>
      <c r="F74" s="3"/>
      <c r="G74" s="3"/>
      <c r="H74" s="3"/>
      <c r="I74" s="3"/>
      <c r="J74" s="3"/>
      <c r="K74" s="3"/>
      <c r="L74" s="3"/>
      <c r="M74" s="68"/>
      <c r="N74" s="68"/>
      <c r="O74" s="68"/>
      <c r="P74" s="3"/>
      <c r="Q74" s="142"/>
    </row>
    <row r="75" spans="1:17">
      <c r="A75" s="3" t="s">
        <v>87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148" t="s">
        <v>88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9" t="s">
        <v>89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4"/>
    </row>
    <row r="78" spans="1:17">
      <c r="A78" s="3" t="s">
        <v>90</v>
      </c>
      <c r="B78" s="3"/>
      <c r="C78" s="3"/>
      <c r="D78" s="3"/>
      <c r="E78" s="3"/>
      <c r="F78" s="3"/>
      <c r="G78" s="3"/>
      <c r="H78" s="3"/>
      <c r="I78" s="3"/>
      <c r="K78" s="3"/>
      <c r="M78" s="68"/>
      <c r="N78" s="68"/>
      <c r="O78" s="68"/>
      <c r="P78" s="3"/>
    </row>
    <row r="79" spans="1:17">
      <c r="A79" s="3" t="s">
        <v>91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135"/>
      <c r="P79" s="3"/>
    </row>
    <row r="80" spans="1:17">
      <c r="A80" s="3" t="s">
        <v>92</v>
      </c>
      <c r="B80" s="3"/>
      <c r="C80" s="3"/>
      <c r="D80" s="3"/>
      <c r="E80" s="3"/>
      <c r="F80" s="3"/>
      <c r="G80" s="3"/>
      <c r="H80" s="3"/>
      <c r="I80" s="3"/>
      <c r="K80" s="3"/>
      <c r="L80" s="3"/>
      <c r="M80" s="68"/>
      <c r="N80" s="68"/>
      <c r="O80" s="68"/>
      <c r="P80" s="3"/>
    </row>
    <row r="82" spans="2:17">
      <c r="B82" s="606" t="s">
        <v>159</v>
      </c>
    </row>
    <row r="83" spans="2:17" ht="15.6">
      <c r="B83" s="112" t="s">
        <v>93</v>
      </c>
      <c r="C83" s="112"/>
      <c r="D83" s="114" t="s">
        <v>94</v>
      </c>
      <c r="E83" s="115" t="s">
        <v>95</v>
      </c>
      <c r="F83" s="115" t="s">
        <v>96</v>
      </c>
      <c r="G83" s="115" t="s">
        <v>97</v>
      </c>
      <c r="H83" s="115" t="s">
        <v>98</v>
      </c>
      <c r="I83" s="136" t="s">
        <v>99</v>
      </c>
      <c r="J83" s="115" t="s">
        <v>100</v>
      </c>
      <c r="K83" s="115" t="s">
        <v>101</v>
      </c>
      <c r="L83" s="115" t="s">
        <v>102</v>
      </c>
      <c r="M83" s="115" t="s">
        <v>103</v>
      </c>
      <c r="N83" s="115" t="s">
        <v>104</v>
      </c>
      <c r="O83" s="115" t="s">
        <v>105</v>
      </c>
      <c r="P83" s="115" t="s">
        <v>106</v>
      </c>
      <c r="Q83" s="145" t="s">
        <v>107</v>
      </c>
    </row>
    <row r="84" spans="2:17">
      <c r="B84" s="116" t="s">
        <v>108</v>
      </c>
      <c r="C84" s="116"/>
      <c r="D84" s="52">
        <v>250647.57142857101</v>
      </c>
      <c r="E84" s="52">
        <v>303326.78571428568</v>
      </c>
      <c r="F84" s="52">
        <v>278308.28571428568</v>
      </c>
      <c r="G84" s="52">
        <v>329534.92857142858</v>
      </c>
      <c r="H84" s="118">
        <v>264136.85714285716</v>
      </c>
      <c r="I84" s="52"/>
      <c r="J84" s="52"/>
      <c r="K84" s="137"/>
      <c r="L84" s="138"/>
      <c r="M84" s="52"/>
      <c r="N84" s="52"/>
      <c r="O84" s="52"/>
      <c r="P84" s="478">
        <f t="shared" ref="P84:P90" si="16">SUM(D84:O84)</f>
        <v>1425954.4285714282</v>
      </c>
      <c r="Q84" s="146">
        <f t="shared" ref="Q84:Q90" si="17">P84/$P$90</f>
        <v>0.35570081875452053</v>
      </c>
    </row>
    <row r="85" spans="2:17">
      <c r="B85" s="119" t="s">
        <v>109</v>
      </c>
      <c r="C85" s="119"/>
      <c r="D85" s="121">
        <v>51557.785714285703</v>
      </c>
      <c r="E85" s="122">
        <v>38594.857142857145</v>
      </c>
      <c r="F85" s="122">
        <v>40995.357142857145</v>
      </c>
      <c r="G85" s="122">
        <v>33533.714285714283</v>
      </c>
      <c r="H85" s="123">
        <v>15954.785714285714</v>
      </c>
      <c r="I85" s="122"/>
      <c r="J85" s="122"/>
      <c r="K85" s="122"/>
      <c r="L85" s="122"/>
      <c r="M85" s="122"/>
      <c r="N85" s="122"/>
      <c r="O85" s="122"/>
      <c r="P85" s="479">
        <f t="shared" si="16"/>
        <v>180636.5</v>
      </c>
      <c r="Q85" s="147">
        <f t="shared" si="17"/>
        <v>4.5059329849216456E-2</v>
      </c>
    </row>
    <row r="86" spans="2:17">
      <c r="B86" s="119" t="s">
        <v>110</v>
      </c>
      <c r="C86" s="119"/>
      <c r="D86" s="121">
        <v>157521.85714285701</v>
      </c>
      <c r="E86" s="122">
        <v>160543.85714285713</v>
      </c>
      <c r="F86" s="122">
        <v>156602.71428571426</v>
      </c>
      <c r="G86" s="122">
        <v>190080.78571428574</v>
      </c>
      <c r="H86" s="123">
        <v>199613.78571428571</v>
      </c>
      <c r="I86" s="122"/>
      <c r="J86" s="122"/>
      <c r="K86" s="122"/>
      <c r="L86" s="122"/>
      <c r="M86" s="122"/>
      <c r="N86" s="122"/>
      <c r="O86" s="122"/>
      <c r="P86" s="479">
        <f t="shared" si="16"/>
        <v>864362.99999999977</v>
      </c>
      <c r="Q86" s="147">
        <f t="shared" si="17"/>
        <v>0.21561322061963267</v>
      </c>
    </row>
    <row r="87" spans="2:17">
      <c r="B87" s="124" t="s">
        <v>111</v>
      </c>
      <c r="C87" s="124"/>
      <c r="D87" s="52">
        <v>129327.714285714</v>
      </c>
      <c r="E87" s="52">
        <v>98880.78571428571</v>
      </c>
      <c r="F87" s="52">
        <v>142655.5</v>
      </c>
      <c r="G87" s="52">
        <v>133507.35714285716</v>
      </c>
      <c r="H87" s="118">
        <v>117586.21428571429</v>
      </c>
      <c r="I87" s="52"/>
      <c r="J87" s="52"/>
      <c r="K87" s="52"/>
      <c r="L87" s="52"/>
      <c r="M87" s="52"/>
      <c r="N87" s="52"/>
      <c r="O87" s="52"/>
      <c r="P87" s="478">
        <f t="shared" si="16"/>
        <v>621957.57142857113</v>
      </c>
      <c r="Q87" s="146">
        <f t="shared" si="17"/>
        <v>0.155145783732621</v>
      </c>
    </row>
    <row r="88" spans="2:17">
      <c r="B88" s="124" t="s">
        <v>112</v>
      </c>
      <c r="C88" s="124"/>
      <c r="D88" s="52">
        <v>81303.642857142899</v>
      </c>
      <c r="E88" s="52">
        <v>79785.57142857142</v>
      </c>
      <c r="F88" s="52">
        <v>99571</v>
      </c>
      <c r="G88" s="52">
        <v>105052.5</v>
      </c>
      <c r="H88" s="118">
        <v>95685.357142857145</v>
      </c>
      <c r="I88" s="52"/>
      <c r="J88" s="52"/>
      <c r="K88" s="52"/>
      <c r="L88" s="52"/>
      <c r="M88" s="52"/>
      <c r="N88" s="52"/>
      <c r="O88" s="52"/>
      <c r="P88" s="478">
        <f t="shared" si="16"/>
        <v>461398.07142857148</v>
      </c>
      <c r="Q88" s="146">
        <f t="shared" si="17"/>
        <v>0.11509461206507178</v>
      </c>
    </row>
    <row r="89" spans="2:17">
      <c r="B89" s="116" t="s">
        <v>57</v>
      </c>
      <c r="C89" s="116"/>
      <c r="D89" s="52">
        <v>79967.428571428594</v>
      </c>
      <c r="E89" s="52">
        <v>73659.642857142855</v>
      </c>
      <c r="F89" s="52">
        <v>87559.357142857145</v>
      </c>
      <c r="G89" s="52">
        <v>116176.92857142858</v>
      </c>
      <c r="H89" s="118">
        <v>97186.071428571435</v>
      </c>
      <c r="I89" s="52"/>
      <c r="J89" s="52"/>
      <c r="K89" s="52"/>
      <c r="L89" s="52"/>
      <c r="M89" s="52"/>
      <c r="N89" s="52"/>
      <c r="O89" s="52"/>
      <c r="P89" s="478">
        <f t="shared" si="16"/>
        <v>454549.42857142858</v>
      </c>
      <c r="Q89" s="146">
        <f t="shared" si="17"/>
        <v>0.11338623497893757</v>
      </c>
    </row>
    <row r="90" spans="2:17">
      <c r="D90" s="118">
        <f>SUM(D84:D89)</f>
        <v>750325.9999999993</v>
      </c>
      <c r="E90" s="118">
        <f>SUM(E84:E89)</f>
        <v>754791.49999999988</v>
      </c>
      <c r="F90" s="118">
        <f t="shared" ref="F90:O90" si="18">SUM(F84:F89)</f>
        <v>805692.2142857142</v>
      </c>
      <c r="G90" s="118">
        <f t="shared" si="18"/>
        <v>907886.21428571432</v>
      </c>
      <c r="H90" s="118">
        <f t="shared" si="18"/>
        <v>790163.07142857159</v>
      </c>
      <c r="I90" s="118">
        <f t="shared" si="18"/>
        <v>0</v>
      </c>
      <c r="J90" s="118">
        <f t="shared" si="18"/>
        <v>0</v>
      </c>
      <c r="K90" s="118">
        <f t="shared" si="18"/>
        <v>0</v>
      </c>
      <c r="L90" s="118">
        <f t="shared" si="18"/>
        <v>0</v>
      </c>
      <c r="M90" s="118">
        <f t="shared" si="18"/>
        <v>0</v>
      </c>
      <c r="N90" s="118">
        <f t="shared" si="18"/>
        <v>0</v>
      </c>
      <c r="O90" s="118">
        <f t="shared" si="18"/>
        <v>0</v>
      </c>
      <c r="P90" s="478">
        <f t="shared" si="16"/>
        <v>4008858.9999999991</v>
      </c>
      <c r="Q90" s="146">
        <f t="shared" si="17"/>
        <v>1</v>
      </c>
    </row>
  </sheetData>
  <mergeCells count="27">
    <mergeCell ref="P58:P59"/>
    <mergeCell ref="N49:N50"/>
    <mergeCell ref="P49:P50"/>
    <mergeCell ref="C3:C4"/>
    <mergeCell ref="H49:H50"/>
    <mergeCell ref="I49:I50"/>
    <mergeCell ref="J49:J50"/>
    <mergeCell ref="K49:K50"/>
    <mergeCell ref="L49:L50"/>
    <mergeCell ref="M49:M50"/>
    <mergeCell ref="P6:P7"/>
    <mergeCell ref="F42:G42"/>
    <mergeCell ref="H42:I42"/>
    <mergeCell ref="F49:F50"/>
    <mergeCell ref="G49:G50"/>
    <mergeCell ref="O49:O50"/>
    <mergeCell ref="A49:A50"/>
    <mergeCell ref="B49:B50"/>
    <mergeCell ref="D49:D50"/>
    <mergeCell ref="E49:E50"/>
    <mergeCell ref="C49:C50"/>
    <mergeCell ref="A1:O1"/>
    <mergeCell ref="A3:A4"/>
    <mergeCell ref="B3:B4"/>
    <mergeCell ref="D3:D4"/>
    <mergeCell ref="E3:N3"/>
    <mergeCell ref="O3:O4"/>
  </mergeCells>
  <pageMargins left="0.25" right="0.25" top="0.75" bottom="0.75" header="0.3" footer="0.3"/>
  <pageSetup paperSize="9" scale="80" orientation="landscape" r:id="rId1"/>
  <ignoredErrors>
    <ignoredError sqref="J7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707A-ED01-41E9-8BAD-7EBF6B75AE90}">
  <dimension ref="A1:Q90"/>
  <sheetViews>
    <sheetView zoomScale="80" zoomScaleNormal="80" workbookViewId="0">
      <pane xSplit="3" ySplit="4" topLeftCell="D18" activePane="bottomRight" state="frozen"/>
      <selection pane="topRight" activeCell="D1" sqref="D1"/>
      <selection pane="bottomLeft" activeCell="A5" sqref="A5"/>
      <selection pane="bottomRight" activeCell="C45" sqref="C45"/>
    </sheetView>
  </sheetViews>
  <sheetFormatPr defaultColWidth="8.5546875" defaultRowHeight="14.4"/>
  <cols>
    <col min="1" max="1" width="34.21875" style="2" customWidth="1"/>
    <col min="2" max="3" width="11.77734375" style="2" customWidth="1"/>
    <col min="4" max="4" width="12" style="2" customWidth="1"/>
    <col min="5" max="5" width="11.77734375" style="2" customWidth="1"/>
    <col min="6" max="6" width="11.109375" style="2" customWidth="1"/>
    <col min="7" max="7" width="11.77734375" style="2" customWidth="1"/>
    <col min="8" max="8" width="9.77734375" style="2" customWidth="1"/>
    <col min="9" max="9" width="12.109375" style="2" customWidth="1"/>
    <col min="10" max="10" width="11.44140625" style="2" customWidth="1"/>
    <col min="11" max="11" width="9.77734375" style="2" bestFit="1" customWidth="1"/>
    <col min="12" max="12" width="8.5546875" style="2"/>
    <col min="13" max="13" width="9.44140625" style="2" customWidth="1"/>
    <col min="14" max="14" width="9.5546875" style="2" customWidth="1"/>
    <col min="15" max="15" width="8.5546875" style="2"/>
    <col min="16" max="16" width="10.44140625" style="2" bestFit="1" customWidth="1"/>
    <col min="17" max="17" width="9.5546875" style="2" bestFit="1" customWidth="1"/>
    <col min="18" max="16384" width="8.5546875" style="2"/>
  </cols>
  <sheetData>
    <row r="1" spans="1:17" s="1" customFormat="1" ht="26.85" customHeight="1">
      <c r="A1" s="1066" t="s">
        <v>144</v>
      </c>
      <c r="B1" s="1066"/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4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86" t="s">
        <v>1</v>
      </c>
      <c r="B3" s="1088" t="s">
        <v>2</v>
      </c>
      <c r="C3" s="1090" t="s">
        <v>145</v>
      </c>
      <c r="D3" s="1092" t="s">
        <v>146</v>
      </c>
      <c r="E3" s="1094" t="s">
        <v>147</v>
      </c>
      <c r="F3" s="1095"/>
      <c r="G3" s="1095"/>
      <c r="H3" s="1095"/>
      <c r="I3" s="1095"/>
      <c r="J3" s="1095"/>
      <c r="K3" s="1095"/>
      <c r="L3" s="1095"/>
      <c r="M3" s="1095"/>
      <c r="N3" s="1096"/>
      <c r="O3" s="1097" t="s">
        <v>148</v>
      </c>
    </row>
    <row r="4" spans="1:17" ht="29.4" thickBot="1">
      <c r="A4" s="1087"/>
      <c r="B4" s="1089"/>
      <c r="C4" s="1091"/>
      <c r="D4" s="1093"/>
      <c r="E4" s="587" t="s">
        <v>7</v>
      </c>
      <c r="F4" s="588" t="s">
        <v>8</v>
      </c>
      <c r="G4" s="588" t="s">
        <v>9</v>
      </c>
      <c r="H4" s="588" t="s">
        <v>10</v>
      </c>
      <c r="I4" s="588" t="s">
        <v>11</v>
      </c>
      <c r="J4" s="589" t="s">
        <v>12</v>
      </c>
      <c r="K4" s="590" t="s">
        <v>13</v>
      </c>
      <c r="L4" s="590" t="s">
        <v>14</v>
      </c>
      <c r="M4" s="591" t="s">
        <v>15</v>
      </c>
      <c r="N4" s="592" t="s">
        <v>16</v>
      </c>
      <c r="O4" s="1098"/>
    </row>
    <row r="5" spans="1:17">
      <c r="A5" s="408"/>
      <c r="B5" s="409"/>
      <c r="C5" s="362"/>
      <c r="D5" s="4"/>
      <c r="E5" s="319"/>
      <c r="F5" s="5"/>
      <c r="G5" s="5"/>
      <c r="H5" s="5"/>
      <c r="I5" s="5"/>
      <c r="J5" s="69"/>
      <c r="K5" s="5"/>
      <c r="L5" s="70"/>
      <c r="M5" s="71"/>
      <c r="N5" s="320"/>
      <c r="O5" s="4"/>
    </row>
    <row r="6" spans="1:17">
      <c r="A6" s="6" t="s">
        <v>17</v>
      </c>
      <c r="B6" s="7">
        <f>SUM(B8:B18)</f>
        <v>4518182</v>
      </c>
      <c r="C6" s="562">
        <v>2045930</v>
      </c>
      <c r="D6" s="576">
        <f>SUM(D8:D18)</f>
        <v>2552943</v>
      </c>
      <c r="E6" s="274">
        <f>SUM(E8:E18)</f>
        <v>440438</v>
      </c>
      <c r="F6" s="274">
        <f t="shared" ref="F6:N6" si="0">SUM(F8:F18)</f>
        <v>178820</v>
      </c>
      <c r="G6" s="274">
        <f t="shared" si="0"/>
        <v>189914</v>
      </c>
      <c r="H6" s="274">
        <f t="shared" si="0"/>
        <v>29055</v>
      </c>
      <c r="I6" s="274">
        <f t="shared" si="0"/>
        <v>29781</v>
      </c>
      <c r="J6" s="274">
        <f t="shared" si="0"/>
        <v>0</v>
      </c>
      <c r="K6" s="274">
        <f t="shared" si="0"/>
        <v>53822</v>
      </c>
      <c r="L6" s="274">
        <f t="shared" si="0"/>
        <v>49265</v>
      </c>
      <c r="M6" s="274">
        <f t="shared" si="0"/>
        <v>5244</v>
      </c>
      <c r="N6" s="274">
        <f t="shared" si="0"/>
        <v>872</v>
      </c>
      <c r="O6" s="73">
        <f>+D6/C6</f>
        <v>1.24781541890485</v>
      </c>
      <c r="P6" s="1014"/>
    </row>
    <row r="7" spans="1:17">
      <c r="A7" s="386" t="s">
        <v>18</v>
      </c>
      <c r="B7" s="387"/>
      <c r="C7" s="383"/>
      <c r="D7" s="557"/>
      <c r="E7" s="286">
        <f>SUM(F7:J7)</f>
        <v>0</v>
      </c>
      <c r="F7" s="12"/>
      <c r="G7" s="12"/>
      <c r="H7" s="12"/>
      <c r="I7" s="12"/>
      <c r="J7" s="12"/>
      <c r="K7" s="28"/>
      <c r="L7" s="28"/>
      <c r="M7" s="28"/>
      <c r="N7" s="277"/>
      <c r="O7" s="468"/>
      <c r="P7" s="1014"/>
    </row>
    <row r="8" spans="1:17">
      <c r="A8" s="388" t="s">
        <v>19</v>
      </c>
      <c r="B8" s="387"/>
      <c r="C8" s="383"/>
      <c r="D8" s="577"/>
      <c r="E8" s="286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278"/>
      <c r="O8" s="468"/>
      <c r="P8" s="3"/>
    </row>
    <row r="9" spans="1:17">
      <c r="A9" s="386" t="s">
        <v>120</v>
      </c>
      <c r="B9" s="14">
        <f>715133+126685+111732+106510+95851+111311</f>
        <v>1267222</v>
      </c>
      <c r="C9" s="383">
        <v>605828</v>
      </c>
      <c r="D9" s="557">
        <f>108077+85467+113186+113042+116756+109995</f>
        <v>646523</v>
      </c>
      <c r="E9" s="286">
        <f t="shared" si="1"/>
        <v>109995</v>
      </c>
      <c r="F9" s="13">
        <v>42652</v>
      </c>
      <c r="G9" s="13">
        <v>39121</v>
      </c>
      <c r="H9" s="13">
        <v>13675</v>
      </c>
      <c r="I9" s="13">
        <v>14547</v>
      </c>
      <c r="J9" s="12"/>
      <c r="K9" s="28"/>
      <c r="L9" s="28"/>
      <c r="M9" s="22"/>
      <c r="N9" s="278"/>
      <c r="O9" s="468">
        <f t="shared" ref="O9:O67" si="2">+D9/C9</f>
        <v>1.0671725308173277</v>
      </c>
      <c r="P9" s="111"/>
      <c r="Q9" s="79"/>
    </row>
    <row r="10" spans="1:17">
      <c r="A10" s="386" t="s">
        <v>20</v>
      </c>
      <c r="B10" s="14">
        <v>1272859</v>
      </c>
      <c r="C10" s="383">
        <v>527720</v>
      </c>
      <c r="D10" s="578">
        <f>148719+103732+138638+114388+149772+144287</f>
        <v>799536</v>
      </c>
      <c r="E10" s="286">
        <f t="shared" si="1"/>
        <v>144287</v>
      </c>
      <c r="F10" s="15">
        <v>63237</v>
      </c>
      <c r="G10" s="15">
        <v>81050</v>
      </c>
      <c r="H10" s="16"/>
      <c r="I10" s="16"/>
      <c r="J10" s="75"/>
      <c r="K10" s="76">
        <v>19805</v>
      </c>
      <c r="L10" s="76">
        <f>32222+7617</f>
        <v>39839</v>
      </c>
      <c r="M10" s="77"/>
      <c r="N10" s="278"/>
      <c r="O10" s="468">
        <f t="shared" si="2"/>
        <v>1.5150761767604033</v>
      </c>
      <c r="P10" s="79"/>
      <c r="Q10" s="79"/>
    </row>
    <row r="11" spans="1:17">
      <c r="A11" s="386" t="s">
        <v>21</v>
      </c>
      <c r="B11" s="14"/>
      <c r="C11" s="383"/>
      <c r="D11" s="578"/>
      <c r="E11" s="286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468"/>
      <c r="P11" s="79"/>
      <c r="Q11" s="79"/>
    </row>
    <row r="12" spans="1:17">
      <c r="A12" s="386" t="s">
        <v>22</v>
      </c>
      <c r="B12" s="14">
        <v>491959</v>
      </c>
      <c r="C12" s="383">
        <v>238449</v>
      </c>
      <c r="D12" s="578">
        <f>39231+38035+45839+55212+55252+51874</f>
        <v>285443</v>
      </c>
      <c r="E12" s="286">
        <f t="shared" si="1"/>
        <v>51874</v>
      </c>
      <c r="F12" s="13">
        <v>26101</v>
      </c>
      <c r="G12" s="13">
        <v>24891</v>
      </c>
      <c r="H12" s="13">
        <v>211</v>
      </c>
      <c r="I12" s="13">
        <v>671</v>
      </c>
      <c r="J12" s="13"/>
      <c r="K12" s="22">
        <f>8403+3528+15+203</f>
        <v>12149</v>
      </c>
      <c r="L12" s="22">
        <f>90+4095</f>
        <v>4185</v>
      </c>
      <c r="M12" s="22"/>
      <c r="N12" s="278"/>
      <c r="O12" s="468">
        <f t="shared" si="2"/>
        <v>1.1970819756006525</v>
      </c>
      <c r="P12" s="555"/>
      <c r="Q12" s="79"/>
    </row>
    <row r="13" spans="1:17">
      <c r="A13" s="388" t="s">
        <v>23</v>
      </c>
      <c r="B13" s="14">
        <v>149160</v>
      </c>
      <c r="C13" s="573">
        <v>149160</v>
      </c>
      <c r="D13" s="578">
        <v>0</v>
      </c>
      <c r="E13" s="286">
        <f t="shared" si="1"/>
        <v>0</v>
      </c>
      <c r="F13" s="13"/>
      <c r="G13" s="13"/>
      <c r="H13" s="13"/>
      <c r="I13" s="13"/>
      <c r="J13" s="13"/>
      <c r="K13" s="22"/>
      <c r="L13" s="22"/>
      <c r="M13" s="22"/>
      <c r="N13" s="278"/>
      <c r="O13" s="468">
        <f t="shared" si="2"/>
        <v>0</v>
      </c>
      <c r="P13" s="79"/>
      <c r="Q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383">
        <v>349233</v>
      </c>
      <c r="D14" s="557">
        <f>107401+71667+97692+112321+100543+91682</f>
        <v>581306</v>
      </c>
      <c r="E14" s="286">
        <f t="shared" si="1"/>
        <v>91682</v>
      </c>
      <c r="F14" s="18">
        <v>46830</v>
      </c>
      <c r="G14" s="18">
        <v>44852</v>
      </c>
      <c r="H14" s="18"/>
      <c r="I14" s="18"/>
      <c r="J14" s="18"/>
      <c r="K14" s="80">
        <f>6169+8179</f>
        <v>14348</v>
      </c>
      <c r="L14" s="80">
        <f>807+3239</f>
        <v>4046</v>
      </c>
      <c r="M14" s="80">
        <v>5244</v>
      </c>
      <c r="N14" s="279">
        <v>872</v>
      </c>
      <c r="O14" s="468">
        <f t="shared" si="2"/>
        <v>1.6645219667099043</v>
      </c>
      <c r="P14" s="555"/>
      <c r="Q14" s="79"/>
    </row>
    <row r="15" spans="1:17">
      <c r="A15" s="386" t="s">
        <v>25</v>
      </c>
      <c r="B15" s="14">
        <f>6147+7479+7850+9613+8350+10297+8331+8950+9929+9191+7491+7125</f>
        <v>100753</v>
      </c>
      <c r="C15" s="383">
        <v>49736</v>
      </c>
      <c r="D15" s="557">
        <f>5818+3471+4879+3146+1868+3203</f>
        <v>22385</v>
      </c>
      <c r="E15" s="286">
        <f t="shared" si="1"/>
        <v>3203</v>
      </c>
      <c r="F15" s="13"/>
      <c r="G15" s="13"/>
      <c r="H15" s="13">
        <v>1608</v>
      </c>
      <c r="I15" s="13">
        <v>1595</v>
      </c>
      <c r="J15" s="13"/>
      <c r="K15" s="81">
        <f>250+378</f>
        <v>628</v>
      </c>
      <c r="L15" s="22">
        <f>152+340</f>
        <v>492</v>
      </c>
      <c r="M15" s="22"/>
      <c r="N15" s="278"/>
      <c r="O15" s="468">
        <f t="shared" si="2"/>
        <v>0.45007640341000482</v>
      </c>
      <c r="P15" s="79"/>
      <c r="Q15" s="79"/>
    </row>
    <row r="16" spans="1:17">
      <c r="A16" s="386" t="s">
        <v>26</v>
      </c>
      <c r="B16" s="14">
        <f>540+350</f>
        <v>890</v>
      </c>
      <c r="C16" s="383">
        <v>0</v>
      </c>
      <c r="D16" s="557">
        <f>528</f>
        <v>528</v>
      </c>
      <c r="E16" s="286">
        <v>0</v>
      </c>
      <c r="F16" s="13"/>
      <c r="G16" s="13"/>
      <c r="H16" s="13"/>
      <c r="I16" s="13"/>
      <c r="J16" s="13"/>
      <c r="K16" s="28"/>
      <c r="L16" s="36"/>
      <c r="M16" s="22"/>
      <c r="N16" s="278"/>
      <c r="O16" s="468"/>
      <c r="P16" s="79"/>
      <c r="Q16" s="79"/>
    </row>
    <row r="17" spans="1:17">
      <c r="A17" s="386" t="s">
        <v>27</v>
      </c>
      <c r="B17" s="391">
        <f>14801+21013+19343+20052+25339+15490+23521+25450+24091+25115+25902+30182</f>
        <v>270299</v>
      </c>
      <c r="C17" s="563">
        <v>116038</v>
      </c>
      <c r="D17" s="600">
        <f>29509+14652+23209+24242+23009+26529</f>
        <v>141150</v>
      </c>
      <c r="E17" s="286">
        <f t="shared" si="1"/>
        <v>26529</v>
      </c>
      <c r="F17" s="13"/>
      <c r="G17" s="13"/>
      <c r="H17" s="13">
        <v>13561</v>
      </c>
      <c r="I17" s="13">
        <v>12968</v>
      </c>
      <c r="J17" s="13"/>
      <c r="K17" s="22">
        <f>3415+3477</f>
        <v>6892</v>
      </c>
      <c r="L17" s="22">
        <f>498+205</f>
        <v>703</v>
      </c>
      <c r="M17" s="22"/>
      <c r="N17" s="278"/>
      <c r="O17" s="468">
        <f t="shared" si="2"/>
        <v>1.216411865078681</v>
      </c>
      <c r="P17" s="555"/>
      <c r="Q17" s="82"/>
    </row>
    <row r="18" spans="1:17" ht="15" thickBot="1">
      <c r="A18" s="402" t="s">
        <v>136</v>
      </c>
      <c r="B18" s="403">
        <v>67816</v>
      </c>
      <c r="C18" s="609">
        <v>9766</v>
      </c>
      <c r="D18" s="601">
        <f>63204+12868</f>
        <v>76072</v>
      </c>
      <c r="E18" s="404">
        <v>12868</v>
      </c>
      <c r="F18" s="202"/>
      <c r="G18" s="202"/>
      <c r="H18" s="202"/>
      <c r="I18" s="202"/>
      <c r="J18" s="202"/>
      <c r="K18" s="203"/>
      <c r="L18" s="203"/>
      <c r="M18" s="203"/>
      <c r="N18" s="283"/>
      <c r="O18" s="469">
        <f t="shared" si="2"/>
        <v>7.7894736842105265</v>
      </c>
      <c r="P18" s="79"/>
      <c r="Q18" s="82"/>
    </row>
    <row r="19" spans="1:17" ht="15.6">
      <c r="A19" s="610" t="s">
        <v>29</v>
      </c>
      <c r="B19" s="611">
        <v>633659</v>
      </c>
      <c r="C19" s="607"/>
      <c r="D19" s="617">
        <f>161928+54011+52836+59821</f>
        <v>328596</v>
      </c>
      <c r="E19" s="618">
        <v>59821</v>
      </c>
      <c r="F19" s="193"/>
      <c r="G19" s="194"/>
      <c r="H19" s="194"/>
      <c r="I19" s="194"/>
      <c r="J19" s="194"/>
      <c r="K19" s="194"/>
      <c r="L19" s="194"/>
      <c r="M19" s="194"/>
      <c r="N19" s="284"/>
      <c r="O19" s="608"/>
      <c r="P19" s="79"/>
      <c r="Q19" s="499"/>
    </row>
    <row r="20" spans="1:17" ht="15.6">
      <c r="A20" s="612" t="s">
        <v>134</v>
      </c>
      <c r="B20" s="613">
        <v>255481</v>
      </c>
      <c r="C20" s="579"/>
      <c r="D20" s="619">
        <f>86240+22448+23244</f>
        <v>131932</v>
      </c>
      <c r="E20" s="620">
        <v>23244</v>
      </c>
      <c r="F20" s="21"/>
      <c r="G20" s="22"/>
      <c r="H20" s="22"/>
      <c r="I20" s="22"/>
      <c r="J20" s="22"/>
      <c r="K20" s="22"/>
      <c r="L20" s="22"/>
      <c r="M20" s="22"/>
      <c r="N20" s="278"/>
      <c r="O20" s="468"/>
      <c r="P20" s="82"/>
    </row>
    <row r="21" spans="1:17" ht="15.6">
      <c r="A21" s="612" t="s">
        <v>31</v>
      </c>
      <c r="B21" s="613">
        <v>92242</v>
      </c>
      <c r="C21" s="579"/>
      <c r="D21" s="619">
        <f>15392+5518+8672+12966</f>
        <v>42548</v>
      </c>
      <c r="E21" s="620">
        <v>12966</v>
      </c>
      <c r="F21" s="21"/>
      <c r="G21" s="22"/>
      <c r="H21" s="22"/>
      <c r="I21" s="22"/>
      <c r="J21" s="22"/>
      <c r="K21" s="22"/>
      <c r="L21" s="22"/>
      <c r="M21" s="22"/>
      <c r="N21" s="278"/>
      <c r="O21" s="468"/>
      <c r="P21" s="508"/>
    </row>
    <row r="22" spans="1:17" ht="15.6">
      <c r="A22" s="612" t="s">
        <v>32</v>
      </c>
      <c r="B22" s="613">
        <v>400078</v>
      </c>
      <c r="C22" s="579"/>
      <c r="D22" s="619">
        <f>36183+30507+38929+42926+38815+41506</f>
        <v>228866</v>
      </c>
      <c r="E22" s="620">
        <v>41506</v>
      </c>
      <c r="F22" s="21"/>
      <c r="G22" s="22"/>
      <c r="H22" s="22"/>
      <c r="I22" s="22"/>
      <c r="J22" s="22"/>
      <c r="K22" s="22"/>
      <c r="L22" s="22"/>
      <c r="M22" s="22"/>
      <c r="N22" s="278"/>
      <c r="O22" s="468"/>
      <c r="P22" s="508"/>
    </row>
    <row r="23" spans="1:17" ht="15.6">
      <c r="A23" s="612" t="s">
        <v>33</v>
      </c>
      <c r="B23" s="614">
        <v>171077</v>
      </c>
      <c r="C23" s="580"/>
      <c r="D23" s="619">
        <f>60794+15126+16149</f>
        <v>92069</v>
      </c>
      <c r="E23" s="620">
        <v>16149</v>
      </c>
      <c r="F23" s="21"/>
      <c r="G23" s="22"/>
      <c r="H23" s="22"/>
      <c r="I23" s="22"/>
      <c r="J23" s="22"/>
      <c r="K23" s="22"/>
      <c r="L23" s="22"/>
      <c r="M23" s="22"/>
      <c r="N23" s="278"/>
      <c r="O23" s="468"/>
      <c r="P23" s="508"/>
    </row>
    <row r="24" spans="1:17" ht="15.6">
      <c r="A24" s="612" t="s">
        <v>34</v>
      </c>
      <c r="B24" s="614">
        <v>270677</v>
      </c>
      <c r="C24" s="580"/>
      <c r="D24" s="619">
        <f>22071+9654+13100+21751+25961+15202</f>
        <v>107739</v>
      </c>
      <c r="E24" s="620">
        <v>15202</v>
      </c>
      <c r="F24" s="22"/>
      <c r="G24" s="22"/>
      <c r="H24" s="25"/>
      <c r="I24" s="22"/>
      <c r="J24" s="22"/>
      <c r="K24" s="22"/>
      <c r="L24" s="22"/>
      <c r="M24" s="22"/>
      <c r="N24" s="278"/>
      <c r="O24" s="468"/>
      <c r="P24" s="508"/>
    </row>
    <row r="25" spans="1:17" ht="15.6">
      <c r="A25" s="615" t="s">
        <v>135</v>
      </c>
      <c r="B25" s="616"/>
      <c r="C25" s="581"/>
      <c r="D25" s="621">
        <f>3457+12735+18119+18316</f>
        <v>52627</v>
      </c>
      <c r="E25" s="622">
        <v>18316</v>
      </c>
      <c r="F25" s="28"/>
      <c r="G25" s="28"/>
      <c r="H25" s="28"/>
      <c r="I25" s="28"/>
      <c r="J25" s="28"/>
      <c r="K25" s="28"/>
      <c r="L25" s="28"/>
      <c r="M25" s="28"/>
      <c r="N25" s="277"/>
      <c r="O25" s="468"/>
      <c r="P25" s="508"/>
    </row>
    <row r="26" spans="1:17">
      <c r="A26" s="26"/>
      <c r="B26" s="414"/>
      <c r="C26" s="593"/>
      <c r="D26" s="30"/>
      <c r="E26" s="414"/>
      <c r="F26" s="28"/>
      <c r="G26" s="28"/>
      <c r="H26" s="28"/>
      <c r="I26" s="28"/>
      <c r="J26" s="28"/>
      <c r="K26" s="28"/>
      <c r="L26" s="28"/>
      <c r="M26" s="28"/>
      <c r="N26" s="277"/>
      <c r="O26" s="468"/>
      <c r="P26" s="508"/>
    </row>
    <row r="27" spans="1:17">
      <c r="A27" s="26"/>
      <c r="B27" s="414"/>
      <c r="C27" s="593"/>
      <c r="D27" s="50"/>
      <c r="E27" s="49"/>
      <c r="F27" s="28"/>
      <c r="G27" s="28"/>
      <c r="H27" s="28"/>
      <c r="I27" s="28"/>
      <c r="J27" s="28"/>
      <c r="K27" s="28"/>
      <c r="L27" s="28"/>
      <c r="M27" s="28"/>
      <c r="N27" s="277"/>
      <c r="O27" s="468"/>
      <c r="P27" s="508"/>
    </row>
    <row r="28" spans="1:17">
      <c r="A28" s="6" t="s">
        <v>35</v>
      </c>
      <c r="B28" s="7">
        <f>SUM(B29:B32)</f>
        <v>860026</v>
      </c>
      <c r="C28" s="562">
        <v>408822</v>
      </c>
      <c r="D28" s="556">
        <f>SUM(D29:D32)</f>
        <v>476708</v>
      </c>
      <c r="E28" s="274">
        <f t="shared" ref="E28:L28" si="3">SUM(E29:E32)</f>
        <v>80278</v>
      </c>
      <c r="F28" s="9">
        <f t="shared" si="3"/>
        <v>32079</v>
      </c>
      <c r="G28" s="9">
        <f t="shared" si="3"/>
        <v>29682</v>
      </c>
      <c r="H28" s="9">
        <f t="shared" si="3"/>
        <v>9733</v>
      </c>
      <c r="I28" s="9">
        <f t="shared" si="3"/>
        <v>8784</v>
      </c>
      <c r="J28" s="9">
        <f t="shared" si="3"/>
        <v>0</v>
      </c>
      <c r="K28" s="72">
        <f t="shared" si="3"/>
        <v>14762</v>
      </c>
      <c r="L28" s="72">
        <f t="shared" si="3"/>
        <v>2275</v>
      </c>
      <c r="M28" s="72"/>
      <c r="N28" s="275">
        <f>SUM(N29:N32)</f>
        <v>0</v>
      </c>
      <c r="O28" s="73">
        <f t="shared" si="2"/>
        <v>1.1660527075353089</v>
      </c>
      <c r="P28" s="513"/>
    </row>
    <row r="29" spans="1:17">
      <c r="A29" s="386" t="s">
        <v>36</v>
      </c>
      <c r="B29" s="389">
        <f>30481+3346</f>
        <v>33827</v>
      </c>
      <c r="C29" s="593">
        <v>16221</v>
      </c>
      <c r="D29" s="582">
        <f>4188+2189+2953+3363+3389+2628</f>
        <v>18710</v>
      </c>
      <c r="E29" s="286">
        <f t="shared" ref="E29:E30" si="4">SUM(F29:J29)</f>
        <v>2628</v>
      </c>
      <c r="F29" s="13"/>
      <c r="G29" s="13"/>
      <c r="H29" s="13">
        <v>1278</v>
      </c>
      <c r="I29" s="13">
        <v>1350</v>
      </c>
      <c r="J29" s="12"/>
      <c r="K29" s="22">
        <f>440+592</f>
        <v>1032</v>
      </c>
      <c r="L29" s="22">
        <f>72</f>
        <v>72</v>
      </c>
      <c r="M29" s="22"/>
      <c r="N29" s="278"/>
      <c r="O29" s="468">
        <f t="shared" si="2"/>
        <v>1.1534430676283829</v>
      </c>
      <c r="P29" s="513"/>
    </row>
    <row r="30" spans="1:17">
      <c r="A30" s="31" t="s">
        <v>37</v>
      </c>
      <c r="B30" s="389">
        <v>675254</v>
      </c>
      <c r="C30" s="574">
        <v>314655</v>
      </c>
      <c r="D30" s="582">
        <f>64505+48073+62185+62452+59765+64280</f>
        <v>361260</v>
      </c>
      <c r="E30" s="286">
        <f t="shared" si="4"/>
        <v>64280</v>
      </c>
      <c r="F30" s="33">
        <v>26597</v>
      </c>
      <c r="G30" s="33">
        <v>23520</v>
      </c>
      <c r="H30" s="33">
        <v>7133</v>
      </c>
      <c r="I30" s="33">
        <v>7030</v>
      </c>
      <c r="J30" s="41"/>
      <c r="K30" s="52">
        <f>4790+4963+1582+1101</f>
        <v>12436</v>
      </c>
      <c r="L30" s="52">
        <f>429+573+415</f>
        <v>1417</v>
      </c>
      <c r="M30" s="28"/>
      <c r="N30" s="277"/>
      <c r="O30" s="468">
        <f t="shared" si="2"/>
        <v>1.148114601706631</v>
      </c>
    </row>
    <row r="31" spans="1:17">
      <c r="A31" s="31" t="s">
        <v>38</v>
      </c>
      <c r="B31" s="392">
        <f>120488+12239+18218</f>
        <v>150945</v>
      </c>
      <c r="C31" s="575">
        <v>77946</v>
      </c>
      <c r="D31" s="602">
        <f>22490+11900+19473+16591+12914+13370</f>
        <v>96738</v>
      </c>
      <c r="E31" s="286">
        <f>SUM(F31:J31)</f>
        <v>13370</v>
      </c>
      <c r="F31" s="33">
        <v>5482</v>
      </c>
      <c r="G31" s="33">
        <v>6162</v>
      </c>
      <c r="H31" s="33">
        <v>1322</v>
      </c>
      <c r="I31" s="33">
        <v>404</v>
      </c>
      <c r="J31" s="12"/>
      <c r="K31" s="87">
        <f>226+873+93+102</f>
        <v>1294</v>
      </c>
      <c r="L31" s="87">
        <f>564+3+215+4</f>
        <v>786</v>
      </c>
      <c r="M31" s="22"/>
      <c r="N31" s="278"/>
      <c r="O31" s="468">
        <f t="shared" si="2"/>
        <v>1.2410899853744901</v>
      </c>
    </row>
    <row r="32" spans="1:17">
      <c r="A32" s="31" t="s">
        <v>39</v>
      </c>
      <c r="B32" s="14">
        <v>0</v>
      </c>
      <c r="C32" s="564"/>
      <c r="D32" s="557"/>
      <c r="E32" s="286"/>
      <c r="F32" s="13"/>
      <c r="G32" s="13"/>
      <c r="H32" s="13"/>
      <c r="I32" s="13"/>
      <c r="J32" s="13"/>
      <c r="K32" s="22"/>
      <c r="L32" s="22"/>
      <c r="M32" s="22"/>
      <c r="N32" s="278"/>
      <c r="O32" s="468"/>
    </row>
    <row r="33" spans="1:15">
      <c r="A33" s="31"/>
      <c r="B33" s="387"/>
      <c r="C33" s="383"/>
      <c r="D33" s="19"/>
      <c r="E33" s="287"/>
      <c r="F33" s="36"/>
      <c r="G33" s="36"/>
      <c r="H33" s="36"/>
      <c r="I33" s="36"/>
      <c r="J33" s="36"/>
      <c r="K33" s="36"/>
      <c r="L33" s="36"/>
      <c r="M33" s="36"/>
      <c r="N33" s="288"/>
      <c r="O33" s="468"/>
    </row>
    <row r="34" spans="1:15">
      <c r="A34" s="6" t="s">
        <v>40</v>
      </c>
      <c r="B34" s="7">
        <f>SUM(B35:B45)</f>
        <v>8314054</v>
      </c>
      <c r="C34" s="562">
        <v>3943440</v>
      </c>
      <c r="D34" s="556">
        <f>SUM(D35:D45)</f>
        <v>4409642</v>
      </c>
      <c r="E34" s="274">
        <f t="shared" ref="E34:N34" si="5">SUM(E35:E45)</f>
        <v>752148</v>
      </c>
      <c r="F34" s="9">
        <f t="shared" si="5"/>
        <v>295896</v>
      </c>
      <c r="G34" s="9">
        <f t="shared" si="5"/>
        <v>291533</v>
      </c>
      <c r="H34" s="9">
        <f t="shared" si="5"/>
        <v>89990</v>
      </c>
      <c r="I34" s="9">
        <f t="shared" si="5"/>
        <v>73393</v>
      </c>
      <c r="J34" s="9">
        <f t="shared" si="5"/>
        <v>1336</v>
      </c>
      <c r="K34" s="72">
        <f t="shared" si="5"/>
        <v>168668</v>
      </c>
      <c r="L34" s="72">
        <f t="shared" si="5"/>
        <v>47364</v>
      </c>
      <c r="M34" s="72">
        <f t="shared" si="5"/>
        <v>534</v>
      </c>
      <c r="N34" s="275">
        <f t="shared" si="5"/>
        <v>54212</v>
      </c>
      <c r="O34" s="73">
        <f t="shared" si="2"/>
        <v>1.1182221613616539</v>
      </c>
    </row>
    <row r="35" spans="1:15">
      <c r="A35" s="386" t="s">
        <v>41</v>
      </c>
      <c r="B35" s="14">
        <f>439746+58130+61049</f>
        <v>558925</v>
      </c>
      <c r="C35" s="383">
        <v>252493</v>
      </c>
      <c r="D35" s="429">
        <f>176793+71526+59980+65204</f>
        <v>373503</v>
      </c>
      <c r="E35" s="286">
        <f t="shared" ref="E35:E41" si="6">SUM(F35:J35)</f>
        <v>65204</v>
      </c>
      <c r="F35" s="13"/>
      <c r="G35" s="13">
        <v>47549</v>
      </c>
      <c r="H35" s="13">
        <v>17655</v>
      </c>
      <c r="I35" s="13"/>
      <c r="J35" s="13"/>
      <c r="K35" s="88">
        <v>2198</v>
      </c>
      <c r="L35" s="88">
        <f>13068</f>
        <v>13068</v>
      </c>
      <c r="M35" s="88"/>
      <c r="N35" s="289"/>
      <c r="O35" s="468">
        <f t="shared" si="2"/>
        <v>1.4792608111908052</v>
      </c>
    </row>
    <row r="36" spans="1:15">
      <c r="A36" s="386" t="s">
        <v>157</v>
      </c>
      <c r="B36" s="14">
        <f>506252+63971</f>
        <v>570223</v>
      </c>
      <c r="C36" s="383">
        <v>247412</v>
      </c>
      <c r="D36" s="429">
        <f>58796+40986+58237+58418+48813+50046</f>
        <v>315296</v>
      </c>
      <c r="E36" s="286">
        <f>H36+I36</f>
        <v>50046</v>
      </c>
      <c r="F36" s="12"/>
      <c r="G36" s="12"/>
      <c r="H36" s="13">
        <v>6906</v>
      </c>
      <c r="I36" s="13">
        <v>43140</v>
      </c>
      <c r="J36" s="13"/>
      <c r="K36" s="88">
        <v>1540</v>
      </c>
      <c r="L36" s="88">
        <f>6783+10</f>
        <v>6793</v>
      </c>
      <c r="M36" s="88"/>
      <c r="N36" s="289">
        <v>50046</v>
      </c>
      <c r="O36" s="468">
        <f t="shared" si="2"/>
        <v>1.2743763439121789</v>
      </c>
    </row>
    <row r="37" spans="1:15">
      <c r="A37" s="386" t="s">
        <v>43</v>
      </c>
      <c r="B37" s="464">
        <f>42017+51282+45948+47390+55304+49234+45680+47437+43911+34616+30188+41910</f>
        <v>534917</v>
      </c>
      <c r="C37" s="594">
        <v>291175</v>
      </c>
      <c r="D37" s="635">
        <f>43919+38655+49389+49920+41452+46211</f>
        <v>269546</v>
      </c>
      <c r="E37" s="286">
        <f t="shared" si="6"/>
        <v>46211</v>
      </c>
      <c r="F37" s="13">
        <v>19037</v>
      </c>
      <c r="G37" s="13">
        <v>20258</v>
      </c>
      <c r="H37" s="13">
        <v>3009</v>
      </c>
      <c r="I37" s="291">
        <v>2571</v>
      </c>
      <c r="J37" s="13">
        <v>1336</v>
      </c>
      <c r="K37" s="88">
        <f>4120+5084+833+405+89</f>
        <v>10531</v>
      </c>
      <c r="L37" s="88">
        <f>859+196+40+316+659</f>
        <v>2070</v>
      </c>
      <c r="M37" s="88"/>
      <c r="N37" s="289">
        <v>2407</v>
      </c>
      <c r="O37" s="468">
        <f t="shared" si="2"/>
        <v>0.92571821069803384</v>
      </c>
    </row>
    <row r="38" spans="1:15">
      <c r="A38" s="31" t="s">
        <v>44</v>
      </c>
      <c r="B38" s="393">
        <f>154869+18461+17185+18184+22072</f>
        <v>230771</v>
      </c>
      <c r="C38" s="595">
        <v>104358</v>
      </c>
      <c r="D38" s="636">
        <f>20214+11681+23581+25619+22301+21824</f>
        <v>125220</v>
      </c>
      <c r="E38" s="598">
        <f t="shared" si="6"/>
        <v>21824</v>
      </c>
      <c r="F38" s="13"/>
      <c r="G38" s="13">
        <v>20</v>
      </c>
      <c r="H38" s="13">
        <v>10791</v>
      </c>
      <c r="I38" s="13">
        <v>11013</v>
      </c>
      <c r="J38" s="89"/>
      <c r="K38" s="90">
        <f>20+2969+2069</f>
        <v>5058</v>
      </c>
      <c r="L38" s="88">
        <f>296+1111</f>
        <v>1407</v>
      </c>
      <c r="M38" s="88">
        <v>236</v>
      </c>
      <c r="N38" s="289"/>
      <c r="O38" s="468">
        <f t="shared" si="2"/>
        <v>1.1999080089691254</v>
      </c>
    </row>
    <row r="39" spans="1:15" ht="15.6">
      <c r="A39" s="31" t="s">
        <v>45</v>
      </c>
      <c r="B39" s="394">
        <f>50925+32855+32535+28886+28236+30552+33558+32390+29858+33841+31383</f>
        <v>365019</v>
      </c>
      <c r="C39" s="565">
        <v>173437</v>
      </c>
      <c r="D39" s="603">
        <f>36191+20920+29070+23929+27875+30427</f>
        <v>168412</v>
      </c>
      <c r="E39" s="286">
        <f t="shared" si="6"/>
        <v>30427</v>
      </c>
      <c r="F39" s="292"/>
      <c r="G39" s="292"/>
      <c r="H39" s="503">
        <v>14961</v>
      </c>
      <c r="I39" s="504">
        <v>15466</v>
      </c>
      <c r="J39" s="13"/>
      <c r="K39" s="52">
        <v>10453</v>
      </c>
      <c r="L39" s="22">
        <f>1830+2227</f>
        <v>4057</v>
      </c>
      <c r="M39" s="22">
        <v>298</v>
      </c>
      <c r="N39" s="278"/>
      <c r="O39" s="468">
        <f t="shared" si="2"/>
        <v>0.97102694350109842</v>
      </c>
    </row>
    <row r="40" spans="1:15">
      <c r="A40" s="31" t="s">
        <v>46</v>
      </c>
      <c r="B40" s="394">
        <f>5696+3958+5815+9110+7468+13154+12856+16704+16494+13524+11707+13991</f>
        <v>130477</v>
      </c>
      <c r="C40" s="565">
        <v>45201</v>
      </c>
      <c r="D40" s="603">
        <f>12008+9467+14763+14113+14691+14606</f>
        <v>79648</v>
      </c>
      <c r="E40" s="286">
        <f t="shared" si="6"/>
        <v>14606</v>
      </c>
      <c r="F40" s="13">
        <v>2830</v>
      </c>
      <c r="G40" s="13">
        <v>9053</v>
      </c>
      <c r="H40" s="13">
        <v>1520</v>
      </c>
      <c r="I40" s="13">
        <v>1203</v>
      </c>
      <c r="J40" s="13"/>
      <c r="K40" s="22">
        <f>1080+1570+526+137</f>
        <v>3313</v>
      </c>
      <c r="L40" s="22">
        <f>1499+30+280</f>
        <v>1809</v>
      </c>
      <c r="M40" s="88"/>
      <c r="N40" s="289"/>
      <c r="O40" s="468">
        <f t="shared" si="2"/>
        <v>1.7620849096258933</v>
      </c>
    </row>
    <row r="41" spans="1:15">
      <c r="A41" s="31" t="s">
        <v>47</v>
      </c>
      <c r="B41" s="394">
        <f>372397+393542+480876+438506+433683+444706+469051+460647+432596+460939+470477+474708</f>
        <v>5332128</v>
      </c>
      <c r="C41" s="565">
        <v>2563710</v>
      </c>
      <c r="D41" s="603">
        <f>492323+373517+489518+501319+498148+483300</f>
        <v>2838125</v>
      </c>
      <c r="E41" s="286">
        <f t="shared" si="6"/>
        <v>483300</v>
      </c>
      <c r="F41" s="13">
        <v>269687</v>
      </c>
      <c r="G41" s="13">
        <v>213613</v>
      </c>
      <c r="H41" s="13"/>
      <c r="I41" s="12"/>
      <c r="J41" s="13"/>
      <c r="K41" s="87">
        <f>75140+60001</f>
        <v>135141</v>
      </c>
      <c r="L41" s="87">
        <f>3563+14142</f>
        <v>17705</v>
      </c>
      <c r="M41" s="88"/>
      <c r="N41" s="289"/>
      <c r="O41" s="468">
        <f t="shared" si="2"/>
        <v>1.1070382375541696</v>
      </c>
    </row>
    <row r="42" spans="1:15">
      <c r="A42" s="31" t="s">
        <v>48</v>
      </c>
      <c r="B42" s="394">
        <f>32440+39588+48102+43548+41412+40968+51704+51435+55440+57617+45700+41689</f>
        <v>549643</v>
      </c>
      <c r="C42" s="565">
        <v>246058</v>
      </c>
      <c r="D42" s="603">
        <f>41444+27037+39698+37856+42480+38521</f>
        <v>227036</v>
      </c>
      <c r="E42" s="286">
        <f>SUM(F42:J42)</f>
        <v>38521</v>
      </c>
      <c r="F42" s="1035">
        <v>3373</v>
      </c>
      <c r="G42" s="1035"/>
      <c r="H42" s="1035">
        <v>35148</v>
      </c>
      <c r="I42" s="1035"/>
      <c r="J42" s="13"/>
      <c r="K42" s="88"/>
      <c r="L42" s="88"/>
      <c r="M42" s="88"/>
      <c r="N42" s="289"/>
      <c r="O42" s="468">
        <f t="shared" si="2"/>
        <v>0.92269302359606276</v>
      </c>
    </row>
    <row r="43" spans="1:15">
      <c r="A43" s="31" t="s">
        <v>49</v>
      </c>
      <c r="B43" s="389">
        <f>SUM(D43:G43)</f>
        <v>0</v>
      </c>
      <c r="C43" s="565">
        <v>0</v>
      </c>
      <c r="D43" s="582"/>
      <c r="E43" s="286"/>
      <c r="F43" s="13"/>
      <c r="G43" s="13"/>
      <c r="H43" s="13"/>
      <c r="I43" s="13"/>
      <c r="J43" s="13"/>
      <c r="K43" s="88"/>
      <c r="L43" s="88"/>
      <c r="M43" s="88"/>
      <c r="N43" s="289"/>
      <c r="O43" s="468"/>
    </row>
    <row r="44" spans="1:15">
      <c r="A44" s="31" t="s">
        <v>50</v>
      </c>
      <c r="B44" s="395">
        <f>2388+2166+2181+2143+2735+2159+2232+3124+2401+2891+2264+3229</f>
        <v>29913</v>
      </c>
      <c r="C44" s="566">
        <v>13772</v>
      </c>
      <c r="D44" s="604">
        <f>1591+185+300+228+282+250</f>
        <v>2836</v>
      </c>
      <c r="E44" s="286">
        <f>SUM(F44:J44)</f>
        <v>250</v>
      </c>
      <c r="F44" s="13">
        <v>124</v>
      </c>
      <c r="G44" s="13">
        <v>126</v>
      </c>
      <c r="H44" s="13"/>
      <c r="I44" s="13"/>
      <c r="J44" s="13"/>
      <c r="K44" s="88">
        <v>250</v>
      </c>
      <c r="L44" s="88">
        <f>124</f>
        <v>124</v>
      </c>
      <c r="M44" s="88"/>
      <c r="N44" s="289"/>
      <c r="O44" s="468">
        <f t="shared" si="2"/>
        <v>0.20592506534998548</v>
      </c>
    </row>
    <row r="45" spans="1:15">
      <c r="A45" s="31" t="s">
        <v>51</v>
      </c>
      <c r="B45" s="395">
        <v>12038</v>
      </c>
      <c r="C45" s="566">
        <v>5824</v>
      </c>
      <c r="D45" s="604">
        <f>5554+2707+1759</f>
        <v>10020</v>
      </c>
      <c r="E45" s="286">
        <f>SUM(F45:F45:J45)</f>
        <v>1759</v>
      </c>
      <c r="F45" s="13">
        <v>845</v>
      </c>
      <c r="G45" s="13">
        <v>914</v>
      </c>
      <c r="H45" s="13"/>
      <c r="I45" s="13"/>
      <c r="J45" s="91"/>
      <c r="K45" s="90">
        <f>28+156</f>
        <v>184</v>
      </c>
      <c r="L45" s="88">
        <f>331</f>
        <v>331</v>
      </c>
      <c r="M45" s="88"/>
      <c r="N45" s="289">
        <v>1759</v>
      </c>
      <c r="O45" s="468">
        <f t="shared" si="2"/>
        <v>1.7204670329670331</v>
      </c>
    </row>
    <row r="46" spans="1:15" ht="17.100000000000001" customHeight="1">
      <c r="A46" s="31"/>
      <c r="B46" s="419"/>
      <c r="C46" s="566"/>
      <c r="D46" s="558"/>
      <c r="E46" s="294"/>
      <c r="F46" s="44"/>
      <c r="G46" s="44"/>
      <c r="H46" s="44"/>
      <c r="I46" s="44"/>
      <c r="J46" s="44"/>
      <c r="K46" s="44"/>
      <c r="L46" s="44"/>
      <c r="M46" s="44"/>
      <c r="N46" s="295"/>
      <c r="O46" s="468"/>
    </row>
    <row r="47" spans="1:15">
      <c r="A47" s="6" t="s">
        <v>52</v>
      </c>
      <c r="B47" s="928">
        <f>SUM(B48:B55)</f>
        <v>4797590</v>
      </c>
      <c r="C47" s="928">
        <f>SUM(C48:C55)</f>
        <v>2339889</v>
      </c>
      <c r="D47" s="949">
        <f>SUM(D48:D55)</f>
        <v>2936207</v>
      </c>
      <c r="E47" s="500">
        <f>SUM(E48:E54)</f>
        <v>578145</v>
      </c>
      <c r="F47" s="925">
        <f>SUM(F48:F55)</f>
        <v>232695</v>
      </c>
      <c r="G47" s="925">
        <f>SUM(G48:G55)</f>
        <v>279641</v>
      </c>
      <c r="H47" s="9">
        <f t="shared" ref="H47:N47" si="7">SUM(H48:H55)</f>
        <v>5697</v>
      </c>
      <c r="I47" s="9">
        <f t="shared" si="7"/>
        <v>3801</v>
      </c>
      <c r="J47" s="9">
        <f t="shared" si="7"/>
        <v>56311</v>
      </c>
      <c r="K47" s="72">
        <f t="shared" si="7"/>
        <v>40963</v>
      </c>
      <c r="L47" s="72">
        <f t="shared" si="7"/>
        <v>42312</v>
      </c>
      <c r="M47" s="72">
        <f t="shared" si="7"/>
        <v>1117</v>
      </c>
      <c r="N47" s="275">
        <f t="shared" si="7"/>
        <v>36985</v>
      </c>
      <c r="O47" s="73">
        <f t="shared" si="2"/>
        <v>1.2548488411202412</v>
      </c>
    </row>
    <row r="48" spans="1:15">
      <c r="A48" s="31" t="s">
        <v>53</v>
      </c>
      <c r="B48" s="14">
        <v>0</v>
      </c>
      <c r="C48" s="383"/>
      <c r="D48" s="557"/>
      <c r="E48" s="286">
        <f t="shared" ref="E48:E53" si="8">SUM(F48:J48)</f>
        <v>0</v>
      </c>
      <c r="F48" s="13"/>
      <c r="G48" s="13"/>
      <c r="H48" s="13"/>
      <c r="I48" s="13"/>
      <c r="J48" s="13"/>
      <c r="K48" s="36"/>
      <c r="L48" s="36"/>
      <c r="M48" s="36"/>
      <c r="N48" s="288"/>
      <c r="O48" s="468"/>
    </row>
    <row r="49" spans="1:16">
      <c r="A49" s="1075" t="s">
        <v>54</v>
      </c>
      <c r="B49" s="1057">
        <f>127394+89400+147995+127434+174236+176428+189135+187087+174544+192913+163797+135579</f>
        <v>1885942</v>
      </c>
      <c r="C49" s="1099">
        <f>842887+E49</f>
        <v>1039236</v>
      </c>
      <c r="D49" s="1059">
        <f>152617+131920+130997+153389+149066+196349</f>
        <v>914338</v>
      </c>
      <c r="E49" s="1019">
        <f t="shared" si="8"/>
        <v>196349</v>
      </c>
      <c r="F49" s="1016">
        <v>80896</v>
      </c>
      <c r="G49" s="1016">
        <v>95048</v>
      </c>
      <c r="H49" s="1016">
        <v>5682</v>
      </c>
      <c r="I49" s="1016">
        <v>3801</v>
      </c>
      <c r="J49" s="1016">
        <v>10922</v>
      </c>
      <c r="K49" s="1017">
        <f>4512+7507+863+440+741</f>
        <v>14063</v>
      </c>
      <c r="L49" s="1017">
        <f>3340+197+1+277+57</f>
        <v>3872</v>
      </c>
      <c r="M49" s="1017"/>
      <c r="N49" s="1018"/>
      <c r="O49" s="468">
        <f t="shared" si="2"/>
        <v>0.87981748130357296</v>
      </c>
      <c r="P49" s="1015"/>
    </row>
    <row r="50" spans="1:16">
      <c r="A50" s="1076"/>
      <c r="B50" s="1058"/>
      <c r="C50" s="1100"/>
      <c r="D50" s="1060"/>
      <c r="E50" s="1020"/>
      <c r="F50" s="1016"/>
      <c r="G50" s="1016"/>
      <c r="H50" s="1016"/>
      <c r="I50" s="1016"/>
      <c r="J50" s="1016"/>
      <c r="K50" s="1017"/>
      <c r="L50" s="1017"/>
      <c r="M50" s="1017"/>
      <c r="N50" s="1018"/>
      <c r="O50" s="468"/>
      <c r="P50" s="1015"/>
    </row>
    <row r="51" spans="1:16">
      <c r="A51" s="31" t="s">
        <v>56</v>
      </c>
      <c r="B51" s="397">
        <f>47356+52560+79724+85499+66734+68133+73487+69407+60723+61109+72181+84025</f>
        <v>820938</v>
      </c>
      <c r="C51" s="566">
        <v>400006</v>
      </c>
      <c r="D51" s="637">
        <f>97537+55586+99611+80866+84077+87464</f>
        <v>505141</v>
      </c>
      <c r="E51" s="286">
        <f t="shared" si="8"/>
        <v>87464</v>
      </c>
      <c r="F51" s="45">
        <v>39389</v>
      </c>
      <c r="G51" s="33">
        <v>40445</v>
      </c>
      <c r="H51" s="46"/>
      <c r="I51" s="12"/>
      <c r="J51" s="33">
        <v>7630</v>
      </c>
      <c r="K51" s="87">
        <f>1131+3533+1468</f>
        <v>6132</v>
      </c>
      <c r="L51" s="81">
        <f>3124+80+656</f>
        <v>3860</v>
      </c>
      <c r="M51" s="36"/>
      <c r="N51" s="288"/>
      <c r="O51" s="468">
        <f t="shared" si="2"/>
        <v>1.2628335574966376</v>
      </c>
    </row>
    <row r="52" spans="1:16">
      <c r="A52" s="17" t="s">
        <v>57</v>
      </c>
      <c r="B52" s="395">
        <f>38855+42860+48337+46082+47751+44611+75076+55809+60576+63502+55882+64932</f>
        <v>644273</v>
      </c>
      <c r="C52" s="566">
        <v>268496</v>
      </c>
      <c r="D52" s="604">
        <f>59734+65037+69566+76869+85180+98871</f>
        <v>455257</v>
      </c>
      <c r="E52" s="286">
        <f t="shared" si="8"/>
        <v>98871</v>
      </c>
      <c r="F52" s="13">
        <v>28561</v>
      </c>
      <c r="G52" s="13">
        <v>44497</v>
      </c>
      <c r="H52" s="13"/>
      <c r="I52" s="92"/>
      <c r="J52" s="13">
        <v>25813</v>
      </c>
      <c r="K52" s="22">
        <v>12321</v>
      </c>
      <c r="L52" s="22">
        <f>16797+414+13046</f>
        <v>30257</v>
      </c>
      <c r="M52" s="36"/>
      <c r="N52" s="288"/>
      <c r="O52" s="468">
        <f t="shared" si="2"/>
        <v>1.6955820570883737</v>
      </c>
    </row>
    <row r="53" spans="1:16">
      <c r="A53" s="17" t="s">
        <v>58</v>
      </c>
      <c r="B53" s="395">
        <f>38927+25455+65397+44769+34250+34453+44944+60275+38990+46527+28707+33843</f>
        <v>496537</v>
      </c>
      <c r="C53" s="566">
        <v>243251</v>
      </c>
      <c r="D53" s="604">
        <f>47624+41548+39771+61527+61540+40461</f>
        <v>292471</v>
      </c>
      <c r="E53" s="286">
        <f t="shared" si="8"/>
        <v>40461</v>
      </c>
      <c r="F53" s="13">
        <v>9646</v>
      </c>
      <c r="G53" s="13">
        <v>18854</v>
      </c>
      <c r="H53" s="13">
        <v>15</v>
      </c>
      <c r="I53" s="13"/>
      <c r="J53" s="13">
        <v>11946</v>
      </c>
      <c r="K53" s="88">
        <v>8447</v>
      </c>
      <c r="L53" s="88">
        <f>1775+2548</f>
        <v>4323</v>
      </c>
      <c r="M53" s="88">
        <v>1117</v>
      </c>
      <c r="N53" s="289">
        <v>36985</v>
      </c>
      <c r="O53" s="468">
        <f t="shared" si="2"/>
        <v>1.2023424364134165</v>
      </c>
    </row>
    <row r="54" spans="1:16">
      <c r="A54" s="47" t="s">
        <v>59</v>
      </c>
      <c r="B54" s="905">
        <v>949900</v>
      </c>
      <c r="C54" s="967">
        <v>388900</v>
      </c>
      <c r="D54" s="907">
        <v>769000</v>
      </c>
      <c r="E54" s="598">
        <f>SUM(F54:J54)</f>
        <v>155000</v>
      </c>
      <c r="F54" s="908">
        <v>74203</v>
      </c>
      <c r="G54" s="909">
        <v>80797</v>
      </c>
      <c r="H54" s="48"/>
      <c r="I54" s="93"/>
      <c r="J54" s="94"/>
      <c r="K54" s="95"/>
      <c r="L54" s="95"/>
      <c r="M54" s="95"/>
      <c r="N54" s="296"/>
      <c r="O54" s="468">
        <f t="shared" si="2"/>
        <v>1.977372075083569</v>
      </c>
      <c r="P54" s="96"/>
    </row>
    <row r="55" spans="1:16">
      <c r="A55" s="17" t="s">
        <v>60</v>
      </c>
      <c r="B55" s="382"/>
      <c r="C55" s="567"/>
      <c r="D55" s="583"/>
      <c r="E55" s="287"/>
      <c r="F55" s="514"/>
      <c r="G55" s="51"/>
      <c r="H55" s="52"/>
      <c r="I55" s="514"/>
      <c r="J55" s="51"/>
      <c r="K55" s="36"/>
      <c r="L55" s="36"/>
      <c r="M55" s="36"/>
      <c r="N55" s="288"/>
      <c r="O55" s="468"/>
    </row>
    <row r="56" spans="1:16">
      <c r="A56" s="17"/>
      <c r="B56" s="382"/>
      <c r="C56" s="567"/>
      <c r="D56" s="559"/>
      <c r="E56" s="287"/>
      <c r="F56" s="53"/>
      <c r="G56" s="53"/>
      <c r="H56" s="52"/>
      <c r="I56" s="28"/>
      <c r="J56" s="22"/>
      <c r="K56" s="36"/>
      <c r="L56" s="36"/>
      <c r="M56" s="36"/>
      <c r="N56" s="288"/>
      <c r="O56" s="468"/>
    </row>
    <row r="57" spans="1:16">
      <c r="A57" s="54" t="s">
        <v>61</v>
      </c>
      <c r="B57" s="218">
        <f>SUM(B58:B65)</f>
        <v>71421</v>
      </c>
      <c r="C57" s="568">
        <v>37049</v>
      </c>
      <c r="D57" s="560">
        <f>SUM(D58:D65)</f>
        <v>26875</v>
      </c>
      <c r="E57" s="298">
        <f t="shared" ref="E57:N57" si="9">SUM(E58:E65)</f>
        <v>4226</v>
      </c>
      <c r="F57" s="55">
        <f t="shared" si="9"/>
        <v>0</v>
      </c>
      <c r="G57" s="55">
        <f t="shared" si="9"/>
        <v>0</v>
      </c>
      <c r="H57" s="55">
        <f t="shared" si="9"/>
        <v>2129</v>
      </c>
      <c r="I57" s="55">
        <f t="shared" si="9"/>
        <v>2097</v>
      </c>
      <c r="J57" s="55">
        <f t="shared" si="9"/>
        <v>0</v>
      </c>
      <c r="K57" s="97">
        <f t="shared" si="9"/>
        <v>1424</v>
      </c>
      <c r="L57" s="97">
        <f t="shared" si="9"/>
        <v>1502</v>
      </c>
      <c r="M57" s="97">
        <f t="shared" si="9"/>
        <v>0</v>
      </c>
      <c r="N57" s="299">
        <f t="shared" si="9"/>
        <v>1747</v>
      </c>
      <c r="O57" s="73">
        <f t="shared" si="2"/>
        <v>0.72539069880428619</v>
      </c>
    </row>
    <row r="58" spans="1:16">
      <c r="A58" s="17" t="s">
        <v>62</v>
      </c>
      <c r="B58" s="395">
        <f>122+557+792+366+499+468+393+769+628+559+497+230</f>
        <v>5880</v>
      </c>
      <c r="C58" s="566">
        <v>2804</v>
      </c>
      <c r="D58" s="806">
        <f>335+74+675+1816+624+522</f>
        <v>4046</v>
      </c>
      <c r="E58" s="274">
        <f t="shared" ref="E58:E65" si="10">SUM(F58:J58)</f>
        <v>522</v>
      </c>
      <c r="F58" s="291"/>
      <c r="G58" s="13"/>
      <c r="H58" s="57">
        <v>262</v>
      </c>
      <c r="I58" s="13">
        <v>260</v>
      </c>
      <c r="J58" s="13"/>
      <c r="K58" s="36">
        <f>18+18</f>
        <v>36</v>
      </c>
      <c r="L58" s="36">
        <v>28</v>
      </c>
      <c r="M58" s="36"/>
      <c r="N58" s="288"/>
      <c r="O58" s="468">
        <f t="shared" si="2"/>
        <v>1.4429386590584878</v>
      </c>
    </row>
    <row r="59" spans="1:16">
      <c r="A59" s="17" t="s">
        <v>63</v>
      </c>
      <c r="B59" s="14"/>
      <c r="C59" s="383"/>
      <c r="D59" s="577"/>
      <c r="E59" s="286">
        <f t="shared" si="10"/>
        <v>0</v>
      </c>
      <c r="F59" s="58"/>
      <c r="G59" s="11"/>
      <c r="H59" s="13"/>
      <c r="I59" s="13"/>
      <c r="J59" s="13"/>
      <c r="K59" s="36">
        <v>0</v>
      </c>
      <c r="L59" s="36"/>
      <c r="M59" s="36"/>
      <c r="N59" s="288"/>
      <c r="O59" s="468"/>
    </row>
    <row r="60" spans="1:16">
      <c r="A60" s="17" t="s">
        <v>64</v>
      </c>
      <c r="B60" s="395">
        <f>774+884+1093+1806+989+1127+1587+1317+1182+1138+1729+1456</f>
        <v>15082</v>
      </c>
      <c r="C60" s="566">
        <v>6673</v>
      </c>
      <c r="D60" s="584">
        <f>1670+1062+1129+1350+1391+1439</f>
        <v>8041</v>
      </c>
      <c r="E60" s="286">
        <f t="shared" si="10"/>
        <v>1439</v>
      </c>
      <c r="F60" s="57"/>
      <c r="G60" s="11"/>
      <c r="H60" s="13">
        <v>666</v>
      </c>
      <c r="I60" s="13">
        <v>773</v>
      </c>
      <c r="J60" s="13"/>
      <c r="K60" s="36">
        <f>194+265</f>
        <v>459</v>
      </c>
      <c r="L60" s="36">
        <f>314+316</f>
        <v>630</v>
      </c>
      <c r="M60" s="36"/>
      <c r="N60" s="288"/>
      <c r="O60" s="468">
        <f t="shared" si="2"/>
        <v>1.2050052450172337</v>
      </c>
    </row>
    <row r="61" spans="1:16">
      <c r="A61" s="17" t="s">
        <v>65</v>
      </c>
      <c r="B61" s="14">
        <f>19101+1605+2057+920+1082</f>
        <v>24765</v>
      </c>
      <c r="C61" s="383">
        <v>16092</v>
      </c>
      <c r="D61" s="577">
        <f>1089+517+1381+2546+1336+1503</f>
        <v>8372</v>
      </c>
      <c r="E61" s="286">
        <f t="shared" si="10"/>
        <v>1503</v>
      </c>
      <c r="F61" s="58"/>
      <c r="G61" s="11"/>
      <c r="H61" s="13">
        <v>782</v>
      </c>
      <c r="I61" s="13">
        <v>721</v>
      </c>
      <c r="J61" s="13"/>
      <c r="K61" s="22">
        <f>9+444</f>
        <v>453</v>
      </c>
      <c r="L61" s="22">
        <f>517+15</f>
        <v>532</v>
      </c>
      <c r="M61" s="36"/>
      <c r="N61" s="288">
        <v>985</v>
      </c>
      <c r="O61" s="468">
        <f t="shared" si="2"/>
        <v>0.52025851354710417</v>
      </c>
    </row>
    <row r="62" spans="1:16">
      <c r="A62" s="398" t="s">
        <v>66</v>
      </c>
      <c r="B62" s="389">
        <f>SUM(D62:G62)</f>
        <v>0</v>
      </c>
      <c r="C62" s="383">
        <v>0</v>
      </c>
      <c r="D62" s="585"/>
      <c r="E62" s="286">
        <f t="shared" si="10"/>
        <v>0</v>
      </c>
      <c r="F62" s="476"/>
      <c r="G62" s="11"/>
      <c r="H62" s="13"/>
      <c r="I62" s="13"/>
      <c r="J62" s="13"/>
      <c r="K62" s="36"/>
      <c r="L62" s="36"/>
      <c r="M62" s="36"/>
      <c r="N62" s="288"/>
      <c r="O62" s="468"/>
    </row>
    <row r="63" spans="1:16">
      <c r="A63" s="17" t="s">
        <v>67</v>
      </c>
      <c r="B63" s="14">
        <v>19597</v>
      </c>
      <c r="C63" s="383">
        <v>8196</v>
      </c>
      <c r="D63" s="445">
        <f>949+632+800+680+378+254</f>
        <v>3693</v>
      </c>
      <c r="E63" s="286">
        <f t="shared" si="10"/>
        <v>254</v>
      </c>
      <c r="F63" s="58"/>
      <c r="G63" s="11"/>
      <c r="H63" s="13">
        <v>134</v>
      </c>
      <c r="I63" s="13">
        <v>120</v>
      </c>
      <c r="J63" s="13"/>
      <c r="K63" s="22">
        <v>254</v>
      </c>
      <c r="L63" s="22">
        <f>134</f>
        <v>134</v>
      </c>
      <c r="M63" s="36"/>
      <c r="N63" s="288">
        <v>254</v>
      </c>
      <c r="O63" s="468">
        <f t="shared" si="2"/>
        <v>0.45058565153733526</v>
      </c>
    </row>
    <row r="64" spans="1:16">
      <c r="A64" s="399" t="s">
        <v>68</v>
      </c>
      <c r="B64" s="390"/>
      <c r="C64" s="569">
        <v>12075</v>
      </c>
      <c r="D64" s="586"/>
      <c r="E64" s="286">
        <f t="shared" si="10"/>
        <v>0</v>
      </c>
      <c r="F64" s="57"/>
      <c r="G64" s="62"/>
      <c r="H64" s="12"/>
      <c r="I64" s="12"/>
      <c r="J64" s="12"/>
      <c r="K64" s="28"/>
      <c r="L64" s="28"/>
      <c r="M64" s="28"/>
      <c r="N64" s="277"/>
      <c r="O64" s="468">
        <f t="shared" si="2"/>
        <v>0</v>
      </c>
    </row>
    <row r="65" spans="1:17">
      <c r="A65" s="17" t="s">
        <v>69</v>
      </c>
      <c r="B65" s="395">
        <f>3284+527+85+247+741+628+585</f>
        <v>6097</v>
      </c>
      <c r="C65" s="596">
        <v>3284</v>
      </c>
      <c r="D65" s="584">
        <f>703+210+509+267+526+508</f>
        <v>2723</v>
      </c>
      <c r="E65" s="286">
        <f t="shared" si="10"/>
        <v>508</v>
      </c>
      <c r="F65" s="13"/>
      <c r="G65" s="13"/>
      <c r="H65" s="13">
        <v>285</v>
      </c>
      <c r="I65" s="13">
        <v>223</v>
      </c>
      <c r="J65" s="13"/>
      <c r="K65" s="22">
        <f>221+1</f>
        <v>222</v>
      </c>
      <c r="L65" s="22">
        <f>178</f>
        <v>178</v>
      </c>
      <c r="M65" s="22"/>
      <c r="N65" s="278">
        <v>508</v>
      </c>
      <c r="O65" s="468">
        <f t="shared" si="2"/>
        <v>0.82917174177831909</v>
      </c>
      <c r="Q65" s="499"/>
    </row>
    <row r="66" spans="1:17" ht="15" thickBot="1">
      <c r="A66" s="477"/>
      <c r="B66" s="222"/>
      <c r="C66" s="366"/>
      <c r="D66" s="561"/>
      <c r="E66" s="451"/>
      <c r="F66" s="66"/>
      <c r="G66" s="178"/>
      <c r="H66" s="66"/>
      <c r="I66" s="66"/>
      <c r="J66" s="66"/>
      <c r="K66" s="66"/>
      <c r="L66" s="66"/>
      <c r="M66" s="66"/>
      <c r="N66" s="301"/>
      <c r="O66" s="468"/>
    </row>
    <row r="67" spans="1:17" s="1" customFormat="1" ht="20.100000000000001" customHeight="1" thickBot="1">
      <c r="A67" s="100" t="s">
        <v>70</v>
      </c>
      <c r="B67" s="942">
        <f>B6+B28+B34+B47+B57</f>
        <v>18561273</v>
      </c>
      <c r="C67" s="942">
        <f>C6+C28+C34+C47+C57</f>
        <v>8775130</v>
      </c>
      <c r="D67" s="944">
        <f>D6+D28+D34+D47+D57</f>
        <v>10402375</v>
      </c>
      <c r="E67" s="932">
        <f>E6+E28+E34+E47+E57</f>
        <v>1855235</v>
      </c>
      <c r="F67" s="934">
        <f>F6+F28+F34+F47+F57</f>
        <v>739490</v>
      </c>
      <c r="G67" s="935">
        <f>G6+G28+F34+G47+G57</f>
        <v>795133</v>
      </c>
      <c r="H67" s="102">
        <f t="shared" ref="H67:N67" si="11">H6+H28+G34+H47+H57</f>
        <v>338147</v>
      </c>
      <c r="I67" s="102">
        <f t="shared" si="11"/>
        <v>134453</v>
      </c>
      <c r="J67" s="102">
        <f t="shared" si="11"/>
        <v>129704</v>
      </c>
      <c r="K67" s="127">
        <f t="shared" si="11"/>
        <v>112307</v>
      </c>
      <c r="L67" s="127">
        <f t="shared" si="11"/>
        <v>264022</v>
      </c>
      <c r="M67" s="127">
        <f t="shared" si="11"/>
        <v>53725</v>
      </c>
      <c r="N67" s="302">
        <f t="shared" si="11"/>
        <v>40138</v>
      </c>
      <c r="O67" s="73">
        <f t="shared" si="2"/>
        <v>1.1854382784072715</v>
      </c>
    </row>
    <row r="68" spans="1:17">
      <c r="A68" s="3"/>
      <c r="B68" s="3"/>
      <c r="C68" s="384"/>
      <c r="D68" s="401"/>
      <c r="E68" s="401" t="s">
        <v>156</v>
      </c>
      <c r="F68" s="68"/>
      <c r="G68" s="68"/>
      <c r="H68" s="3"/>
      <c r="I68" s="3"/>
      <c r="J68" s="3"/>
      <c r="K68" s="3"/>
      <c r="L68" s="68"/>
      <c r="M68" s="68" t="s">
        <v>149</v>
      </c>
      <c r="N68" s="68"/>
      <c r="O68" s="3"/>
    </row>
    <row r="69" spans="1:17">
      <c r="B69" s="3"/>
      <c r="C69" s="3"/>
      <c r="D69" s="68"/>
      <c r="E69" s="3"/>
      <c r="F69" s="68"/>
      <c r="G69" s="3"/>
      <c r="H69" s="3"/>
      <c r="I69" s="3"/>
      <c r="J69" s="3"/>
      <c r="K69" s="3"/>
      <c r="L69" s="68"/>
      <c r="M69" s="68"/>
      <c r="N69" s="68"/>
      <c r="O69" s="3"/>
    </row>
    <row r="70" spans="1:17" ht="15" thickBot="1">
      <c r="B70" s="3"/>
      <c r="C70" s="3"/>
      <c r="D70" s="104" t="s">
        <v>71</v>
      </c>
      <c r="E70" s="104" t="s">
        <v>72</v>
      </c>
      <c r="F70" s="104" t="s">
        <v>73</v>
      </c>
      <c r="G70" s="104" t="s">
        <v>74</v>
      </c>
      <c r="H70" s="104" t="s">
        <v>75</v>
      </c>
      <c r="I70" s="104" t="s">
        <v>76</v>
      </c>
      <c r="J70" s="104" t="s">
        <v>77</v>
      </c>
      <c r="K70" s="104" t="s">
        <v>78</v>
      </c>
      <c r="L70" s="104" t="s">
        <v>79</v>
      </c>
      <c r="M70" s="104" t="s">
        <v>80</v>
      </c>
      <c r="N70" s="104" t="s">
        <v>81</v>
      </c>
      <c r="O70" s="104" t="s">
        <v>82</v>
      </c>
      <c r="P70" s="104" t="s">
        <v>83</v>
      </c>
    </row>
    <row r="71" spans="1:17" ht="15" thickBot="1">
      <c r="B71" s="105" t="s">
        <v>84</v>
      </c>
      <c r="C71" s="105"/>
      <c r="D71" s="106">
        <v>1845076</v>
      </c>
      <c r="E71" s="106">
        <v>1453853.1301010782</v>
      </c>
      <c r="F71" s="407">
        <v>1812571.4812098993</v>
      </c>
      <c r="G71" s="106">
        <v>1892251.3322744532</v>
      </c>
      <c r="H71" s="106">
        <v>1870176</v>
      </c>
      <c r="I71" s="807">
        <v>1911359</v>
      </c>
      <c r="J71" s="106"/>
      <c r="K71" s="130"/>
      <c r="L71" s="22"/>
      <c r="M71" s="131"/>
      <c r="N71" s="111"/>
      <c r="O71" s="131"/>
      <c r="P71" s="132">
        <f>SUM(D71:O71)</f>
        <v>10785286.943585431</v>
      </c>
    </row>
    <row r="72" spans="1:17">
      <c r="A72" s="3"/>
      <c r="B72" s="107" t="s">
        <v>85</v>
      </c>
      <c r="C72" s="107"/>
      <c r="D72" s="108"/>
      <c r="E72" s="109">
        <f>IF(D71&gt;0,E71/D71,0)*100</f>
        <v>78.796381834736252</v>
      </c>
      <c r="F72" s="109">
        <f>IF(E71&gt;0,F71/E71,0)*100</f>
        <v>124.67363062208914</v>
      </c>
      <c r="G72" s="109">
        <f>IF(F71&gt;0,G71/F71,0)*100</f>
        <v>104.39595634658045</v>
      </c>
      <c r="H72" s="109">
        <f>IF(G71&gt;0,H71/G71,0)*100</f>
        <v>98.833382653882495</v>
      </c>
      <c r="I72" s="109">
        <f>IF(H71&gt;0,I71/H71,0)*100</f>
        <v>102.20209220950326</v>
      </c>
      <c r="J72" s="109">
        <f>IF(H71&gt;0,J71/H71,0)*100</f>
        <v>0</v>
      </c>
      <c r="K72" s="109">
        <f>IF(J71&gt;0,K71/J71,0)*100</f>
        <v>0</v>
      </c>
      <c r="L72" s="109">
        <f>IF(K71&gt;0,L71/K71,0)*100</f>
        <v>0</v>
      </c>
      <c r="M72" s="109">
        <f>IF(L71&gt;0,M71/L71,0)*100</f>
        <v>0</v>
      </c>
      <c r="N72" s="109">
        <f>IF(M71&gt;0,N71/M71,0)*100</f>
        <v>0</v>
      </c>
      <c r="O72" s="109">
        <f>IF(N71&gt;0,O71/N71,0)*100</f>
        <v>0</v>
      </c>
      <c r="P72" s="109"/>
    </row>
    <row r="73" spans="1:17">
      <c r="A73" s="3"/>
      <c r="B73" s="110"/>
      <c r="C73" s="110"/>
      <c r="D73" s="110"/>
      <c r="E73" s="111"/>
      <c r="F73" s="110"/>
      <c r="G73" s="3"/>
      <c r="H73" s="3"/>
      <c r="I73" s="3"/>
      <c r="J73" s="3"/>
      <c r="K73" s="3"/>
      <c r="L73" s="3"/>
      <c r="M73" s="68"/>
      <c r="N73" s="68"/>
      <c r="O73" s="68"/>
      <c r="P73" s="3"/>
    </row>
    <row r="74" spans="1:17">
      <c r="A74" s="148" t="s">
        <v>86</v>
      </c>
      <c r="B74" s="68"/>
      <c r="C74" s="68"/>
      <c r="D74" s="68"/>
      <c r="E74" s="68"/>
      <c r="F74" s="3"/>
      <c r="G74" s="3"/>
      <c r="H74" s="3"/>
      <c r="I74" s="3"/>
      <c r="J74" s="3"/>
      <c r="K74" s="3"/>
      <c r="L74" s="3"/>
      <c r="M74" s="68"/>
      <c r="N74" s="68"/>
      <c r="O74" s="68"/>
      <c r="P74" s="3"/>
      <c r="Q74" s="142"/>
    </row>
    <row r="75" spans="1:17">
      <c r="A75" s="3" t="s">
        <v>87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148" t="s">
        <v>88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9" t="s">
        <v>89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4"/>
    </row>
    <row r="78" spans="1:17">
      <c r="A78" s="3" t="s">
        <v>90</v>
      </c>
      <c r="B78" s="3"/>
      <c r="C78" s="3"/>
      <c r="D78" s="3"/>
      <c r="E78" s="3"/>
      <c r="F78" s="3"/>
      <c r="G78" s="3"/>
      <c r="H78" s="3"/>
      <c r="I78" s="3"/>
      <c r="K78" s="3"/>
      <c r="M78" s="68"/>
      <c r="N78" s="68"/>
      <c r="O78" s="68"/>
      <c r="P78" s="3"/>
    </row>
    <row r="79" spans="1:17">
      <c r="A79" s="3" t="s">
        <v>91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135"/>
      <c r="P79" s="3"/>
    </row>
    <row r="80" spans="1:17">
      <c r="A80" s="3" t="s">
        <v>92</v>
      </c>
      <c r="B80" s="3"/>
      <c r="C80" s="3"/>
      <c r="D80" s="3"/>
      <c r="E80" s="3"/>
      <c r="F80" s="3"/>
      <c r="G80" s="3"/>
      <c r="H80" s="3"/>
      <c r="I80" s="3"/>
      <c r="K80" s="3"/>
      <c r="L80" s="3"/>
      <c r="M80" s="68"/>
      <c r="N80" s="68"/>
      <c r="O80" s="68"/>
      <c r="P80" s="3"/>
    </row>
    <row r="82" spans="2:17">
      <c r="B82" s="606" t="s">
        <v>159</v>
      </c>
    </row>
    <row r="83" spans="2:17" ht="15.6">
      <c r="B83" s="112" t="s">
        <v>93</v>
      </c>
      <c r="C83" s="112"/>
      <c r="D83" s="114" t="s">
        <v>94</v>
      </c>
      <c r="E83" s="115" t="s">
        <v>95</v>
      </c>
      <c r="F83" s="115" t="s">
        <v>96</v>
      </c>
      <c r="G83" s="115" t="s">
        <v>97</v>
      </c>
      <c r="H83" s="115" t="s">
        <v>98</v>
      </c>
      <c r="I83" s="136" t="s">
        <v>99</v>
      </c>
      <c r="J83" s="115" t="s">
        <v>100</v>
      </c>
      <c r="K83" s="115" t="s">
        <v>101</v>
      </c>
      <c r="L83" s="115" t="s">
        <v>102</v>
      </c>
      <c r="M83" s="115" t="s">
        <v>103</v>
      </c>
      <c r="N83" s="115" t="s">
        <v>104</v>
      </c>
      <c r="O83" s="115" t="s">
        <v>105</v>
      </c>
      <c r="P83" s="115" t="s">
        <v>106</v>
      </c>
      <c r="Q83" s="145" t="s">
        <v>107</v>
      </c>
    </row>
    <row r="84" spans="2:17">
      <c r="B84" s="116" t="s">
        <v>108</v>
      </c>
      <c r="C84" s="116"/>
      <c r="D84" s="52">
        <v>250647.57142857101</v>
      </c>
      <c r="E84" s="52">
        <v>303326.78571428568</v>
      </c>
      <c r="F84" s="52">
        <v>278308.28571428568</v>
      </c>
      <c r="G84" s="52">
        <v>329534.92857142858</v>
      </c>
      <c r="H84" s="118">
        <v>264136.85714285716</v>
      </c>
      <c r="I84" s="52">
        <v>280939.92857142852</v>
      </c>
      <c r="J84" s="52"/>
      <c r="K84" s="137"/>
      <c r="L84" s="138"/>
      <c r="M84" s="52"/>
      <c r="N84" s="52"/>
      <c r="O84" s="52"/>
      <c r="P84" s="478">
        <f t="shared" ref="P84:P90" si="12">SUM(D84:O84)</f>
        <v>1706894.3571428568</v>
      </c>
      <c r="Q84" s="146">
        <f t="shared" ref="Q84:Q90" si="13">P84/$P$90</f>
        <v>0.35172860108341997</v>
      </c>
    </row>
    <row r="85" spans="2:17">
      <c r="B85" s="119" t="s">
        <v>109</v>
      </c>
      <c r="C85" s="119"/>
      <c r="D85" s="121">
        <v>51557.785714285703</v>
      </c>
      <c r="E85" s="122">
        <v>38594.857142857145</v>
      </c>
      <c r="F85" s="122">
        <v>40995.357142857145</v>
      </c>
      <c r="G85" s="122">
        <v>33533.714285714283</v>
      </c>
      <c r="H85" s="123">
        <v>15954.785714285714</v>
      </c>
      <c r="I85" s="122">
        <v>52129.78571428571</v>
      </c>
      <c r="J85" s="122"/>
      <c r="K85" s="122"/>
      <c r="L85" s="122"/>
      <c r="M85" s="122"/>
      <c r="N85" s="122"/>
      <c r="O85" s="122"/>
      <c r="P85" s="479">
        <f t="shared" si="12"/>
        <v>232766.28571428571</v>
      </c>
      <c r="Q85" s="147">
        <f t="shared" si="13"/>
        <v>4.7964632205306001E-2</v>
      </c>
    </row>
    <row r="86" spans="2:17">
      <c r="B86" s="119" t="s">
        <v>110</v>
      </c>
      <c r="C86" s="119"/>
      <c r="D86" s="121">
        <v>157521.85714285701</v>
      </c>
      <c r="E86" s="122">
        <v>160543.85714285713</v>
      </c>
      <c r="F86" s="122">
        <v>156602.71428571426</v>
      </c>
      <c r="G86" s="122">
        <v>190080.78571428574</v>
      </c>
      <c r="H86" s="123">
        <v>199613.78571428571</v>
      </c>
      <c r="I86" s="122">
        <v>200030.57142857142</v>
      </c>
      <c r="J86" s="122"/>
      <c r="K86" s="122"/>
      <c r="L86" s="122"/>
      <c r="M86" s="122"/>
      <c r="N86" s="122"/>
      <c r="O86" s="122"/>
      <c r="P86" s="479">
        <f t="shared" si="12"/>
        <v>1064393.5714285711</v>
      </c>
      <c r="Q86" s="147">
        <f t="shared" si="13"/>
        <v>0.21933264956562476</v>
      </c>
    </row>
    <row r="87" spans="2:17">
      <c r="B87" s="124" t="s">
        <v>111</v>
      </c>
      <c r="C87" s="124"/>
      <c r="D87" s="52">
        <v>129327.714285714</v>
      </c>
      <c r="E87" s="52">
        <v>98880.78571428571</v>
      </c>
      <c r="F87" s="52">
        <v>142655.5</v>
      </c>
      <c r="G87" s="52">
        <v>133507.35714285716</v>
      </c>
      <c r="H87" s="118">
        <v>117586.21428571429</v>
      </c>
      <c r="I87" s="52">
        <v>102160.14285714286</v>
      </c>
      <c r="J87" s="52"/>
      <c r="K87" s="52"/>
      <c r="L87" s="52"/>
      <c r="M87" s="52"/>
      <c r="N87" s="52"/>
      <c r="O87" s="52"/>
      <c r="P87" s="478">
        <f t="shared" si="12"/>
        <v>724117.71428571397</v>
      </c>
      <c r="Q87" s="146">
        <f t="shared" si="13"/>
        <v>0.14921422031751524</v>
      </c>
    </row>
    <row r="88" spans="2:17">
      <c r="B88" s="124" t="s">
        <v>112</v>
      </c>
      <c r="C88" s="124"/>
      <c r="D88" s="52">
        <v>81303.642857142899</v>
      </c>
      <c r="E88" s="52">
        <v>79785.57142857142</v>
      </c>
      <c r="F88" s="52">
        <v>99571</v>
      </c>
      <c r="G88" s="52">
        <v>105052.5</v>
      </c>
      <c r="H88" s="118">
        <v>95685.357142857145</v>
      </c>
      <c r="I88" s="52">
        <v>101332.71428571429</v>
      </c>
      <c r="J88" s="52"/>
      <c r="K88" s="52"/>
      <c r="L88" s="52"/>
      <c r="M88" s="52"/>
      <c r="N88" s="52"/>
      <c r="O88" s="52"/>
      <c r="P88" s="478">
        <f t="shared" si="12"/>
        <v>562730.7857142858</v>
      </c>
      <c r="Q88" s="146">
        <f t="shared" si="13"/>
        <v>0.11595826725748212</v>
      </c>
    </row>
    <row r="89" spans="2:17">
      <c r="B89" s="116" t="s">
        <v>57</v>
      </c>
      <c r="C89" s="116"/>
      <c r="D89" s="52">
        <v>79967.428571428594</v>
      </c>
      <c r="E89" s="52">
        <v>73659.642857142855</v>
      </c>
      <c r="F89" s="52">
        <v>87559.357142857145</v>
      </c>
      <c r="G89" s="52">
        <v>116176.92857142858</v>
      </c>
      <c r="H89" s="118">
        <v>97186.071428571435</v>
      </c>
      <c r="I89" s="52">
        <v>107421.21428571429</v>
      </c>
      <c r="J89" s="52"/>
      <c r="K89" s="52"/>
      <c r="L89" s="52"/>
      <c r="M89" s="52"/>
      <c r="N89" s="52"/>
      <c r="O89" s="52"/>
      <c r="P89" s="478">
        <f t="shared" si="12"/>
        <v>561970.64285714284</v>
      </c>
      <c r="Q89" s="146">
        <f t="shared" si="13"/>
        <v>0.11580162957065188</v>
      </c>
    </row>
    <row r="90" spans="2:17">
      <c r="D90" s="126">
        <f>SUM(D84:D89)</f>
        <v>750325.9999999993</v>
      </c>
      <c r="E90" s="126">
        <f>SUM(E84:E89)</f>
        <v>754791.49999999988</v>
      </c>
      <c r="F90" s="126">
        <f t="shared" ref="F90:O90" si="14">SUM(F84:F89)</f>
        <v>805692.2142857142</v>
      </c>
      <c r="G90" s="126">
        <f t="shared" si="14"/>
        <v>907886.21428571432</v>
      </c>
      <c r="H90" s="126">
        <f t="shared" si="14"/>
        <v>790163.07142857159</v>
      </c>
      <c r="I90" s="126">
        <f t="shared" si="14"/>
        <v>844014.35714285716</v>
      </c>
      <c r="J90" s="126">
        <f t="shared" si="14"/>
        <v>0</v>
      </c>
      <c r="K90" s="126">
        <f t="shared" si="14"/>
        <v>0</v>
      </c>
      <c r="L90" s="126">
        <f t="shared" si="14"/>
        <v>0</v>
      </c>
      <c r="M90" s="126">
        <f t="shared" si="14"/>
        <v>0</v>
      </c>
      <c r="N90" s="126">
        <f t="shared" si="14"/>
        <v>0</v>
      </c>
      <c r="O90" s="126">
        <f t="shared" si="14"/>
        <v>0</v>
      </c>
      <c r="P90" s="141">
        <f t="shared" si="12"/>
        <v>4852873.3571428563</v>
      </c>
      <c r="Q90" s="605">
        <f t="shared" si="13"/>
        <v>1</v>
      </c>
    </row>
  </sheetData>
  <mergeCells count="25">
    <mergeCell ref="L49:L50"/>
    <mergeCell ref="M49:M50"/>
    <mergeCell ref="P6:P7"/>
    <mergeCell ref="F42:G42"/>
    <mergeCell ref="H42:I42"/>
    <mergeCell ref="F49:F50"/>
    <mergeCell ref="G49:G50"/>
    <mergeCell ref="N49:N50"/>
    <mergeCell ref="P49:P50"/>
    <mergeCell ref="H49:H50"/>
    <mergeCell ref="I49:I50"/>
    <mergeCell ref="J49:J50"/>
    <mergeCell ref="K49:K50"/>
    <mergeCell ref="A49:A50"/>
    <mergeCell ref="B49:B50"/>
    <mergeCell ref="C49:C50"/>
    <mergeCell ref="D49:D50"/>
    <mergeCell ref="E49:E50"/>
    <mergeCell ref="A1:O1"/>
    <mergeCell ref="A3:A4"/>
    <mergeCell ref="B3:B4"/>
    <mergeCell ref="C3:C4"/>
    <mergeCell ref="D3:D4"/>
    <mergeCell ref="E3:N3"/>
    <mergeCell ref="O3:O4"/>
  </mergeCells>
  <pageMargins left="0.7" right="0.7" top="0.75" bottom="0.75" header="0.3" footer="0.3"/>
  <pageSetup orientation="portrait" r:id="rId1"/>
  <ignoredErrors>
    <ignoredError sqref="E35 E37:E46 B43 E63 E10" formulaRange="1"/>
    <ignoredError sqref="E36 E52:E53" formula="1" formulaRange="1"/>
    <ignoredError sqref="E48:E5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7C29-6643-4C32-B4A0-2B3C61C83A9B}">
  <dimension ref="A1:Q92"/>
  <sheetViews>
    <sheetView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4" sqref="C14"/>
    </sheetView>
  </sheetViews>
  <sheetFormatPr defaultColWidth="8.5546875" defaultRowHeight="14.4"/>
  <cols>
    <col min="1" max="1" width="30.77734375" style="2" customWidth="1"/>
    <col min="2" max="3" width="11.77734375" style="2" customWidth="1"/>
    <col min="4" max="4" width="12" style="2" customWidth="1"/>
    <col min="5" max="5" width="11.77734375" style="2" customWidth="1"/>
    <col min="6" max="6" width="11.109375" style="2" customWidth="1"/>
    <col min="7" max="7" width="11.77734375" style="2" customWidth="1"/>
    <col min="8" max="8" width="11.77734375" style="2" bestFit="1" customWidth="1"/>
    <col min="9" max="9" width="12.109375" style="2" customWidth="1"/>
    <col min="10" max="10" width="11.44140625" style="2" customWidth="1"/>
    <col min="11" max="11" width="9.77734375" style="2" bestFit="1" customWidth="1"/>
    <col min="12" max="12" width="8.5546875" style="2"/>
    <col min="13" max="13" width="9.44140625" style="2" customWidth="1"/>
    <col min="14" max="14" width="9.5546875" style="2" customWidth="1"/>
    <col min="15" max="15" width="8.5546875" style="2"/>
    <col min="16" max="16" width="11.77734375" style="2" bestFit="1" customWidth="1"/>
    <col min="17" max="17" width="9.5546875" style="2" bestFit="1" customWidth="1"/>
    <col min="18" max="16384" width="8.5546875" style="2"/>
  </cols>
  <sheetData>
    <row r="1" spans="1:17" s="1" customFormat="1" ht="26.85" customHeight="1">
      <c r="A1" s="1066" t="s">
        <v>150</v>
      </c>
      <c r="B1" s="1066"/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4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86" t="s">
        <v>1</v>
      </c>
      <c r="B3" s="1088" t="s">
        <v>2</v>
      </c>
      <c r="C3" s="1090" t="s">
        <v>151</v>
      </c>
      <c r="D3" s="1092" t="s">
        <v>152</v>
      </c>
      <c r="E3" s="1032" t="s">
        <v>153</v>
      </c>
      <c r="F3" s="1033"/>
      <c r="G3" s="1033"/>
      <c r="H3" s="1033"/>
      <c r="I3" s="1033"/>
      <c r="J3" s="1033"/>
      <c r="K3" s="1033"/>
      <c r="L3" s="1033"/>
      <c r="M3" s="1033"/>
      <c r="N3" s="1034"/>
      <c r="O3" s="1097" t="s">
        <v>154</v>
      </c>
    </row>
    <row r="4" spans="1:17" ht="29.4" thickBot="1">
      <c r="A4" s="1087"/>
      <c r="B4" s="1089"/>
      <c r="C4" s="1091"/>
      <c r="D4" s="1093"/>
      <c r="E4" s="483" t="s">
        <v>7</v>
      </c>
      <c r="F4" s="588" t="s">
        <v>8</v>
      </c>
      <c r="G4" s="588" t="s">
        <v>9</v>
      </c>
      <c r="H4" s="588" t="s">
        <v>10</v>
      </c>
      <c r="I4" s="588" t="s">
        <v>11</v>
      </c>
      <c r="J4" s="589" t="s">
        <v>12</v>
      </c>
      <c r="K4" s="590" t="s">
        <v>13</v>
      </c>
      <c r="L4" s="590" t="s">
        <v>14</v>
      </c>
      <c r="M4" s="591" t="s">
        <v>15</v>
      </c>
      <c r="N4" s="592" t="s">
        <v>16</v>
      </c>
      <c r="O4" s="1098"/>
    </row>
    <row r="5" spans="1:17">
      <c r="A5" s="206"/>
      <c r="B5" s="207"/>
      <c r="C5" s="630"/>
      <c r="D5" s="208"/>
      <c r="E5" s="272"/>
      <c r="F5" s="209"/>
      <c r="G5" s="209"/>
      <c r="H5" s="209"/>
      <c r="I5" s="209"/>
      <c r="J5" s="210"/>
      <c r="K5" s="209"/>
      <c r="L5" s="211"/>
      <c r="M5" s="212"/>
      <c r="N5" s="273"/>
      <c r="O5" s="208"/>
    </row>
    <row r="6" spans="1:17">
      <c r="A6" s="6" t="s">
        <v>17</v>
      </c>
      <c r="B6" s="7">
        <f>SUM(B8:B18)</f>
        <v>4518182</v>
      </c>
      <c r="C6" s="639">
        <v>2435806</v>
      </c>
      <c r="D6" s="576">
        <f>SUM(D8:D18)</f>
        <v>3013565</v>
      </c>
      <c r="E6" s="274">
        <f>SUM(E8:E18)</f>
        <v>460622</v>
      </c>
      <c r="F6" s="274">
        <f t="shared" ref="F6:N6" si="0">SUM(F8:F18)</f>
        <v>196493</v>
      </c>
      <c r="G6" s="274">
        <f t="shared" si="0"/>
        <v>193818</v>
      </c>
      <c r="H6" s="274">
        <f t="shared" si="0"/>
        <v>29195</v>
      </c>
      <c r="I6" s="274">
        <f t="shared" si="0"/>
        <v>28060</v>
      </c>
      <c r="J6" s="274">
        <f t="shared" si="0"/>
        <v>0</v>
      </c>
      <c r="K6" s="274">
        <f t="shared" si="0"/>
        <v>56789</v>
      </c>
      <c r="L6" s="274">
        <f t="shared" si="0"/>
        <v>12564</v>
      </c>
      <c r="M6" s="274">
        <f t="shared" si="0"/>
        <v>0</v>
      </c>
      <c r="N6" s="274">
        <f t="shared" si="0"/>
        <v>472</v>
      </c>
      <c r="O6" s="73">
        <f>+D6/C6</f>
        <v>1.2371941772045885</v>
      </c>
      <c r="P6" s="1014"/>
    </row>
    <row r="7" spans="1:17">
      <c r="A7" s="386" t="s">
        <v>18</v>
      </c>
      <c r="B7" s="387"/>
      <c r="C7" s="638"/>
      <c r="D7" s="557"/>
      <c r="E7" s="286">
        <f>SUM(F7:J7)</f>
        <v>0</v>
      </c>
      <c r="F7" s="12"/>
      <c r="G7" s="12"/>
      <c r="H7" s="12"/>
      <c r="I7" s="12"/>
      <c r="J7" s="12"/>
      <c r="K7" s="28"/>
      <c r="L7" s="28"/>
      <c r="M7" s="28"/>
      <c r="N7" s="277"/>
      <c r="O7" s="468"/>
      <c r="P7" s="1014"/>
    </row>
    <row r="8" spans="1:17">
      <c r="A8" s="388" t="s">
        <v>19</v>
      </c>
      <c r="B8" s="387"/>
      <c r="C8" s="638"/>
      <c r="D8" s="577"/>
      <c r="E8" s="286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278"/>
      <c r="O8" s="468"/>
      <c r="P8" s="3"/>
    </row>
    <row r="9" spans="1:17">
      <c r="A9" s="386" t="s">
        <v>120</v>
      </c>
      <c r="B9" s="14">
        <f>715133+126685+111732+106510+95851+111311</f>
        <v>1267222</v>
      </c>
      <c r="C9" s="383">
        <v>715133</v>
      </c>
      <c r="D9" s="557">
        <f>108077+85467+113186+113042+116756+109995+110509</f>
        <v>757032</v>
      </c>
      <c r="E9" s="286">
        <f t="shared" si="1"/>
        <v>110509</v>
      </c>
      <c r="F9" s="13">
        <v>42495</v>
      </c>
      <c r="G9" s="13">
        <v>41826</v>
      </c>
      <c r="H9" s="13">
        <v>14421</v>
      </c>
      <c r="I9" s="13">
        <v>11767</v>
      </c>
      <c r="J9" s="12"/>
      <c r="K9" s="28"/>
      <c r="L9" s="28"/>
      <c r="M9" s="22"/>
      <c r="N9" s="278"/>
      <c r="O9" s="468">
        <f t="shared" ref="O9:O68" si="2">+D9/C9</f>
        <v>1.0585891016076729</v>
      </c>
      <c r="P9" s="111"/>
      <c r="Q9" s="79"/>
    </row>
    <row r="10" spans="1:17">
      <c r="A10" s="386" t="s">
        <v>20</v>
      </c>
      <c r="B10" s="14">
        <v>1272859</v>
      </c>
      <c r="C10" s="383">
        <v>625690</v>
      </c>
      <c r="D10" s="578">
        <f>148719+103732+138638+114388+149772+144287+154524</f>
        <v>954060</v>
      </c>
      <c r="E10" s="286">
        <f t="shared" si="1"/>
        <v>154524</v>
      </c>
      <c r="F10" s="15">
        <v>77132</v>
      </c>
      <c r="G10" s="15">
        <v>77392</v>
      </c>
      <c r="H10" s="16"/>
      <c r="I10" s="16"/>
      <c r="J10" s="75"/>
      <c r="K10" s="76">
        <f>9775+7952</f>
        <v>17727</v>
      </c>
      <c r="L10" s="76">
        <f>1569+652</f>
        <v>2221</v>
      </c>
      <c r="M10" s="77"/>
      <c r="N10" s="278"/>
      <c r="O10" s="468">
        <f t="shared" si="2"/>
        <v>1.5248126068820023</v>
      </c>
      <c r="P10" s="79"/>
      <c r="Q10" s="79"/>
    </row>
    <row r="11" spans="1:17">
      <c r="A11" s="386" t="s">
        <v>21</v>
      </c>
      <c r="B11" s="14"/>
      <c r="C11" s="383"/>
      <c r="D11" s="578"/>
      <c r="E11" s="286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468"/>
      <c r="P11" s="79"/>
      <c r="Q11" s="79"/>
    </row>
    <row r="12" spans="1:17">
      <c r="A12" s="386" t="s">
        <v>22</v>
      </c>
      <c r="B12" s="14">
        <v>491959</v>
      </c>
      <c r="C12" s="383">
        <v>281902</v>
      </c>
      <c r="D12" s="578">
        <f>39231+38035+45839+55212+55252+51874+53719</f>
        <v>339162</v>
      </c>
      <c r="E12" s="286">
        <f t="shared" si="1"/>
        <v>53719</v>
      </c>
      <c r="F12" s="13">
        <v>27222</v>
      </c>
      <c r="G12" s="13">
        <v>24183</v>
      </c>
      <c r="H12" s="13">
        <v>1028</v>
      </c>
      <c r="I12" s="13">
        <v>1286</v>
      </c>
      <c r="J12" s="13"/>
      <c r="K12" s="22">
        <f>8014+3619+203+386</f>
        <v>12222</v>
      </c>
      <c r="L12" s="22">
        <f>72+3866+127+38</f>
        <v>4103</v>
      </c>
      <c r="M12" s="22"/>
      <c r="N12" s="278"/>
      <c r="O12" s="468">
        <f t="shared" si="2"/>
        <v>1.2031202332725557</v>
      </c>
      <c r="P12" s="555"/>
      <c r="Q12" s="79"/>
    </row>
    <row r="13" spans="1:17">
      <c r="A13" s="388" t="s">
        <v>23</v>
      </c>
      <c r="B13" s="14">
        <v>149160</v>
      </c>
      <c r="C13" s="626">
        <v>149160</v>
      </c>
      <c r="D13" s="578">
        <v>0</v>
      </c>
      <c r="E13" s="286">
        <f t="shared" si="1"/>
        <v>0</v>
      </c>
      <c r="F13" s="13"/>
      <c r="G13" s="13"/>
      <c r="H13" s="13"/>
      <c r="I13" s="13"/>
      <c r="J13" s="13"/>
      <c r="K13" s="22"/>
      <c r="L13" s="22"/>
      <c r="M13" s="22"/>
      <c r="N13" s="278"/>
      <c r="O13" s="468">
        <f t="shared" si="2"/>
        <v>0</v>
      </c>
      <c r="P13" s="79"/>
      <c r="Q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383">
        <v>452782</v>
      </c>
      <c r="D14" s="557">
        <f>107401+71667+97692+112321+100543+91682+100061</f>
        <v>681367</v>
      </c>
      <c r="E14" s="286">
        <f t="shared" si="1"/>
        <v>100061</v>
      </c>
      <c r="F14" s="18">
        <v>49644</v>
      </c>
      <c r="G14" s="18">
        <v>50417</v>
      </c>
      <c r="H14" s="18"/>
      <c r="I14" s="18"/>
      <c r="J14" s="18"/>
      <c r="K14" s="80">
        <f>10447+8710</f>
        <v>19157</v>
      </c>
      <c r="L14" s="80">
        <f>553+2789</f>
        <v>3342</v>
      </c>
      <c r="M14" s="80"/>
      <c r="N14" s="279">
        <v>472</v>
      </c>
      <c r="O14" s="468">
        <f t="shared" si="2"/>
        <v>1.5048455989858254</v>
      </c>
      <c r="P14" s="555"/>
      <c r="Q14" s="79"/>
    </row>
    <row r="15" spans="1:17">
      <c r="A15" s="386" t="s">
        <v>25</v>
      </c>
      <c r="B15" s="14">
        <f>6147+7479+7850+9613+8350+10297+8331+8950+9929+9191+7491+7125</f>
        <v>100753</v>
      </c>
      <c r="C15" s="626">
        <v>58067</v>
      </c>
      <c r="D15" s="557">
        <f>5818+3471+4879+3146+1868+3203+3535</f>
        <v>25920</v>
      </c>
      <c r="E15" s="286">
        <f t="shared" si="1"/>
        <v>3535</v>
      </c>
      <c r="F15" s="13"/>
      <c r="G15" s="13"/>
      <c r="H15" s="13">
        <v>1793</v>
      </c>
      <c r="I15" s="13">
        <v>1742</v>
      </c>
      <c r="J15" s="13"/>
      <c r="K15" s="81">
        <v>789</v>
      </c>
      <c r="L15" s="22">
        <v>460</v>
      </c>
      <c r="M15" s="22"/>
      <c r="N15" s="278"/>
      <c r="O15" s="468">
        <f t="shared" si="2"/>
        <v>0.4463809048168495</v>
      </c>
      <c r="P15" s="79"/>
      <c r="Q15" s="79"/>
    </row>
    <row r="16" spans="1:17">
      <c r="A16" s="386" t="s">
        <v>26</v>
      </c>
      <c r="B16" s="14">
        <f>540+350</f>
        <v>890</v>
      </c>
      <c r="C16" s="626"/>
      <c r="D16" s="557">
        <f>528</f>
        <v>528</v>
      </c>
      <c r="E16" s="286">
        <v>0</v>
      </c>
      <c r="F16" s="13"/>
      <c r="G16" s="13"/>
      <c r="H16" s="13"/>
      <c r="I16" s="13"/>
      <c r="J16" s="13"/>
      <c r="K16" s="28"/>
      <c r="L16" s="36"/>
      <c r="M16" s="22"/>
      <c r="N16" s="278"/>
      <c r="O16" s="468"/>
      <c r="P16" s="79"/>
      <c r="Q16" s="79"/>
    </row>
    <row r="17" spans="1:17">
      <c r="A17" s="386" t="s">
        <v>27</v>
      </c>
      <c r="B17" s="391">
        <f>14801+21013+19343+20052+25339+15490+23521+25450+24091+25115+25902+30182</f>
        <v>270299</v>
      </c>
      <c r="C17" s="563">
        <v>139559</v>
      </c>
      <c r="D17" s="600">
        <f>29509+14652+23209+24242+23009+26529+25218</f>
        <v>166368</v>
      </c>
      <c r="E17" s="286">
        <f t="shared" si="1"/>
        <v>25218</v>
      </c>
      <c r="F17" s="13"/>
      <c r="G17" s="13"/>
      <c r="H17" s="13">
        <v>11953</v>
      </c>
      <c r="I17" s="13">
        <v>13265</v>
      </c>
      <c r="J17" s="13"/>
      <c r="K17" s="22">
        <v>6894</v>
      </c>
      <c r="L17" s="22">
        <f>1127+1311</f>
        <v>2438</v>
      </c>
      <c r="M17" s="22"/>
      <c r="N17" s="278"/>
      <c r="O17" s="468">
        <f t="shared" si="2"/>
        <v>1.1920979657349222</v>
      </c>
      <c r="P17" s="555"/>
      <c r="Q17" s="82"/>
    </row>
    <row r="18" spans="1:17" ht="15" thickBot="1">
      <c r="A18" s="402" t="s">
        <v>136</v>
      </c>
      <c r="B18" s="403">
        <v>67816</v>
      </c>
      <c r="C18" s="609">
        <v>13513</v>
      </c>
      <c r="D18" s="601">
        <f>63204+12868+13056</f>
        <v>89128</v>
      </c>
      <c r="E18" s="404">
        <v>13056</v>
      </c>
      <c r="F18" s="202"/>
      <c r="G18" s="202"/>
      <c r="H18" s="202"/>
      <c r="I18" s="202"/>
      <c r="J18" s="202"/>
      <c r="K18" s="203"/>
      <c r="L18" s="203"/>
      <c r="M18" s="203"/>
      <c r="N18" s="283"/>
      <c r="O18" s="469">
        <f t="shared" si="2"/>
        <v>6.5957226374602236</v>
      </c>
      <c r="P18" s="79"/>
      <c r="Q18" s="82"/>
    </row>
    <row r="19" spans="1:17" ht="15.6">
      <c r="A19" s="610" t="s">
        <v>29</v>
      </c>
      <c r="B19" s="611">
        <v>633659</v>
      </c>
      <c r="C19" s="651">
        <v>311094</v>
      </c>
      <c r="D19" s="652">
        <v>390003</v>
      </c>
      <c r="E19" s="653">
        <v>61407</v>
      </c>
      <c r="F19" s="193"/>
      <c r="G19" s="194"/>
      <c r="H19" s="194"/>
      <c r="I19" s="194"/>
      <c r="J19" s="194"/>
      <c r="K19" s="194"/>
      <c r="L19" s="194"/>
      <c r="M19" s="194"/>
      <c r="N19" s="284"/>
      <c r="O19" s="608"/>
      <c r="P19" s="79"/>
      <c r="Q19" s="499"/>
    </row>
    <row r="20" spans="1:17" ht="15.6">
      <c r="A20" s="612" t="s">
        <v>134</v>
      </c>
      <c r="B20" s="613">
        <v>255481</v>
      </c>
      <c r="C20" s="654">
        <v>131237</v>
      </c>
      <c r="D20" s="655">
        <f>86240+22448+23244+20269</f>
        <v>152201</v>
      </c>
      <c r="E20" s="656">
        <v>20269</v>
      </c>
      <c r="F20" s="21"/>
      <c r="G20" s="22"/>
      <c r="H20" s="22"/>
      <c r="I20" s="22"/>
      <c r="J20" s="22"/>
      <c r="K20" s="22"/>
      <c r="L20" s="22"/>
      <c r="M20" s="22"/>
      <c r="N20" s="278"/>
      <c r="O20" s="468"/>
      <c r="P20" s="82"/>
    </row>
    <row r="21" spans="1:17" ht="15.6">
      <c r="A21" s="612" t="s">
        <v>31</v>
      </c>
      <c r="B21" s="613">
        <v>92242</v>
      </c>
      <c r="C21" s="654">
        <v>65671</v>
      </c>
      <c r="D21" s="655">
        <f>15392+5518+8672+12966+12436</f>
        <v>54984</v>
      </c>
      <c r="E21" s="656">
        <v>12436</v>
      </c>
      <c r="F21" s="21"/>
      <c r="G21" s="22"/>
      <c r="H21" s="22"/>
      <c r="I21" s="22"/>
      <c r="J21" s="22"/>
      <c r="K21" s="22"/>
      <c r="L21" s="22"/>
      <c r="M21" s="22"/>
      <c r="N21" s="278"/>
      <c r="O21" s="468"/>
      <c r="P21" s="508"/>
    </row>
    <row r="22" spans="1:17" ht="15.6">
      <c r="A22" s="612" t="s">
        <v>32</v>
      </c>
      <c r="B22" s="613">
        <v>400078</v>
      </c>
      <c r="C22" s="654">
        <v>181482</v>
      </c>
      <c r="D22" s="655">
        <f>36183+30507+38929+42926+38815+41506+38762</f>
        <v>267628</v>
      </c>
      <c r="E22" s="656">
        <v>38762</v>
      </c>
      <c r="F22" s="21"/>
      <c r="G22" s="22"/>
      <c r="H22" s="22"/>
      <c r="I22" s="22"/>
      <c r="J22" s="22"/>
      <c r="K22" s="22"/>
      <c r="L22" s="22"/>
      <c r="M22" s="22"/>
      <c r="N22" s="278"/>
      <c r="O22" s="468"/>
      <c r="P22" s="508"/>
    </row>
    <row r="23" spans="1:17" ht="15.6">
      <c r="A23" s="612" t="s">
        <v>33</v>
      </c>
      <c r="B23" s="614">
        <v>171077</v>
      </c>
      <c r="C23" s="654">
        <v>86011</v>
      </c>
      <c r="D23" s="655">
        <f>60794+15126+16149+16947</f>
        <v>109016</v>
      </c>
      <c r="E23" s="656">
        <v>16947</v>
      </c>
      <c r="F23" s="21"/>
      <c r="G23" s="22"/>
      <c r="H23" s="22"/>
      <c r="I23" s="22"/>
      <c r="J23" s="22"/>
      <c r="K23" s="22"/>
      <c r="L23" s="22"/>
      <c r="M23" s="22"/>
      <c r="N23" s="278"/>
      <c r="O23" s="468"/>
      <c r="P23" s="508"/>
    </row>
    <row r="24" spans="1:17" ht="15.6">
      <c r="A24" s="612" t="s">
        <v>34</v>
      </c>
      <c r="B24" s="614">
        <v>270677</v>
      </c>
      <c r="C24" s="657">
        <v>167757</v>
      </c>
      <c r="D24" s="655">
        <f>22071+9654+13100+21751+25961+15202+11637</f>
        <v>119376</v>
      </c>
      <c r="E24" s="656">
        <v>11637</v>
      </c>
      <c r="F24" s="22"/>
      <c r="G24" s="22"/>
      <c r="H24" s="25"/>
      <c r="I24" s="22"/>
      <c r="J24" s="22"/>
      <c r="K24" s="22"/>
      <c r="L24" s="22"/>
      <c r="M24" s="22"/>
      <c r="N24" s="278"/>
      <c r="O24" s="468"/>
      <c r="P24" s="508"/>
    </row>
    <row r="25" spans="1:17" ht="15.6">
      <c r="A25" s="615" t="s">
        <v>135</v>
      </c>
      <c r="B25" s="660"/>
      <c r="C25" s="661"/>
      <c r="D25" s="662">
        <f>3457+12735+18119+18316+19560</f>
        <v>72187</v>
      </c>
      <c r="E25" s="663">
        <v>19560</v>
      </c>
      <c r="F25" s="28"/>
      <c r="G25" s="28"/>
      <c r="H25" s="28"/>
      <c r="I25" s="28"/>
      <c r="J25" s="28"/>
      <c r="K25" s="28"/>
      <c r="L25" s="28"/>
      <c r="M25" s="28"/>
      <c r="N25" s="277"/>
      <c r="O25" s="468"/>
      <c r="P25" s="508"/>
    </row>
    <row r="26" spans="1:17">
      <c r="A26" s="26"/>
      <c r="B26" s="743">
        <f t="shared" ref="B26:C26" si="3">SUM(B19:B25)</f>
        <v>1823214</v>
      </c>
      <c r="C26" s="744">
        <f t="shared" si="3"/>
        <v>943252</v>
      </c>
      <c r="D26" s="744">
        <f>SUM(D19:D25)</f>
        <v>1165395</v>
      </c>
      <c r="E26" s="744">
        <f>SUM(E19:E25)</f>
        <v>181018</v>
      </c>
      <c r="F26" s="28"/>
      <c r="G26" s="28"/>
      <c r="H26" s="28"/>
      <c r="I26" s="28"/>
      <c r="J26" s="28"/>
      <c r="K26" s="28"/>
      <c r="L26" s="28"/>
      <c r="M26" s="28"/>
      <c r="N26" s="277"/>
      <c r="O26" s="468"/>
      <c r="P26" s="508"/>
    </row>
    <row r="27" spans="1:17">
      <c r="A27" s="26"/>
      <c r="B27" s="664"/>
      <c r="C27" s="593"/>
      <c r="D27" s="567"/>
      <c r="E27" s="49"/>
      <c r="F27" s="28"/>
      <c r="G27" s="28"/>
      <c r="H27" s="28"/>
      <c r="I27" s="28"/>
      <c r="J27" s="28"/>
      <c r="K27" s="28"/>
      <c r="L27" s="28"/>
      <c r="M27" s="28"/>
      <c r="N27" s="277"/>
      <c r="O27" s="468"/>
      <c r="P27" s="508"/>
    </row>
    <row r="28" spans="1:17">
      <c r="A28" s="6" t="s">
        <v>35</v>
      </c>
      <c r="B28" s="7">
        <f>SUM(B29:B32)</f>
        <v>860026</v>
      </c>
      <c r="C28" s="639">
        <v>479005</v>
      </c>
      <c r="D28" s="556">
        <f>SUM(D29:D32)</f>
        <v>559117</v>
      </c>
      <c r="E28" s="274">
        <f t="shared" ref="E28:L28" si="4">SUM(E29:E32)</f>
        <v>82417</v>
      </c>
      <c r="F28" s="9">
        <f t="shared" si="4"/>
        <v>29221</v>
      </c>
      <c r="G28" s="9">
        <f t="shared" si="4"/>
        <v>31414</v>
      </c>
      <c r="H28" s="9">
        <f t="shared" si="4"/>
        <v>10528</v>
      </c>
      <c r="I28" s="9">
        <f t="shared" si="4"/>
        <v>11254</v>
      </c>
      <c r="J28" s="9">
        <f t="shared" si="4"/>
        <v>0</v>
      </c>
      <c r="K28" s="72">
        <f t="shared" si="4"/>
        <v>13426</v>
      </c>
      <c r="L28" s="72">
        <f t="shared" si="4"/>
        <v>3244</v>
      </c>
      <c r="M28" s="72">
        <v>0</v>
      </c>
      <c r="N28" s="275">
        <f>SUM(N29:N32)</f>
        <v>0</v>
      </c>
      <c r="O28" s="73">
        <f t="shared" si="2"/>
        <v>1.1672466884479284</v>
      </c>
      <c r="P28" s="513"/>
    </row>
    <row r="29" spans="1:17">
      <c r="A29" s="386" t="s">
        <v>36</v>
      </c>
      <c r="B29" s="389">
        <f>30481+3346</f>
        <v>33827</v>
      </c>
      <c r="C29" s="593">
        <v>18703</v>
      </c>
      <c r="D29" s="582">
        <f>4188+2189+2953+3363+3389+2628+3750</f>
        <v>22460</v>
      </c>
      <c r="E29" s="286">
        <f t="shared" ref="E29:E30" si="5">SUM(F29:J29)</f>
        <v>3758</v>
      </c>
      <c r="F29" s="13"/>
      <c r="G29" s="13"/>
      <c r="H29" s="13">
        <v>1844</v>
      </c>
      <c r="I29" s="13">
        <v>1914</v>
      </c>
      <c r="J29" s="12"/>
      <c r="K29" s="22">
        <f>546+878</f>
        <v>1424</v>
      </c>
      <c r="L29" s="22">
        <f>282+878</f>
        <v>1160</v>
      </c>
      <c r="M29" s="22"/>
      <c r="N29" s="278"/>
      <c r="O29" s="468">
        <f t="shared" si="2"/>
        <v>1.2008768646741164</v>
      </c>
      <c r="P29" s="513"/>
    </row>
    <row r="30" spans="1:17">
      <c r="A30" s="31" t="s">
        <v>37</v>
      </c>
      <c r="B30" s="389">
        <v>675254</v>
      </c>
      <c r="C30" s="593">
        <v>370809</v>
      </c>
      <c r="D30" s="582">
        <f>64505+48073+62185+62452+59765+64280+67096</f>
        <v>428356</v>
      </c>
      <c r="E30" s="286">
        <f t="shared" si="5"/>
        <v>67096</v>
      </c>
      <c r="F30" s="33">
        <v>23914</v>
      </c>
      <c r="G30" s="33">
        <v>26196</v>
      </c>
      <c r="H30" s="33">
        <v>7847</v>
      </c>
      <c r="I30" s="33">
        <v>9139</v>
      </c>
      <c r="J30" s="41"/>
      <c r="K30" s="52">
        <f>4065+4787+1953+1197</f>
        <v>12002</v>
      </c>
      <c r="L30" s="52">
        <f>517+569+506+492</f>
        <v>2084</v>
      </c>
      <c r="M30" s="28">
        <v>0</v>
      </c>
      <c r="N30" s="277">
        <v>0</v>
      </c>
      <c r="O30" s="468">
        <f t="shared" si="2"/>
        <v>1.1551931048059783</v>
      </c>
    </row>
    <row r="31" spans="1:17">
      <c r="A31" s="31" t="s">
        <v>38</v>
      </c>
      <c r="B31" s="392">
        <f>120488+12239+18218</f>
        <v>150945</v>
      </c>
      <c r="C31" s="631">
        <f>89493+11563</f>
        <v>101056</v>
      </c>
      <c r="D31" s="602">
        <f>22490+11900+19473+16591+12914+13370+11563</f>
        <v>108301</v>
      </c>
      <c r="E31" s="286">
        <f>SUM(F31:J31)</f>
        <v>11563</v>
      </c>
      <c r="F31" s="33">
        <v>5307</v>
      </c>
      <c r="G31" s="33">
        <v>5218</v>
      </c>
      <c r="H31" s="33">
        <v>837</v>
      </c>
      <c r="I31" s="33">
        <v>201</v>
      </c>
      <c r="J31" s="12"/>
      <c r="K31" s="87"/>
      <c r="L31" s="87"/>
      <c r="M31" s="22"/>
      <c r="N31" s="278"/>
      <c r="O31" s="468">
        <f t="shared" si="2"/>
        <v>1.0716929227359089</v>
      </c>
    </row>
    <row r="32" spans="1:17">
      <c r="A32" s="31" t="s">
        <v>39</v>
      </c>
      <c r="B32" s="14">
        <v>0</v>
      </c>
      <c r="C32" s="626">
        <v>0</v>
      </c>
      <c r="D32" s="557"/>
      <c r="E32" s="286"/>
      <c r="F32" s="13"/>
      <c r="G32" s="13"/>
      <c r="H32" s="13"/>
      <c r="I32" s="13"/>
      <c r="J32" s="13"/>
      <c r="K32" s="22"/>
      <c r="L32" s="22"/>
      <c r="M32" s="22"/>
      <c r="N32" s="278"/>
      <c r="O32" s="468"/>
    </row>
    <row r="33" spans="1:15">
      <c r="A33" s="31"/>
      <c r="B33" s="387"/>
      <c r="C33" s="383"/>
      <c r="D33" s="19"/>
      <c r="E33" s="287"/>
      <c r="F33" s="36"/>
      <c r="G33" s="36"/>
      <c r="H33" s="36"/>
      <c r="I33" s="36"/>
      <c r="J33" s="36"/>
      <c r="K33" s="36"/>
      <c r="L33" s="36"/>
      <c r="M33" s="36"/>
      <c r="N33" s="288"/>
      <c r="O33" s="468"/>
    </row>
    <row r="34" spans="1:15">
      <c r="A34" s="6" t="s">
        <v>40</v>
      </c>
      <c r="B34" s="7">
        <f>SUM(B35:B45)</f>
        <v>8314054</v>
      </c>
      <c r="C34" s="639">
        <v>4679787</v>
      </c>
      <c r="D34" s="556">
        <f>SUM(D35:D45)</f>
        <v>5204286</v>
      </c>
      <c r="E34" s="274">
        <f t="shared" ref="E34:N34" si="6">SUM(E35:E45)</f>
        <v>794644</v>
      </c>
      <c r="F34" s="9">
        <f t="shared" si="6"/>
        <v>312592</v>
      </c>
      <c r="G34" s="9">
        <f t="shared" si="6"/>
        <v>254118</v>
      </c>
      <c r="H34" s="9">
        <f t="shared" si="6"/>
        <v>94831</v>
      </c>
      <c r="I34" s="9">
        <f t="shared" si="6"/>
        <v>131680</v>
      </c>
      <c r="J34" s="9">
        <f t="shared" si="6"/>
        <v>1423</v>
      </c>
      <c r="K34" s="72">
        <f t="shared" si="6"/>
        <v>175258</v>
      </c>
      <c r="L34" s="72">
        <f t="shared" si="6"/>
        <v>44338</v>
      </c>
      <c r="M34" s="72">
        <f t="shared" si="6"/>
        <v>294</v>
      </c>
      <c r="N34" s="275">
        <f t="shared" si="6"/>
        <v>61241</v>
      </c>
      <c r="O34" s="73">
        <f t="shared" si="2"/>
        <v>1.1120775368622546</v>
      </c>
    </row>
    <row r="35" spans="1:15">
      <c r="A35" s="386" t="s">
        <v>41</v>
      </c>
      <c r="B35" s="14">
        <f>439746+58130+61049</f>
        <v>558925</v>
      </c>
      <c r="C35" s="383">
        <v>298937</v>
      </c>
      <c r="D35" s="557">
        <f>176793+71526+59980+65204+71423</f>
        <v>444926</v>
      </c>
      <c r="E35" s="286">
        <f t="shared" ref="E35:E41" si="7">SUM(F35:J35)</f>
        <v>71423</v>
      </c>
      <c r="F35" s="13"/>
      <c r="G35" s="13"/>
      <c r="H35" s="13">
        <v>17792</v>
      </c>
      <c r="I35" s="13">
        <v>53631</v>
      </c>
      <c r="J35" s="13"/>
      <c r="K35" s="88">
        <v>2561</v>
      </c>
      <c r="L35" s="88">
        <f>13428</f>
        <v>13428</v>
      </c>
      <c r="M35" s="88"/>
      <c r="N35" s="289"/>
      <c r="O35" s="468">
        <f t="shared" si="2"/>
        <v>1.4883604237682186</v>
      </c>
    </row>
    <row r="36" spans="1:15">
      <c r="A36" s="386" t="s">
        <v>42</v>
      </c>
      <c r="B36" s="14">
        <f>506252+63971</f>
        <v>570223</v>
      </c>
      <c r="C36" s="383">
        <v>297583</v>
      </c>
      <c r="D36" s="429">
        <f>315296+56739</f>
        <v>372035</v>
      </c>
      <c r="E36" s="286">
        <f t="shared" si="7"/>
        <v>56739</v>
      </c>
      <c r="F36" s="12"/>
      <c r="G36" s="12"/>
      <c r="H36" s="13">
        <v>9484</v>
      </c>
      <c r="I36" s="13">
        <v>47255</v>
      </c>
      <c r="J36" s="13"/>
      <c r="K36" s="88">
        <v>1187</v>
      </c>
      <c r="L36" s="88">
        <f>9178</f>
        <v>9178</v>
      </c>
      <c r="M36" s="88"/>
      <c r="N36" s="289">
        <v>56739</v>
      </c>
      <c r="O36" s="468">
        <f t="shared" si="2"/>
        <v>1.250189022894453</v>
      </c>
    </row>
    <row r="37" spans="1:15">
      <c r="A37" s="644" t="s">
        <v>43</v>
      </c>
      <c r="B37" s="645">
        <f>42017+51282+45948+47390+55304+49234+45680+47437+43911+34616+30188+41910</f>
        <v>534917</v>
      </c>
      <c r="C37" s="646">
        <v>338855</v>
      </c>
      <c r="D37" s="647">
        <f>43919+38655+49389+49920+41452+46211+54147</f>
        <v>323693</v>
      </c>
      <c r="E37" s="648">
        <f t="shared" si="7"/>
        <v>54147</v>
      </c>
      <c r="F37" s="649">
        <v>21058</v>
      </c>
      <c r="G37" s="649">
        <v>19986</v>
      </c>
      <c r="H37" s="649">
        <v>5222</v>
      </c>
      <c r="I37" s="650">
        <v>6458</v>
      </c>
      <c r="J37" s="649">
        <v>1423</v>
      </c>
      <c r="K37" s="88">
        <f>3651+4957+1467+846+31</f>
        <v>10952</v>
      </c>
      <c r="L37" s="88">
        <f>967+317+1+594+72</f>
        <v>1951</v>
      </c>
      <c r="M37" s="88"/>
      <c r="N37" s="289">
        <v>2678</v>
      </c>
      <c r="O37" s="468">
        <f t="shared" si="2"/>
        <v>0.9552551976509126</v>
      </c>
    </row>
    <row r="38" spans="1:15">
      <c r="A38" s="31" t="s">
        <v>44</v>
      </c>
      <c r="B38" s="393">
        <f>154869+18461+17185+18184+22072</f>
        <v>230771</v>
      </c>
      <c r="C38" s="595">
        <v>121091</v>
      </c>
      <c r="D38" s="636">
        <f>20214+11681+23581+25619+22301+21824+20127</f>
        <v>145347</v>
      </c>
      <c r="E38" s="598">
        <f t="shared" si="7"/>
        <v>20127</v>
      </c>
      <c r="F38" s="13"/>
      <c r="G38" s="13">
        <v>10</v>
      </c>
      <c r="H38" s="13">
        <v>10060</v>
      </c>
      <c r="I38" s="13">
        <v>10057</v>
      </c>
      <c r="J38" s="89"/>
      <c r="K38" s="90">
        <f>2730+1961</f>
        <v>4691</v>
      </c>
      <c r="L38" s="88">
        <f>262+968</f>
        <v>1230</v>
      </c>
      <c r="M38" s="88">
        <v>294</v>
      </c>
      <c r="N38" s="289"/>
      <c r="O38" s="468">
        <f t="shared" si="2"/>
        <v>1.2003121619278063</v>
      </c>
    </row>
    <row r="39" spans="1:15">
      <c r="A39" s="31" t="s">
        <v>45</v>
      </c>
      <c r="B39" s="394">
        <f>50925+32855+32535+28886+28236+30552+33558+32390+29858+33841+31383</f>
        <v>365019</v>
      </c>
      <c r="C39" s="565">
        <v>203989</v>
      </c>
      <c r="D39" s="603">
        <f>36191+20920+29070+23929+27875+30427+28473</f>
        <v>196885</v>
      </c>
      <c r="E39" s="286">
        <f>SUM(H39:J39)</f>
        <v>28473</v>
      </c>
      <c r="F39" s="722"/>
      <c r="G39" s="719"/>
      <c r="H39" s="12">
        <v>14194</v>
      </c>
      <c r="I39" s="12">
        <v>14279</v>
      </c>
      <c r="J39" s="13"/>
      <c r="K39" s="52">
        <f>4806+4299</f>
        <v>9105</v>
      </c>
      <c r="L39" s="22">
        <f>72+544</f>
        <v>616</v>
      </c>
      <c r="M39" s="22"/>
      <c r="N39" s="278">
        <v>0</v>
      </c>
      <c r="O39" s="468">
        <f t="shared" si="2"/>
        <v>0.96517459274764816</v>
      </c>
    </row>
    <row r="40" spans="1:15">
      <c r="A40" s="31" t="s">
        <v>46</v>
      </c>
      <c r="B40" s="394">
        <f>5696+3958+5815+9110+7468+13154+12856+16704+16494+13524+11707+13991</f>
        <v>130477</v>
      </c>
      <c r="C40" s="565">
        <v>58057</v>
      </c>
      <c r="D40" s="603">
        <f>12008+9467+14763+14113+14691+14606+10209</f>
        <v>89857</v>
      </c>
      <c r="E40" s="286">
        <f t="shared" si="7"/>
        <v>10209</v>
      </c>
      <c r="F40" s="13">
        <v>2614</v>
      </c>
      <c r="G40" s="13">
        <v>7595</v>
      </c>
      <c r="H40" s="13"/>
      <c r="I40" s="13"/>
      <c r="J40" s="13"/>
      <c r="K40" s="22">
        <f>918+1269</f>
        <v>2187</v>
      </c>
      <c r="L40" s="22">
        <f>18+1280</f>
        <v>1298</v>
      </c>
      <c r="M40" s="88"/>
      <c r="N40" s="289"/>
      <c r="O40" s="468">
        <f t="shared" si="2"/>
        <v>1.5477375682518903</v>
      </c>
    </row>
    <row r="41" spans="1:15">
      <c r="A41" s="31" t="s">
        <v>47</v>
      </c>
      <c r="B41" s="394">
        <f>372397+393542+480876+438506+433683+444706+469051+460647+432596+460939+470477+474708</f>
        <v>5332128</v>
      </c>
      <c r="C41" s="565">
        <v>3032761</v>
      </c>
      <c r="D41" s="603">
        <f>492323+373517+489518+501319+498148+483300+509517</f>
        <v>3347642</v>
      </c>
      <c r="E41" s="286">
        <f t="shared" si="7"/>
        <v>509517</v>
      </c>
      <c r="F41" s="13">
        <v>284281</v>
      </c>
      <c r="G41" s="13">
        <v>225236</v>
      </c>
      <c r="H41" s="13"/>
      <c r="I41" s="12"/>
      <c r="J41" s="13"/>
      <c r="K41" s="87">
        <f>77370+66737</f>
        <v>144107</v>
      </c>
      <c r="L41" s="87">
        <f>4051+12109</f>
        <v>16160</v>
      </c>
      <c r="M41" s="88"/>
      <c r="N41" s="289"/>
      <c r="O41" s="468">
        <f t="shared" si="2"/>
        <v>1.1038265132003477</v>
      </c>
    </row>
    <row r="42" spans="1:15">
      <c r="A42" s="31" t="s">
        <v>48</v>
      </c>
      <c r="B42" s="394">
        <f>32440+39588+48102+43548+41412+40968+51704+51435+55440+57617+45700+41689</f>
        <v>549643</v>
      </c>
      <c r="C42" s="565">
        <v>297762</v>
      </c>
      <c r="D42" s="603">
        <f>41444+27037+39698+37856+42480+38521+41958</f>
        <v>268994</v>
      </c>
      <c r="E42" s="286">
        <f>SUM(F42:J42)</f>
        <v>41958</v>
      </c>
      <c r="F42" s="1035">
        <v>3879</v>
      </c>
      <c r="G42" s="1035"/>
      <c r="H42" s="1035">
        <v>38079</v>
      </c>
      <c r="I42" s="1035"/>
      <c r="J42" s="13"/>
      <c r="K42" s="88"/>
      <c r="L42" s="88"/>
      <c r="M42" s="88"/>
      <c r="N42" s="289"/>
      <c r="O42" s="468">
        <f t="shared" si="2"/>
        <v>0.90338592567218112</v>
      </c>
    </row>
    <row r="43" spans="1:15">
      <c r="A43" s="31" t="s">
        <v>49</v>
      </c>
      <c r="B43" s="389">
        <f>SUM(D43:G43)</f>
        <v>0</v>
      </c>
      <c r="C43" s="627"/>
      <c r="D43" s="582"/>
      <c r="E43" s="286"/>
      <c r="F43" s="13"/>
      <c r="G43" s="13"/>
      <c r="H43" s="13"/>
      <c r="I43" s="13"/>
      <c r="J43" s="13"/>
      <c r="K43" s="88"/>
      <c r="L43" s="88"/>
      <c r="M43" s="88"/>
      <c r="N43" s="289"/>
      <c r="O43" s="468"/>
    </row>
    <row r="44" spans="1:15">
      <c r="A44" s="31" t="s">
        <v>50</v>
      </c>
      <c r="B44" s="395">
        <f>2388+2166+2181+2143+2735+2159+2232+3124+2401+2891+2264+3229</f>
        <v>29913</v>
      </c>
      <c r="C44" s="566">
        <v>16004</v>
      </c>
      <c r="D44" s="604">
        <f>1591+185+300+228+282+250+254</f>
        <v>3090</v>
      </c>
      <c r="E44" s="286">
        <f>SUM(F44:J44)</f>
        <v>254</v>
      </c>
      <c r="F44" s="13">
        <v>94</v>
      </c>
      <c r="G44" s="13">
        <v>160</v>
      </c>
      <c r="H44" s="13"/>
      <c r="I44" s="13"/>
      <c r="J44" s="13"/>
      <c r="K44" s="88">
        <v>254</v>
      </c>
      <c r="L44" s="88">
        <f>94</f>
        <v>94</v>
      </c>
      <c r="M44" s="88"/>
      <c r="N44" s="289">
        <v>27</v>
      </c>
      <c r="O44" s="468">
        <f t="shared" si="2"/>
        <v>0.19307673081729568</v>
      </c>
    </row>
    <row r="45" spans="1:15">
      <c r="A45" s="31" t="s">
        <v>51</v>
      </c>
      <c r="B45" s="395">
        <v>12038</v>
      </c>
      <c r="C45" s="566">
        <v>6749</v>
      </c>
      <c r="D45" s="604">
        <f>5554+2707+1759+1797</f>
        <v>11817</v>
      </c>
      <c r="E45" s="286">
        <f>SUM(F45:F45:J45)</f>
        <v>1797</v>
      </c>
      <c r="F45" s="13">
        <v>666</v>
      </c>
      <c r="G45" s="13">
        <v>1131</v>
      </c>
      <c r="H45" s="13"/>
      <c r="I45" s="13"/>
      <c r="J45" s="91"/>
      <c r="K45" s="90">
        <f>67+147</f>
        <v>214</v>
      </c>
      <c r="L45" s="88">
        <f>383</f>
        <v>383</v>
      </c>
      <c r="M45" s="88"/>
      <c r="N45" s="289">
        <v>1797</v>
      </c>
      <c r="O45" s="468">
        <f t="shared" si="2"/>
        <v>1.7509260631204624</v>
      </c>
    </row>
    <row r="46" spans="1:15" ht="17.100000000000001" customHeight="1">
      <c r="A46" s="31"/>
      <c r="B46" s="419"/>
      <c r="C46" s="566"/>
      <c r="D46" s="558"/>
      <c r="E46" s="294"/>
      <c r="F46" s="44"/>
      <c r="G46" s="44"/>
      <c r="H46" s="44"/>
      <c r="I46" s="44"/>
      <c r="J46" s="44"/>
      <c r="K46" s="44"/>
      <c r="L46" s="44"/>
      <c r="M46" s="44"/>
      <c r="N46" s="295"/>
      <c r="O46" s="468"/>
    </row>
    <row r="47" spans="1:15">
      <c r="A47" s="6" t="s">
        <v>52</v>
      </c>
      <c r="B47" s="928">
        <f>SUM(B48:B55)</f>
        <v>4797590</v>
      </c>
      <c r="C47" s="928">
        <f>SUM(C48:C55)</f>
        <v>2602682</v>
      </c>
      <c r="D47" s="949">
        <f>SUM(D48:D55)</f>
        <v>3527107</v>
      </c>
      <c r="E47" s="500">
        <f>SUM(E48:E54)</f>
        <v>590900</v>
      </c>
      <c r="F47" s="925">
        <f>SUM(F48:F55)</f>
        <v>225532</v>
      </c>
      <c r="G47" s="925">
        <f>SUM(G48:G55)</f>
        <v>288673</v>
      </c>
      <c r="H47" s="9">
        <f t="shared" ref="H47:N47" si="8">SUM(H48:H55)</f>
        <v>8248</v>
      </c>
      <c r="I47" s="9">
        <f t="shared" si="8"/>
        <v>6891</v>
      </c>
      <c r="J47" s="9">
        <f t="shared" si="8"/>
        <v>61556</v>
      </c>
      <c r="K47" s="72">
        <f t="shared" si="8"/>
        <v>39538</v>
      </c>
      <c r="L47" s="72">
        <f t="shared" si="8"/>
        <v>32468</v>
      </c>
      <c r="M47" s="72">
        <f t="shared" si="8"/>
        <v>1027</v>
      </c>
      <c r="N47" s="275">
        <f t="shared" si="8"/>
        <v>55695</v>
      </c>
      <c r="O47" s="73">
        <f t="shared" si="2"/>
        <v>1.3551816933455567</v>
      </c>
    </row>
    <row r="48" spans="1:15">
      <c r="A48" s="31" t="s">
        <v>53</v>
      </c>
      <c r="B48" s="14">
        <v>0</v>
      </c>
      <c r="C48" s="626">
        <v>0</v>
      </c>
      <c r="D48" s="557"/>
      <c r="E48" s="286">
        <f t="shared" ref="E48:E53" si="9">SUM(F48:J48)</f>
        <v>0</v>
      </c>
      <c r="F48" s="13"/>
      <c r="G48" s="13"/>
      <c r="H48" s="13"/>
      <c r="I48" s="13"/>
      <c r="J48" s="13"/>
      <c r="K48" s="36"/>
      <c r="L48" s="36"/>
      <c r="M48" s="36"/>
      <c r="N48" s="288"/>
      <c r="O48" s="468"/>
    </row>
    <row r="49" spans="1:17">
      <c r="A49" s="1075" t="s">
        <v>54</v>
      </c>
      <c r="B49" s="1057">
        <f>127394+89400+147995+127434+174236+176428+189135+187087+174544+192913+163797+135579</f>
        <v>1885942</v>
      </c>
      <c r="C49" s="1101">
        <v>1032022</v>
      </c>
      <c r="D49" s="1103">
        <f>152617+131920+130997+153389+149066+196349+174625</f>
        <v>1088963</v>
      </c>
      <c r="E49" s="1019">
        <f t="shared" si="9"/>
        <v>174625</v>
      </c>
      <c r="F49" s="1016">
        <v>67470</v>
      </c>
      <c r="G49" s="1016">
        <v>76574</v>
      </c>
      <c r="H49" s="1016">
        <v>7671</v>
      </c>
      <c r="I49" s="1016">
        <v>6764</v>
      </c>
      <c r="J49" s="1016">
        <v>16146</v>
      </c>
      <c r="K49" s="1017">
        <f>2779+6727+1410+612+748</f>
        <v>12276</v>
      </c>
      <c r="L49" s="1017">
        <f>4673+253+7+466+126</f>
        <v>5525</v>
      </c>
      <c r="M49" s="1017"/>
      <c r="N49" s="1018"/>
      <c r="O49" s="468">
        <f t="shared" si="2"/>
        <v>1.05517421140247</v>
      </c>
      <c r="P49" s="1015"/>
    </row>
    <row r="50" spans="1:17">
      <c r="A50" s="1076"/>
      <c r="B50" s="1058"/>
      <c r="C50" s="1102"/>
      <c r="D50" s="1104"/>
      <c r="E50" s="1020"/>
      <c r="F50" s="1016"/>
      <c r="G50" s="1016"/>
      <c r="H50" s="1016"/>
      <c r="I50" s="1016"/>
      <c r="J50" s="1016"/>
      <c r="K50" s="1017"/>
      <c r="L50" s="1017"/>
      <c r="M50" s="1017"/>
      <c r="N50" s="1018"/>
      <c r="O50" s="468"/>
      <c r="P50" s="1015"/>
    </row>
    <row r="51" spans="1:17">
      <c r="A51" s="31" t="s">
        <v>56</v>
      </c>
      <c r="B51" s="397">
        <f>47356+52560+79724+85499+66734+68133+73487+69407+60723+61109+72181+84025</f>
        <v>820938</v>
      </c>
      <c r="C51" s="566">
        <v>473493</v>
      </c>
      <c r="D51" s="637">
        <f>97537+55586+99611+80866+84077+87464+89817</f>
        <v>594958</v>
      </c>
      <c r="E51" s="286">
        <f t="shared" si="9"/>
        <v>89817</v>
      </c>
      <c r="F51" s="45">
        <v>41413</v>
      </c>
      <c r="G51" s="33">
        <v>39712</v>
      </c>
      <c r="H51" s="46"/>
      <c r="I51" s="12"/>
      <c r="J51" s="33">
        <v>8692</v>
      </c>
      <c r="K51" s="87">
        <f>1022+3677+919</f>
        <v>5618</v>
      </c>
      <c r="L51" s="81">
        <f>1545+17+43</f>
        <v>1605</v>
      </c>
      <c r="M51" s="36"/>
      <c r="N51" s="288"/>
      <c r="O51" s="468">
        <f t="shared" si="2"/>
        <v>1.2565296635853118</v>
      </c>
    </row>
    <row r="52" spans="1:17">
      <c r="A52" s="17" t="s">
        <v>57</v>
      </c>
      <c r="B52" s="395">
        <f>38855+42860+48337+46082+47751+44611+75076+55809+60576+63502+55882+64932</f>
        <v>644273</v>
      </c>
      <c r="C52" s="566">
        <v>343572</v>
      </c>
      <c r="D52" s="604">
        <f>59734+65037+69566+76869+85180+98871+84349</f>
        <v>539606</v>
      </c>
      <c r="E52" s="286">
        <f t="shared" si="9"/>
        <v>84349</v>
      </c>
      <c r="F52" s="13">
        <v>24264</v>
      </c>
      <c r="G52" s="13">
        <v>41600</v>
      </c>
      <c r="H52" s="13"/>
      <c r="I52" s="92"/>
      <c r="J52" s="13">
        <v>18485</v>
      </c>
      <c r="K52" s="22">
        <v>13921</v>
      </c>
      <c r="L52" s="22">
        <f>13267+90+1503</f>
        <v>14860</v>
      </c>
      <c r="M52" s="36"/>
      <c r="N52" s="288"/>
      <c r="O52" s="468">
        <f t="shared" si="2"/>
        <v>1.5705761819938762</v>
      </c>
    </row>
    <row r="53" spans="1:17">
      <c r="A53" s="17" t="s">
        <v>58</v>
      </c>
      <c r="B53" s="395">
        <f>38927+25455+65397+44769+34250+34453+44944+60275+38990+46527+28707+33843</f>
        <v>496537</v>
      </c>
      <c r="C53" s="566">
        <v>288195</v>
      </c>
      <c r="D53" s="604">
        <f>47624+41548+39771+61527+61540+40461+59109</f>
        <v>351580</v>
      </c>
      <c r="E53" s="286">
        <f t="shared" si="9"/>
        <v>59109</v>
      </c>
      <c r="F53" s="13">
        <v>12012</v>
      </c>
      <c r="G53" s="13">
        <v>28160</v>
      </c>
      <c r="H53" s="13">
        <v>577</v>
      </c>
      <c r="I53" s="13">
        <v>127</v>
      </c>
      <c r="J53" s="13">
        <v>18233</v>
      </c>
      <c r="K53" s="88">
        <v>7723</v>
      </c>
      <c r="L53" s="88">
        <f>7032+5+40+3401</f>
        <v>10478</v>
      </c>
      <c r="M53" s="88">
        <v>1027</v>
      </c>
      <c r="N53" s="289">
        <v>55695</v>
      </c>
      <c r="O53" s="468">
        <f t="shared" si="2"/>
        <v>1.2199378892763579</v>
      </c>
      <c r="P53" s="129"/>
    </row>
    <row r="54" spans="1:17">
      <c r="A54" s="624" t="s">
        <v>59</v>
      </c>
      <c r="B54" s="905">
        <v>949900</v>
      </c>
      <c r="C54" s="943">
        <v>465400</v>
      </c>
      <c r="D54" s="907">
        <v>952000</v>
      </c>
      <c r="E54" s="598">
        <v>183000</v>
      </c>
      <c r="F54" s="908">
        <v>80373</v>
      </c>
      <c r="G54" s="909">
        <v>102627</v>
      </c>
      <c r="H54" s="642"/>
      <c r="I54" s="93"/>
      <c r="J54" s="94"/>
      <c r="K54" s="95"/>
      <c r="L54" s="95"/>
      <c r="M54" s="95"/>
      <c r="N54" s="296"/>
      <c r="O54" s="468">
        <f t="shared" si="2"/>
        <v>2.0455522131499784</v>
      </c>
      <c r="P54" s="640"/>
    </row>
    <row r="55" spans="1:17">
      <c r="A55" s="17" t="s">
        <v>60</v>
      </c>
      <c r="B55" s="382"/>
      <c r="C55" s="625"/>
      <c r="D55" s="583"/>
      <c r="E55" s="287"/>
      <c r="F55" s="514"/>
      <c r="G55" s="51"/>
      <c r="H55" s="52"/>
      <c r="I55" s="514"/>
      <c r="J55" s="51"/>
      <c r="K55" s="36"/>
      <c r="L55" s="36"/>
      <c r="M55" s="36"/>
      <c r="N55" s="288"/>
      <c r="O55" s="468"/>
      <c r="P55" s="129"/>
      <c r="Q55" s="641"/>
    </row>
    <row r="56" spans="1:17">
      <c r="A56" s="17"/>
      <c r="B56" s="382"/>
      <c r="C56" s="625"/>
      <c r="D56" s="559"/>
      <c r="E56" s="287"/>
      <c r="F56" s="53"/>
      <c r="G56" s="53"/>
      <c r="H56" s="52"/>
      <c r="I56" s="28"/>
      <c r="J56" s="22"/>
      <c r="K56" s="36"/>
      <c r="L56" s="36"/>
      <c r="M56" s="36"/>
      <c r="N56" s="288"/>
      <c r="O56" s="468"/>
    </row>
    <row r="57" spans="1:17">
      <c r="A57" s="54" t="s">
        <v>61</v>
      </c>
      <c r="B57" s="945">
        <f>SUM(B58:B65)</f>
        <v>71421</v>
      </c>
      <c r="C57" s="946">
        <v>42813</v>
      </c>
      <c r="D57" s="947">
        <f>SUM(D58:D65)</f>
        <v>30802</v>
      </c>
      <c r="E57" s="948">
        <f t="shared" ref="E57:N57" si="10">SUM(E58:E65)</f>
        <v>3927</v>
      </c>
      <c r="F57" s="55">
        <f t="shared" si="10"/>
        <v>0</v>
      </c>
      <c r="G57" s="55">
        <f t="shared" si="10"/>
        <v>0</v>
      </c>
      <c r="H57" s="55">
        <f t="shared" si="10"/>
        <v>1971</v>
      </c>
      <c r="I57" s="55">
        <f t="shared" si="10"/>
        <v>1956</v>
      </c>
      <c r="J57" s="55">
        <f t="shared" si="10"/>
        <v>0</v>
      </c>
      <c r="K57" s="97">
        <f t="shared" si="10"/>
        <v>1679</v>
      </c>
      <c r="L57" s="97">
        <f t="shared" si="10"/>
        <v>1710</v>
      </c>
      <c r="M57" s="97">
        <f t="shared" si="10"/>
        <v>0</v>
      </c>
      <c r="N57" s="299">
        <f t="shared" si="10"/>
        <v>3359</v>
      </c>
      <c r="O57" s="73">
        <f t="shared" si="2"/>
        <v>0.71945437133580925</v>
      </c>
    </row>
    <row r="58" spans="1:17">
      <c r="A58" s="17" t="s">
        <v>62</v>
      </c>
      <c r="B58" s="395">
        <f>122+557+792+366+499+468+393+769+628+559+497+230</f>
        <v>5880</v>
      </c>
      <c r="C58" s="566">
        <v>3197</v>
      </c>
      <c r="D58" s="584">
        <f>335+74+675+1816+624+522+232</f>
        <v>4278</v>
      </c>
      <c r="E58" s="286">
        <f t="shared" ref="E58:E65" si="11">SUM(F58:J58)</f>
        <v>232</v>
      </c>
      <c r="F58" s="291"/>
      <c r="G58" s="13"/>
      <c r="H58" s="57">
        <v>116</v>
      </c>
      <c r="I58" s="13">
        <v>116</v>
      </c>
      <c r="J58" s="13"/>
      <c r="K58" s="36">
        <f>58+10</f>
        <v>68</v>
      </c>
      <c r="L58" s="36">
        <f>48</f>
        <v>48</v>
      </c>
      <c r="M58" s="36"/>
      <c r="N58" s="288"/>
      <c r="O58" s="468">
        <f t="shared" si="2"/>
        <v>1.3381294964028776</v>
      </c>
    </row>
    <row r="59" spans="1:17">
      <c r="A59" s="17" t="s">
        <v>63</v>
      </c>
      <c r="B59" s="14"/>
      <c r="C59" s="626">
        <v>0</v>
      </c>
      <c r="D59" s="577"/>
      <c r="E59" s="286">
        <f t="shared" si="11"/>
        <v>0</v>
      </c>
      <c r="F59" s="58"/>
      <c r="G59" s="11"/>
      <c r="H59" s="13"/>
      <c r="I59" s="13"/>
      <c r="J59" s="13"/>
      <c r="K59" s="36"/>
      <c r="L59" s="36"/>
      <c r="M59" s="36"/>
      <c r="N59" s="288"/>
      <c r="O59" s="468"/>
    </row>
    <row r="60" spans="1:17">
      <c r="A60" s="17" t="s">
        <v>64</v>
      </c>
      <c r="B60" s="395">
        <f>774+884+1093+1806+989+1127+1587+1317+1182+1138+1729+1456</f>
        <v>15082</v>
      </c>
      <c r="C60" s="566">
        <v>8260</v>
      </c>
      <c r="D60" s="584">
        <f>1670+1062+1129+1350+1391+1439+1192</f>
        <v>9233</v>
      </c>
      <c r="E60" s="286">
        <f t="shared" si="11"/>
        <v>1192</v>
      </c>
      <c r="F60" s="57"/>
      <c r="G60" s="11"/>
      <c r="H60" s="13">
        <v>563</v>
      </c>
      <c r="I60" s="13">
        <v>629</v>
      </c>
      <c r="J60" s="13"/>
      <c r="K60" s="36">
        <f>125+426</f>
        <v>551</v>
      </c>
      <c r="L60" s="36">
        <f>404+151</f>
        <v>555</v>
      </c>
      <c r="M60" s="36"/>
      <c r="N60" s="288">
        <v>1192</v>
      </c>
      <c r="O60" s="468">
        <f t="shared" si="2"/>
        <v>1.1177966101694916</v>
      </c>
    </row>
    <row r="61" spans="1:17">
      <c r="A61" s="17" t="s">
        <v>65</v>
      </c>
      <c r="B61" s="14">
        <f>19101+1605+2057+920+1082</f>
        <v>24765</v>
      </c>
      <c r="C61" s="383">
        <v>17259</v>
      </c>
      <c r="D61" s="808">
        <f>1089+517+1381+2546+1336+1503+1713</f>
        <v>10085</v>
      </c>
      <c r="E61" s="274">
        <f t="shared" si="11"/>
        <v>1713</v>
      </c>
      <c r="F61" s="668"/>
      <c r="G61" s="669"/>
      <c r="H61" s="673">
        <v>878</v>
      </c>
      <c r="I61" s="673">
        <v>835</v>
      </c>
      <c r="J61" s="673"/>
      <c r="K61" s="670">
        <f>2+662</f>
        <v>664</v>
      </c>
      <c r="L61" s="670">
        <f>708+5</f>
        <v>713</v>
      </c>
      <c r="M61" s="671"/>
      <c r="N61" s="242">
        <v>1377</v>
      </c>
      <c r="O61" s="672">
        <f t="shared" si="2"/>
        <v>0.58433281186627262</v>
      </c>
    </row>
    <row r="62" spans="1:17">
      <c r="A62" s="398" t="s">
        <v>66</v>
      </c>
      <c r="B62" s="389">
        <f>SUM(D62:G62)</f>
        <v>0</v>
      </c>
      <c r="C62" s="627">
        <v>0</v>
      </c>
      <c r="D62" s="585"/>
      <c r="E62" s="286">
        <f t="shared" si="11"/>
        <v>0</v>
      </c>
      <c r="F62" s="476"/>
      <c r="G62" s="11"/>
      <c r="H62" s="13"/>
      <c r="I62" s="13"/>
      <c r="J62" s="13"/>
      <c r="K62" s="36"/>
      <c r="L62" s="36"/>
      <c r="M62" s="36"/>
      <c r="N62" s="288"/>
      <c r="O62" s="468"/>
    </row>
    <row r="63" spans="1:17">
      <c r="A63" s="17" t="s">
        <v>67</v>
      </c>
      <c r="B63" s="14">
        <v>19597</v>
      </c>
      <c r="C63" s="383">
        <v>10286</v>
      </c>
      <c r="D63" s="632">
        <f>949+632+800+680+378+254+120</f>
        <v>3813</v>
      </c>
      <c r="E63" s="286">
        <f t="shared" si="11"/>
        <v>120</v>
      </c>
      <c r="F63" s="58"/>
      <c r="G63" s="11"/>
      <c r="H63" s="13">
        <v>70</v>
      </c>
      <c r="I63" s="13">
        <v>50</v>
      </c>
      <c r="J63" s="13"/>
      <c r="K63" s="22">
        <v>50</v>
      </c>
      <c r="L63" s="22">
        <v>70</v>
      </c>
      <c r="M63" s="36"/>
      <c r="N63" s="288">
        <v>120</v>
      </c>
      <c r="O63" s="468">
        <f t="shared" si="2"/>
        <v>0.37069803616566205</v>
      </c>
    </row>
    <row r="64" spans="1:17">
      <c r="A64" s="399" t="s">
        <v>68</v>
      </c>
      <c r="B64" s="390"/>
      <c r="C64" s="633">
        <v>12075</v>
      </c>
      <c r="D64" s="586"/>
      <c r="E64" s="286">
        <f t="shared" si="11"/>
        <v>0</v>
      </c>
      <c r="F64" s="57"/>
      <c r="G64" s="62"/>
      <c r="H64" s="12"/>
      <c r="I64" s="12"/>
      <c r="J64" s="12"/>
      <c r="K64" s="28"/>
      <c r="L64" s="28"/>
      <c r="M64" s="28"/>
      <c r="N64" s="277"/>
      <c r="O64" s="468">
        <f t="shared" si="2"/>
        <v>0</v>
      </c>
    </row>
    <row r="65" spans="1:17">
      <c r="A65" s="634" t="s">
        <v>69</v>
      </c>
      <c r="B65" s="395">
        <f>3284+527+85+247+741+628+585</f>
        <v>6097</v>
      </c>
      <c r="C65" s="628">
        <v>3811</v>
      </c>
      <c r="D65" s="584">
        <f>703+210+509+267+526+508+670</f>
        <v>3393</v>
      </c>
      <c r="E65" s="286">
        <f t="shared" si="11"/>
        <v>670</v>
      </c>
      <c r="F65" s="13"/>
      <c r="G65" s="13"/>
      <c r="H65" s="13">
        <v>344</v>
      </c>
      <c r="I65" s="13">
        <v>326</v>
      </c>
      <c r="J65" s="13"/>
      <c r="K65" s="22">
        <f>332+14</f>
        <v>346</v>
      </c>
      <c r="L65" s="22">
        <f>12+312</f>
        <v>324</v>
      </c>
      <c r="M65" s="22"/>
      <c r="N65" s="278">
        <v>670</v>
      </c>
      <c r="O65" s="468">
        <f t="shared" si="2"/>
        <v>0.89031750196798742</v>
      </c>
      <c r="Q65" s="499"/>
    </row>
    <row r="66" spans="1:17" ht="15" thickBot="1">
      <c r="A66" s="477"/>
      <c r="B66" s="222"/>
      <c r="C66" s="629"/>
      <c r="D66" s="561"/>
      <c r="E66" s="451"/>
      <c r="F66" s="66"/>
      <c r="G66" s="178"/>
      <c r="H66" s="66"/>
      <c r="I66" s="66"/>
      <c r="J66" s="66"/>
      <c r="K66" s="66"/>
      <c r="L66" s="66"/>
      <c r="M66" s="66"/>
      <c r="N66" s="301"/>
      <c r="O66" s="481"/>
    </row>
    <row r="67" spans="1:17" s="1" customFormat="1" ht="20.100000000000001" customHeight="1" thickBot="1">
      <c r="A67" s="100" t="s">
        <v>70</v>
      </c>
      <c r="B67" s="942">
        <f>B6+B28+B34+B47+B57</f>
        <v>18561273</v>
      </c>
      <c r="C67" s="942">
        <f>C6+C28+C34+C47+C57</f>
        <v>10240093</v>
      </c>
      <c r="D67" s="944">
        <f>D6+D28+D34+D47+D57</f>
        <v>12334877</v>
      </c>
      <c r="E67" s="932">
        <f>E6+E28+E34+E47+E57</f>
        <v>1932510</v>
      </c>
      <c r="F67" s="934">
        <f t="shared" ref="F67" si="12">F6+F28+F34+F47+F57</f>
        <v>763838</v>
      </c>
      <c r="G67" s="935">
        <f t="shared" ref="G67:N67" si="13">G6+G28+F34+G47+G57</f>
        <v>826497</v>
      </c>
      <c r="H67" s="102">
        <f t="shared" si="13"/>
        <v>304060</v>
      </c>
      <c r="I67" s="102">
        <f t="shared" si="13"/>
        <v>142992</v>
      </c>
      <c r="J67" s="102">
        <f t="shared" si="13"/>
        <v>193236</v>
      </c>
      <c r="K67" s="127">
        <f t="shared" si="13"/>
        <v>112855</v>
      </c>
      <c r="L67" s="127">
        <f t="shared" si="13"/>
        <v>225244</v>
      </c>
      <c r="M67" s="127">
        <f t="shared" si="13"/>
        <v>45365</v>
      </c>
      <c r="N67" s="302">
        <f t="shared" si="13"/>
        <v>59820</v>
      </c>
      <c r="O67" s="182">
        <f t="shared" si="2"/>
        <v>1.2045668921170931</v>
      </c>
    </row>
    <row r="68" spans="1:17" ht="15" thickBot="1">
      <c r="A68" s="667" t="s">
        <v>160</v>
      </c>
      <c r="B68" s="658">
        <f>B67+B26</f>
        <v>20384487</v>
      </c>
      <c r="C68" s="658">
        <f t="shared" ref="C68" si="14">C67+C26</f>
        <v>11183345</v>
      </c>
      <c r="D68" s="658">
        <f>D67+D26</f>
        <v>13500272</v>
      </c>
      <c r="E68" s="659">
        <f>E67+E26</f>
        <v>2113528</v>
      </c>
      <c r="F68" s="68"/>
      <c r="G68" s="68"/>
      <c r="H68" s="3"/>
      <c r="I68" s="3"/>
      <c r="J68" s="3"/>
      <c r="K68" s="3"/>
      <c r="L68" s="68"/>
      <c r="N68" s="68"/>
      <c r="O68" s="666">
        <f t="shared" si="2"/>
        <v>1.2071765647934496</v>
      </c>
    </row>
    <row r="69" spans="1:17">
      <c r="A69" s="3"/>
      <c r="B69" s="665"/>
      <c r="C69" s="665"/>
      <c r="D69" s="665"/>
      <c r="E69" s="665"/>
      <c r="F69" s="68"/>
      <c r="G69" s="68"/>
      <c r="H69" s="3"/>
      <c r="I69" s="3"/>
      <c r="J69" s="3"/>
      <c r="K69" s="3"/>
      <c r="L69" s="68"/>
      <c r="M69" s="68" t="s">
        <v>155</v>
      </c>
      <c r="N69" s="68"/>
      <c r="O69" s="3"/>
    </row>
    <row r="70" spans="1:17">
      <c r="B70" s="3"/>
      <c r="C70" s="3"/>
      <c r="D70" s="68"/>
      <c r="E70" s="3"/>
      <c r="F70" s="68"/>
      <c r="G70" s="3"/>
      <c r="H70" s="3"/>
      <c r="I70" s="3"/>
      <c r="J70" s="3"/>
      <c r="K70" s="3"/>
      <c r="L70" s="68"/>
      <c r="M70" s="68"/>
      <c r="N70" s="68"/>
      <c r="O70" s="3"/>
    </row>
    <row r="71" spans="1:17" ht="15" thickBot="1">
      <c r="B71" s="3"/>
      <c r="C71" s="3"/>
      <c r="D71" s="104" t="s">
        <v>71</v>
      </c>
      <c r="E71" s="104" t="s">
        <v>72</v>
      </c>
      <c r="F71" s="104" t="s">
        <v>73</v>
      </c>
      <c r="G71" s="104" t="s">
        <v>74</v>
      </c>
      <c r="H71" s="104" t="s">
        <v>75</v>
      </c>
      <c r="I71" s="104" t="s">
        <v>76</v>
      </c>
      <c r="J71" s="104" t="s">
        <v>77</v>
      </c>
      <c r="K71" s="104" t="s">
        <v>78</v>
      </c>
      <c r="L71" s="104" t="s">
        <v>79</v>
      </c>
      <c r="M71" s="104" t="s">
        <v>80</v>
      </c>
      <c r="N71" s="104" t="s">
        <v>81</v>
      </c>
      <c r="O71" s="104" t="s">
        <v>82</v>
      </c>
      <c r="P71" s="104" t="s">
        <v>83</v>
      </c>
    </row>
    <row r="72" spans="1:17" ht="15" thickBot="1">
      <c r="B72" s="105" t="s">
        <v>84</v>
      </c>
      <c r="C72" s="105"/>
      <c r="D72" s="106">
        <v>1845076</v>
      </c>
      <c r="E72" s="106">
        <v>1453853.1301010782</v>
      </c>
      <c r="F72" s="407">
        <v>1812571.4812098993</v>
      </c>
      <c r="G72" s="106">
        <v>1892251.3322744532</v>
      </c>
      <c r="H72" s="106">
        <v>1870176</v>
      </c>
      <c r="I72" s="129">
        <v>1911359</v>
      </c>
      <c r="J72" s="106">
        <v>1961723</v>
      </c>
      <c r="K72" s="130"/>
      <c r="L72" s="22"/>
      <c r="M72" s="131"/>
      <c r="N72" s="111"/>
      <c r="O72" s="131"/>
      <c r="P72" s="132">
        <f>SUM(D72:O72)</f>
        <v>12747009.943585431</v>
      </c>
    </row>
    <row r="73" spans="1:17">
      <c r="A73" s="3"/>
      <c r="B73" s="107" t="s">
        <v>85</v>
      </c>
      <c r="C73" s="107"/>
      <c r="D73" s="108"/>
      <c r="E73" s="109">
        <f>IF(D72&gt;0,E72/D72,0)*100</f>
        <v>78.796381834736252</v>
      </c>
      <c r="F73" s="109">
        <f>IF(E72&gt;0,F72/E72,0)*100</f>
        <v>124.67363062208914</v>
      </c>
      <c r="G73" s="109">
        <f>IF(F72&gt;0,G72/F72,0)*100</f>
        <v>104.39595634658045</v>
      </c>
      <c r="H73" s="109">
        <f>IF(G72&gt;0,H72/G72,0)*100</f>
        <v>98.833382653882495</v>
      </c>
      <c r="I73" s="109">
        <f>IF(H72&gt;0,I72/H72,0)*100</f>
        <v>102.20209220950326</v>
      </c>
      <c r="J73" s="109">
        <f>IF(H72&gt;0,J72/H72,0)*100</f>
        <v>104.89510078195849</v>
      </c>
      <c r="K73" s="109">
        <f>IF(J72&gt;0,K72/J72,0)*100</f>
        <v>0</v>
      </c>
      <c r="L73" s="109">
        <f>IF(K72&gt;0,L72/K72,0)*100</f>
        <v>0</v>
      </c>
      <c r="M73" s="109">
        <f>IF(L72&gt;0,M72/L72,0)*100</f>
        <v>0</v>
      </c>
      <c r="N73" s="109">
        <f>IF(M72&gt;0,N72/M72,0)*100</f>
        <v>0</v>
      </c>
      <c r="O73" s="109">
        <f>IF(N72&gt;0,O72/N72,0)*100</f>
        <v>0</v>
      </c>
      <c r="P73" s="109"/>
    </row>
    <row r="74" spans="1:17">
      <c r="A74" s="3"/>
      <c r="B74" s="110"/>
      <c r="C74" s="110"/>
      <c r="D74" s="110"/>
      <c r="E74" s="111"/>
      <c r="F74" s="110"/>
      <c r="G74" s="3"/>
      <c r="H74" s="3"/>
      <c r="I74" s="3"/>
      <c r="J74" s="3"/>
      <c r="K74" s="3"/>
      <c r="L74" s="3"/>
      <c r="M74" s="68"/>
      <c r="N74" s="68"/>
      <c r="O74" s="68"/>
      <c r="P74" s="3"/>
    </row>
    <row r="75" spans="1:17">
      <c r="A75" s="148" t="s">
        <v>86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3" t="s">
        <v>87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8" t="s">
        <v>88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2"/>
    </row>
    <row r="78" spans="1:17">
      <c r="A78" s="149" t="s">
        <v>89</v>
      </c>
      <c r="B78" s="68"/>
      <c r="C78" s="68"/>
      <c r="D78" s="68"/>
      <c r="E78" s="68"/>
      <c r="F78" s="3"/>
      <c r="G78" s="3"/>
      <c r="H78" s="3"/>
      <c r="I78" s="3"/>
      <c r="J78" s="3"/>
      <c r="K78" s="3"/>
      <c r="L78" s="3"/>
      <c r="M78" s="68"/>
      <c r="N78" s="68"/>
      <c r="O78" s="68"/>
      <c r="P78" s="3"/>
      <c r="Q78" s="144"/>
    </row>
    <row r="79" spans="1:17">
      <c r="A79" s="3" t="s">
        <v>90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68"/>
      <c r="P79" s="3"/>
    </row>
    <row r="80" spans="1:17">
      <c r="A80" s="3" t="s">
        <v>91</v>
      </c>
      <c r="B80" s="3"/>
      <c r="C80" s="3"/>
      <c r="D80" s="3"/>
      <c r="E80" s="3"/>
      <c r="F80" s="3"/>
      <c r="G80" s="3"/>
      <c r="H80" s="3"/>
      <c r="I80" s="3"/>
      <c r="K80" s="3"/>
      <c r="M80" s="68"/>
      <c r="N80" s="68"/>
      <c r="O80" s="135"/>
      <c r="P80" s="3"/>
    </row>
    <row r="81" spans="1:17">
      <c r="A81" s="3" t="s">
        <v>92</v>
      </c>
      <c r="B81" s="3"/>
      <c r="C81" s="3"/>
      <c r="D81" s="3"/>
      <c r="E81" s="3"/>
      <c r="F81" s="3"/>
      <c r="G81" s="3"/>
      <c r="H81" s="3"/>
      <c r="I81" s="3"/>
      <c r="K81" s="3"/>
      <c r="L81" s="3"/>
      <c r="M81" s="68"/>
      <c r="N81" s="68"/>
      <c r="O81" s="68"/>
      <c r="P81" s="3"/>
    </row>
    <row r="83" spans="1:17">
      <c r="B83" s="606" t="s">
        <v>161</v>
      </c>
    </row>
    <row r="84" spans="1:17" ht="15.6">
      <c r="B84" s="112" t="s">
        <v>93</v>
      </c>
      <c r="C84" s="112"/>
      <c r="D84" s="114" t="s">
        <v>94</v>
      </c>
      <c r="E84" s="115" t="s">
        <v>95</v>
      </c>
      <c r="F84" s="115" t="s">
        <v>96</v>
      </c>
      <c r="G84" s="115" t="s">
        <v>97</v>
      </c>
      <c r="H84" s="115" t="s">
        <v>98</v>
      </c>
      <c r="I84" s="136" t="s">
        <v>99</v>
      </c>
      <c r="J84" s="115" t="s">
        <v>100</v>
      </c>
      <c r="K84" s="115" t="s">
        <v>101</v>
      </c>
      <c r="L84" s="115" t="s">
        <v>102</v>
      </c>
      <c r="M84" s="115" t="s">
        <v>103</v>
      </c>
      <c r="N84" s="115" t="s">
        <v>104</v>
      </c>
      <c r="O84" s="115" t="s">
        <v>105</v>
      </c>
      <c r="P84" s="115" t="s">
        <v>83</v>
      </c>
      <c r="Q84" s="145" t="s">
        <v>107</v>
      </c>
    </row>
    <row r="85" spans="1:17">
      <c r="B85" s="116" t="s">
        <v>108</v>
      </c>
      <c r="C85" s="116"/>
      <c r="D85" s="52">
        <v>250647.57142857101</v>
      </c>
      <c r="E85" s="52">
        <v>303326.78571428568</v>
      </c>
      <c r="F85" s="52">
        <v>278308.28571428568</v>
      </c>
      <c r="G85" s="52">
        <v>329534.92857142858</v>
      </c>
      <c r="H85" s="118">
        <v>264136.85714285716</v>
      </c>
      <c r="I85" s="52">
        <v>280939.92857142852</v>
      </c>
      <c r="J85" s="52">
        <v>288262.21428571426</v>
      </c>
      <c r="K85" s="137"/>
      <c r="L85" s="138"/>
      <c r="M85" s="52"/>
      <c r="N85" s="52"/>
      <c r="O85" s="52"/>
      <c r="P85" s="478">
        <f t="shared" ref="P85:P91" si="15">SUM(D85:O85)</f>
        <v>1995156.5714285711</v>
      </c>
      <c r="Q85" s="146">
        <f t="shared" ref="Q85:Q92" si="16">P85/$P$92</f>
        <v>0.34670991102046472</v>
      </c>
    </row>
    <row r="86" spans="1:17">
      <c r="B86" s="119" t="s">
        <v>109</v>
      </c>
      <c r="C86" s="119"/>
      <c r="D86" s="121">
        <v>51557.785714285703</v>
      </c>
      <c r="E86" s="122">
        <v>38594.857142857145</v>
      </c>
      <c r="F86" s="122">
        <v>40995.357142857145</v>
      </c>
      <c r="G86" s="122">
        <v>33533.714285714283</v>
      </c>
      <c r="H86" s="123">
        <v>15954.785714285714</v>
      </c>
      <c r="I86" s="122">
        <v>52129.78571428571</v>
      </c>
      <c r="J86" s="122">
        <v>43316.857142857145</v>
      </c>
      <c r="K86" s="122"/>
      <c r="L86" s="122"/>
      <c r="M86" s="122"/>
      <c r="N86" s="122"/>
      <c r="O86" s="122"/>
      <c r="P86" s="479">
        <f t="shared" si="15"/>
        <v>276083.14285714284</v>
      </c>
      <c r="Q86" s="147">
        <f t="shared" si="16"/>
        <v>4.797656648355788E-2</v>
      </c>
    </row>
    <row r="87" spans="1:17">
      <c r="B87" s="119" t="s">
        <v>110</v>
      </c>
      <c r="C87" s="119"/>
      <c r="D87" s="121">
        <v>157521.85714285701</v>
      </c>
      <c r="E87" s="122">
        <v>160543.85714285713</v>
      </c>
      <c r="F87" s="122">
        <v>156602.71428571426</v>
      </c>
      <c r="G87" s="122">
        <v>190080.78571428574</v>
      </c>
      <c r="H87" s="123">
        <v>199613.78571428571</v>
      </c>
      <c r="I87" s="122">
        <v>200030.57142857142</v>
      </c>
      <c r="J87" s="122">
        <v>179224.21428571429</v>
      </c>
      <c r="K87" s="122"/>
      <c r="L87" s="122"/>
      <c r="M87" s="122"/>
      <c r="N87" s="122"/>
      <c r="O87" s="122"/>
      <c r="P87" s="479">
        <f t="shared" si="15"/>
        <v>1243617.7857142854</v>
      </c>
      <c r="Q87" s="147">
        <f t="shared" si="16"/>
        <v>0.21611066419701477</v>
      </c>
    </row>
    <row r="88" spans="1:17">
      <c r="B88" s="124" t="s">
        <v>111</v>
      </c>
      <c r="C88" s="124"/>
      <c r="D88" s="52">
        <v>129327.714285714</v>
      </c>
      <c r="E88" s="52">
        <v>98880.78571428571</v>
      </c>
      <c r="F88" s="52">
        <v>142655.5</v>
      </c>
      <c r="G88" s="52">
        <v>133507.35714285716</v>
      </c>
      <c r="H88" s="118">
        <v>117586.21428571429</v>
      </c>
      <c r="I88" s="52">
        <v>102160.14285714286</v>
      </c>
      <c r="J88" s="52">
        <v>115071.28571428571</v>
      </c>
      <c r="K88" s="52"/>
      <c r="L88" s="52"/>
      <c r="M88" s="52"/>
      <c r="N88" s="52"/>
      <c r="O88" s="52"/>
      <c r="P88" s="478">
        <f t="shared" si="15"/>
        <v>839188.99999999965</v>
      </c>
      <c r="Q88" s="146">
        <f t="shared" si="16"/>
        <v>0.14583073212696437</v>
      </c>
    </row>
    <row r="89" spans="1:17">
      <c r="B89" s="124" t="s">
        <v>112</v>
      </c>
      <c r="C89" s="124"/>
      <c r="D89" s="52">
        <v>81303.642857142899</v>
      </c>
      <c r="E89" s="52">
        <v>79785.57142857142</v>
      </c>
      <c r="F89" s="52">
        <v>99571</v>
      </c>
      <c r="G89" s="52">
        <v>105052.5</v>
      </c>
      <c r="H89" s="118">
        <v>95685.357142857145</v>
      </c>
      <c r="I89" s="52">
        <v>101332.71428571429</v>
      </c>
      <c r="J89" s="52">
        <v>110053</v>
      </c>
      <c r="K89" s="52"/>
      <c r="L89" s="52"/>
      <c r="M89" s="52"/>
      <c r="N89" s="52"/>
      <c r="O89" s="52"/>
      <c r="P89" s="478">
        <f t="shared" si="15"/>
        <v>672783.7857142858</v>
      </c>
      <c r="Q89" s="146">
        <f t="shared" si="16"/>
        <v>0.11691353441699671</v>
      </c>
    </row>
    <row r="90" spans="1:17">
      <c r="B90" s="116" t="s">
        <v>57</v>
      </c>
      <c r="C90" s="116"/>
      <c r="D90" s="52">
        <v>79967.428571428594</v>
      </c>
      <c r="E90" s="52">
        <v>73659.642857142855</v>
      </c>
      <c r="F90" s="52">
        <v>87559.357142857145</v>
      </c>
      <c r="G90" s="52">
        <v>116176.92857142858</v>
      </c>
      <c r="H90" s="118">
        <v>97186.071428571435</v>
      </c>
      <c r="I90" s="52">
        <v>107421.21428571429</v>
      </c>
      <c r="J90" s="52">
        <v>106410.42857142858</v>
      </c>
      <c r="K90" s="52"/>
      <c r="L90" s="52"/>
      <c r="M90" s="52"/>
      <c r="N90" s="52"/>
      <c r="O90" s="52"/>
      <c r="P90" s="478">
        <f t="shared" si="15"/>
        <v>668381.07142857136</v>
      </c>
      <c r="Q90" s="146">
        <f t="shared" si="16"/>
        <v>0.11614844926021847</v>
      </c>
    </row>
    <row r="91" spans="1:17">
      <c r="B91" s="28" t="s">
        <v>158</v>
      </c>
      <c r="C91" s="28"/>
      <c r="D91" s="52">
        <v>2349.7857142857142</v>
      </c>
      <c r="E91" s="52">
        <v>4728.1428571428569</v>
      </c>
      <c r="F91" s="52">
        <v>9206.7857142857138</v>
      </c>
      <c r="G91" s="52">
        <v>12338.642857142857</v>
      </c>
      <c r="H91" s="118">
        <v>9361.4285714285706</v>
      </c>
      <c r="I91" s="52">
        <v>10276.428571428572</v>
      </c>
      <c r="J91" s="52">
        <v>11068.928571428572</v>
      </c>
      <c r="K91" s="52"/>
      <c r="L91" s="52"/>
      <c r="M91" s="52"/>
      <c r="N91" s="52"/>
      <c r="O91" s="52"/>
      <c r="P91" s="478">
        <f t="shared" si="15"/>
        <v>59330.142857142855</v>
      </c>
      <c r="Q91" s="146">
        <f t="shared" si="16"/>
        <v>1.0310142494783098E-2</v>
      </c>
    </row>
    <row r="92" spans="1:17">
      <c r="D92" s="643">
        <f>SUM(D85:D91)</f>
        <v>752675.78571428498</v>
      </c>
      <c r="E92" s="643">
        <f t="shared" ref="E92:P92" si="17">SUM(E85:E91)</f>
        <v>759519.64285714272</v>
      </c>
      <c r="F92" s="643">
        <f t="shared" si="17"/>
        <v>814898.99999999988</v>
      </c>
      <c r="G92" s="643">
        <f t="shared" si="17"/>
        <v>920224.85714285716</v>
      </c>
      <c r="H92" s="643">
        <f t="shared" si="17"/>
        <v>799524.50000000012</v>
      </c>
      <c r="I92" s="643">
        <f t="shared" si="17"/>
        <v>854290.78571428568</v>
      </c>
      <c r="J92" s="643">
        <f t="shared" si="17"/>
        <v>853406.92857142852</v>
      </c>
      <c r="K92" s="643">
        <f t="shared" si="17"/>
        <v>0</v>
      </c>
      <c r="L92" s="643">
        <f t="shared" si="17"/>
        <v>0</v>
      </c>
      <c r="M92" s="643">
        <f t="shared" si="17"/>
        <v>0</v>
      </c>
      <c r="N92" s="643">
        <f t="shared" si="17"/>
        <v>0</v>
      </c>
      <c r="O92" s="643">
        <f t="shared" si="17"/>
        <v>0</v>
      </c>
      <c r="P92" s="643">
        <f t="shared" si="17"/>
        <v>5754541.4999999991</v>
      </c>
      <c r="Q92" s="605">
        <f t="shared" si="16"/>
        <v>1</v>
      </c>
    </row>
  </sheetData>
  <mergeCells count="25">
    <mergeCell ref="L49:L50"/>
    <mergeCell ref="M49:M50"/>
    <mergeCell ref="P6:P7"/>
    <mergeCell ref="F42:G42"/>
    <mergeCell ref="H42:I42"/>
    <mergeCell ref="F49:F50"/>
    <mergeCell ref="G49:G50"/>
    <mergeCell ref="N49:N50"/>
    <mergeCell ref="P49:P50"/>
    <mergeCell ref="H49:H50"/>
    <mergeCell ref="I49:I50"/>
    <mergeCell ref="J49:J50"/>
    <mergeCell ref="K49:K50"/>
    <mergeCell ref="A49:A50"/>
    <mergeCell ref="B49:B50"/>
    <mergeCell ref="C49:C50"/>
    <mergeCell ref="D49:D50"/>
    <mergeCell ref="E49:E50"/>
    <mergeCell ref="A1:O1"/>
    <mergeCell ref="A3:A4"/>
    <mergeCell ref="B3:B4"/>
    <mergeCell ref="C3:C4"/>
    <mergeCell ref="D3:D4"/>
    <mergeCell ref="E3:N3"/>
    <mergeCell ref="O3:O4"/>
  </mergeCells>
  <pageMargins left="0.7" right="0.7" top="0.75" bottom="0.75" header="0.3" footer="0.3"/>
  <pageSetup orientation="portrait" r:id="rId1"/>
  <ignoredErrors>
    <ignoredError sqref="B26:C26 E26 E15 E17 E35:E38 E40:E46 E52:E53 E63" formulaRange="1"/>
    <ignoredError sqref="E39" formula="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A5B2-93C0-4B4F-87DB-41677E20211B}">
  <dimension ref="A1:Q92"/>
  <sheetViews>
    <sheetView zoomScale="80" zoomScaleNormal="80" workbookViewId="0">
      <pane xSplit="2" ySplit="4" topLeftCell="C19" activePane="bottomRight" state="frozen"/>
      <selection pane="topRight" activeCell="D1" sqref="D1"/>
      <selection pane="bottomLeft" activeCell="A5" sqref="A5"/>
      <selection pane="bottomRight" activeCell="E54" sqref="E54"/>
    </sheetView>
  </sheetViews>
  <sheetFormatPr defaultColWidth="8.5546875" defaultRowHeight="14.4"/>
  <cols>
    <col min="1" max="1" width="30.77734375" style="2" customWidth="1"/>
    <col min="2" max="3" width="11.77734375" style="2" customWidth="1"/>
    <col min="4" max="4" width="13" style="2" customWidth="1"/>
    <col min="5" max="5" width="11.77734375" style="2" customWidth="1"/>
    <col min="6" max="6" width="11.109375" style="2" customWidth="1"/>
    <col min="7" max="7" width="11.77734375" style="2" customWidth="1"/>
    <col min="8" max="8" width="11.77734375" style="2" bestFit="1" customWidth="1"/>
    <col min="9" max="9" width="12.109375" style="2" customWidth="1"/>
    <col min="10" max="10" width="11.44140625" style="2" customWidth="1"/>
    <col min="11" max="11" width="10" style="2" bestFit="1" customWidth="1"/>
    <col min="12" max="12" width="8.5546875" style="2"/>
    <col min="13" max="13" width="9.44140625" style="2" customWidth="1"/>
    <col min="14" max="14" width="9.5546875" style="2" customWidth="1"/>
    <col min="15" max="15" width="8.5546875" style="2"/>
    <col min="16" max="16" width="11.77734375" style="2" bestFit="1" customWidth="1"/>
    <col min="17" max="17" width="9.5546875" style="2" bestFit="1" customWidth="1"/>
    <col min="18" max="16384" width="8.5546875" style="2"/>
  </cols>
  <sheetData>
    <row r="1" spans="1:17" s="1" customFormat="1" ht="26.85" customHeight="1">
      <c r="A1" s="1066" t="s">
        <v>162</v>
      </c>
      <c r="B1" s="1066"/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4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86" t="s">
        <v>1</v>
      </c>
      <c r="B3" s="1088" t="s">
        <v>2</v>
      </c>
      <c r="C3" s="1105" t="s">
        <v>167</v>
      </c>
      <c r="D3" s="1092" t="s">
        <v>164</v>
      </c>
      <c r="E3" s="1094" t="s">
        <v>163</v>
      </c>
      <c r="F3" s="1095"/>
      <c r="G3" s="1095"/>
      <c r="H3" s="1095"/>
      <c r="I3" s="1095"/>
      <c r="J3" s="1095"/>
      <c r="K3" s="1095"/>
      <c r="L3" s="1095"/>
      <c r="M3" s="1095"/>
      <c r="N3" s="1096"/>
      <c r="O3" s="1097" t="s">
        <v>165</v>
      </c>
    </row>
    <row r="4" spans="1:17" ht="29.4" thickBot="1">
      <c r="A4" s="1087"/>
      <c r="B4" s="1089"/>
      <c r="C4" s="1106"/>
      <c r="D4" s="1093"/>
      <c r="E4" s="587" t="s">
        <v>7</v>
      </c>
      <c r="F4" s="588" t="s">
        <v>8</v>
      </c>
      <c r="G4" s="588" t="s">
        <v>9</v>
      </c>
      <c r="H4" s="588" t="s">
        <v>10</v>
      </c>
      <c r="I4" s="588" t="s">
        <v>11</v>
      </c>
      <c r="J4" s="589" t="s">
        <v>12</v>
      </c>
      <c r="K4" s="590" t="s">
        <v>13</v>
      </c>
      <c r="L4" s="590" t="s">
        <v>14</v>
      </c>
      <c r="M4" s="591" t="s">
        <v>15</v>
      </c>
      <c r="N4" s="592" t="s">
        <v>16</v>
      </c>
      <c r="O4" s="1098"/>
    </row>
    <row r="5" spans="1:17">
      <c r="A5" s="408"/>
      <c r="B5" s="409"/>
      <c r="C5" s="5"/>
      <c r="D5" s="4"/>
      <c r="E5" s="319"/>
      <c r="F5" s="5"/>
      <c r="G5" s="5"/>
      <c r="H5" s="5"/>
      <c r="I5" s="5"/>
      <c r="J5" s="69"/>
      <c r="K5" s="5"/>
      <c r="L5" s="70"/>
      <c r="M5" s="71"/>
      <c r="N5" s="320"/>
      <c r="O5" s="4"/>
    </row>
    <row r="6" spans="1:17">
      <c r="A6" s="683" t="s">
        <v>17</v>
      </c>
      <c r="B6" s="7">
        <f>SUM(B8:B18)</f>
        <v>4518182</v>
      </c>
      <c r="C6" s="709">
        <v>2849439</v>
      </c>
      <c r="D6" s="576">
        <f>SUM(D8:D18)</f>
        <v>3490608</v>
      </c>
      <c r="E6" s="274">
        <f>SUM(E8:E18)</f>
        <v>477043</v>
      </c>
      <c r="F6" s="286">
        <f t="shared" ref="F6:N6" si="0">SUM(F8:F18)</f>
        <v>206530</v>
      </c>
      <c r="G6" s="286">
        <f t="shared" si="0"/>
        <v>202023</v>
      </c>
      <c r="H6" s="286">
        <f t="shared" si="0"/>
        <v>29934</v>
      </c>
      <c r="I6" s="286">
        <f t="shared" si="0"/>
        <v>26317</v>
      </c>
      <c r="J6" s="286">
        <f t="shared" si="0"/>
        <v>0</v>
      </c>
      <c r="K6" s="286">
        <f t="shared" si="0"/>
        <v>61829</v>
      </c>
      <c r="L6" s="286">
        <f t="shared" si="0"/>
        <v>34167</v>
      </c>
      <c r="M6" s="286">
        <f t="shared" si="0"/>
        <v>6269</v>
      </c>
      <c r="N6" s="286">
        <f t="shared" si="0"/>
        <v>266</v>
      </c>
      <c r="O6" s="468">
        <f>+D6/C6</f>
        <v>1.2250158715452411</v>
      </c>
      <c r="P6" s="1014"/>
    </row>
    <row r="7" spans="1:17">
      <c r="A7" s="386" t="s">
        <v>18</v>
      </c>
      <c r="B7" s="387"/>
      <c r="C7" s="675"/>
      <c r="D7" s="557"/>
      <c r="E7" s="286">
        <f>SUM(F7:J7)</f>
        <v>0</v>
      </c>
      <c r="F7" s="12"/>
      <c r="G7" s="12"/>
      <c r="H7" s="12"/>
      <c r="I7" s="12"/>
      <c r="J7" s="12"/>
      <c r="K7" s="28"/>
      <c r="L7" s="28"/>
      <c r="M7" s="28"/>
      <c r="N7" s="277"/>
      <c r="O7" s="468"/>
      <c r="P7" s="1014"/>
    </row>
    <row r="8" spans="1:17">
      <c r="A8" s="388" t="s">
        <v>19</v>
      </c>
      <c r="B8" s="387"/>
      <c r="C8" s="675"/>
      <c r="D8" s="577"/>
      <c r="E8" s="286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278"/>
      <c r="O8" s="468"/>
      <c r="P8" s="3"/>
    </row>
    <row r="9" spans="1:17">
      <c r="A9" s="386" t="s">
        <v>120</v>
      </c>
      <c r="B9" s="14">
        <f>715133+126685+111732+106510+95851+111311</f>
        <v>1267222</v>
      </c>
      <c r="C9" s="675">
        <v>841818</v>
      </c>
      <c r="D9" s="557">
        <f>108077+85467+113186+113042+116756+109995+110509+101300</f>
        <v>858332</v>
      </c>
      <c r="E9" s="286">
        <f t="shared" si="1"/>
        <v>101300</v>
      </c>
      <c r="F9" s="13">
        <v>37566</v>
      </c>
      <c r="G9" s="13">
        <v>39547</v>
      </c>
      <c r="H9" s="13">
        <v>12851</v>
      </c>
      <c r="I9" s="13">
        <v>11336</v>
      </c>
      <c r="J9" s="12"/>
      <c r="K9" s="28"/>
      <c r="L9" s="28"/>
      <c r="M9" s="22"/>
      <c r="N9" s="278"/>
      <c r="O9" s="468">
        <f t="shared" ref="O9:O67" si="2">+D9/C9</f>
        <v>1.0196170668719367</v>
      </c>
      <c r="P9" s="111"/>
      <c r="Q9" s="79"/>
    </row>
    <row r="10" spans="1:17">
      <c r="A10" s="386" t="s">
        <v>20</v>
      </c>
      <c r="B10" s="14">
        <v>1272859</v>
      </c>
      <c r="C10" s="675">
        <v>727980</v>
      </c>
      <c r="D10" s="578">
        <f>148719+103732+138638+114388+149772+144287+154524+162231</f>
        <v>1116291</v>
      </c>
      <c r="E10" s="286">
        <f t="shared" si="1"/>
        <v>162231</v>
      </c>
      <c r="F10" s="15">
        <v>82431</v>
      </c>
      <c r="G10" s="15">
        <v>79800</v>
      </c>
      <c r="H10" s="16"/>
      <c r="I10" s="16"/>
      <c r="J10" s="75"/>
      <c r="K10" s="76">
        <f>8134+7701</f>
        <v>15835</v>
      </c>
      <c r="L10" s="76">
        <f>1629+843</f>
        <v>2472</v>
      </c>
      <c r="M10" s="77"/>
      <c r="N10" s="278"/>
      <c r="O10" s="468">
        <f t="shared" si="2"/>
        <v>1.5334088848594742</v>
      </c>
      <c r="P10" s="79"/>
      <c r="Q10" s="79"/>
    </row>
    <row r="11" spans="1:17">
      <c r="A11" s="386" t="s">
        <v>21</v>
      </c>
      <c r="B11" s="14"/>
      <c r="C11" s="675"/>
      <c r="D11" s="578"/>
      <c r="E11" s="286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278"/>
      <c r="O11" s="468"/>
      <c r="P11" s="79"/>
      <c r="Q11" s="79"/>
    </row>
    <row r="12" spans="1:17">
      <c r="A12" s="386" t="s">
        <v>22</v>
      </c>
      <c r="B12" s="14">
        <v>491959</v>
      </c>
      <c r="C12" s="675">
        <v>327428</v>
      </c>
      <c r="D12" s="578">
        <f>39231+38035+45839+55212+55252+51874+53719+51193</f>
        <v>390355</v>
      </c>
      <c r="E12" s="286">
        <f t="shared" si="1"/>
        <v>51193</v>
      </c>
      <c r="F12" s="13">
        <v>24012</v>
      </c>
      <c r="G12" s="13">
        <v>25787</v>
      </c>
      <c r="H12" s="13">
        <v>1128</v>
      </c>
      <c r="I12" s="13">
        <v>266</v>
      </c>
      <c r="J12" s="13"/>
      <c r="K12" s="22">
        <f>7678+3348+57+151</f>
        <v>11234</v>
      </c>
      <c r="L12" s="22">
        <f>36+5429+71+5</f>
        <v>5541</v>
      </c>
      <c r="M12" s="22"/>
      <c r="N12" s="278"/>
      <c r="O12" s="468">
        <f t="shared" si="2"/>
        <v>1.1921857629768988</v>
      </c>
      <c r="P12" s="555"/>
      <c r="Q12" s="79"/>
    </row>
    <row r="13" spans="1:17">
      <c r="A13" s="388" t="s">
        <v>23</v>
      </c>
      <c r="B13" s="14">
        <v>149160</v>
      </c>
      <c r="C13" s="675">
        <v>149160</v>
      </c>
      <c r="D13" s="578">
        <v>0</v>
      </c>
      <c r="E13" s="286"/>
      <c r="F13" s="13"/>
      <c r="G13" s="13"/>
      <c r="H13" s="13"/>
      <c r="I13" s="13"/>
      <c r="J13" s="13"/>
      <c r="K13" s="22"/>
      <c r="L13" s="22"/>
      <c r="M13" s="22"/>
      <c r="N13" s="278"/>
      <c r="O13" s="468">
        <f t="shared" si="2"/>
        <v>0</v>
      </c>
      <c r="P13" s="79"/>
      <c r="Q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675">
        <v>549033</v>
      </c>
      <c r="D14" s="557">
        <f>107401+71667+97692+112321+100543+91682+100061+119410</f>
        <v>800777</v>
      </c>
      <c r="E14" s="286">
        <f t="shared" si="1"/>
        <v>119410</v>
      </c>
      <c r="F14" s="18">
        <v>62521</v>
      </c>
      <c r="G14" s="18">
        <v>56889</v>
      </c>
      <c r="H14" s="18"/>
      <c r="I14" s="18"/>
      <c r="J14" s="18"/>
      <c r="K14" s="80">
        <v>26682</v>
      </c>
      <c r="L14" s="80">
        <f>12660+9915</f>
        <v>22575</v>
      </c>
      <c r="M14" s="80">
        <v>6269</v>
      </c>
      <c r="N14" s="279">
        <v>266</v>
      </c>
      <c r="O14" s="468">
        <f t="shared" si="2"/>
        <v>1.4585225296111528</v>
      </c>
      <c r="P14" s="555"/>
      <c r="Q14" s="79"/>
    </row>
    <row r="15" spans="1:17">
      <c r="A15" s="386" t="s">
        <v>25</v>
      </c>
      <c r="B15" s="14">
        <f>6147+7479+7850+9613+8350+10297+8331+8950+9929+9191+7491+7125</f>
        <v>100753</v>
      </c>
      <c r="C15" s="675">
        <v>67017</v>
      </c>
      <c r="D15" s="557">
        <f>5818+3471+4879+3146+1868+3203+3535+2520</f>
        <v>28440</v>
      </c>
      <c r="E15" s="286">
        <f t="shared" si="1"/>
        <v>2520</v>
      </c>
      <c r="F15" s="13"/>
      <c r="G15" s="13"/>
      <c r="H15" s="13">
        <v>1401</v>
      </c>
      <c r="I15" s="13">
        <v>1119</v>
      </c>
      <c r="J15" s="13"/>
      <c r="K15" s="81">
        <f>270+206</f>
        <v>476</v>
      </c>
      <c r="L15" s="22">
        <f>21+129</f>
        <v>150</v>
      </c>
      <c r="M15" s="22"/>
      <c r="N15" s="278"/>
      <c r="O15" s="468">
        <f t="shared" si="2"/>
        <v>0.4243699359863915</v>
      </c>
      <c r="P15" s="79"/>
      <c r="Q15" s="79"/>
    </row>
    <row r="16" spans="1:17">
      <c r="A16" s="386" t="s">
        <v>26</v>
      </c>
      <c r="B16" s="14">
        <f>540+350</f>
        <v>890</v>
      </c>
      <c r="C16" s="675">
        <v>540</v>
      </c>
      <c r="D16" s="557">
        <f>528</f>
        <v>528</v>
      </c>
      <c r="E16" s="286">
        <v>0</v>
      </c>
      <c r="F16" s="13"/>
      <c r="G16" s="13"/>
      <c r="H16" s="13"/>
      <c r="I16" s="13"/>
      <c r="J16" s="13"/>
      <c r="K16" s="28"/>
      <c r="L16" s="36"/>
      <c r="M16" s="22"/>
      <c r="N16" s="278"/>
      <c r="O16" s="468">
        <f t="shared" si="2"/>
        <v>0.97777777777777775</v>
      </c>
      <c r="P16" s="79"/>
      <c r="Q16" s="79"/>
    </row>
    <row r="17" spans="1:17">
      <c r="A17" s="386" t="s">
        <v>27</v>
      </c>
      <c r="B17" s="391">
        <f>14801+21013+19343+20052+25339+15490+23521+25450+24091+25115+25902+30182</f>
        <v>270299</v>
      </c>
      <c r="C17" s="676">
        <v>165009</v>
      </c>
      <c r="D17" s="600">
        <f>29509+14652+23209+24242+23009+26529+25218+28150</f>
        <v>194518</v>
      </c>
      <c r="E17" s="286">
        <f t="shared" si="1"/>
        <v>28150</v>
      </c>
      <c r="F17" s="13"/>
      <c r="G17" s="13"/>
      <c r="H17" s="13">
        <v>14554</v>
      </c>
      <c r="I17" s="13">
        <v>13596</v>
      </c>
      <c r="J17" s="13"/>
      <c r="K17" s="22">
        <v>7602</v>
      </c>
      <c r="L17" s="22">
        <f>2249+1180</f>
        <v>3429</v>
      </c>
      <c r="M17" s="22"/>
      <c r="N17" s="278"/>
      <c r="O17" s="468">
        <f t="shared" si="2"/>
        <v>1.1788326697331661</v>
      </c>
      <c r="P17" s="555"/>
      <c r="Q17" s="82"/>
    </row>
    <row r="18" spans="1:17" ht="15" thickBot="1">
      <c r="A18" s="953" t="s">
        <v>168</v>
      </c>
      <c r="B18" s="954">
        <v>67816</v>
      </c>
      <c r="C18" s="955">
        <v>21454</v>
      </c>
      <c r="D18" s="877">
        <f>63204+12868+13056+12239</f>
        <v>101367</v>
      </c>
      <c r="E18" s="952">
        <v>12239</v>
      </c>
      <c r="F18" s="202"/>
      <c r="G18" s="202"/>
      <c r="H18" s="202"/>
      <c r="I18" s="202"/>
      <c r="J18" s="202"/>
      <c r="K18" s="203"/>
      <c r="L18" s="203"/>
      <c r="M18" s="203"/>
      <c r="N18" s="283"/>
      <c r="O18" s="469">
        <f t="shared" si="2"/>
        <v>4.7248531742332434</v>
      </c>
      <c r="P18" s="79"/>
      <c r="Q18" s="82"/>
    </row>
    <row r="19" spans="1:17" ht="15.6">
      <c r="A19" s="679" t="s">
        <v>29</v>
      </c>
      <c r="B19" s="710">
        <v>633659</v>
      </c>
      <c r="C19" s="728">
        <v>415433</v>
      </c>
      <c r="D19" s="713">
        <v>450966</v>
      </c>
      <c r="E19" s="714">
        <v>60953</v>
      </c>
      <c r="F19" s="715"/>
      <c r="G19" s="715"/>
      <c r="H19" s="715"/>
      <c r="I19" s="715"/>
      <c r="J19" s="715"/>
      <c r="K19" s="194"/>
      <c r="L19" s="194"/>
      <c r="M19" s="194"/>
      <c r="N19" s="284"/>
      <c r="O19" s="608"/>
      <c r="P19" s="79"/>
      <c r="Q19" s="499"/>
    </row>
    <row r="20" spans="1:17" ht="15.6">
      <c r="A20" s="386" t="s">
        <v>134</v>
      </c>
      <c r="B20" s="701">
        <v>255481</v>
      </c>
      <c r="C20" s="702">
        <v>172607</v>
      </c>
      <c r="D20" s="716">
        <v>185932</v>
      </c>
      <c r="E20" s="717">
        <v>33731</v>
      </c>
      <c r="F20" s="708"/>
      <c r="G20" s="708"/>
      <c r="H20" s="708"/>
      <c r="I20" s="708"/>
      <c r="J20" s="708"/>
      <c r="K20" s="22"/>
      <c r="L20" s="22"/>
      <c r="M20" s="22"/>
      <c r="N20" s="278"/>
      <c r="O20" s="468"/>
      <c r="P20" s="82"/>
    </row>
    <row r="21" spans="1:17" ht="15.6">
      <c r="A21" s="386" t="s">
        <v>31</v>
      </c>
      <c r="B21" s="701">
        <v>92242</v>
      </c>
      <c r="C21" s="702">
        <v>80197</v>
      </c>
      <c r="D21" s="716">
        <v>68446</v>
      </c>
      <c r="E21" s="717">
        <v>13462</v>
      </c>
      <c r="F21" s="708"/>
      <c r="G21" s="708"/>
      <c r="H21" s="708"/>
      <c r="I21" s="708"/>
      <c r="J21" s="708"/>
      <c r="K21" s="22"/>
      <c r="L21" s="22"/>
      <c r="M21" s="22"/>
      <c r="N21" s="278"/>
      <c r="O21" s="468"/>
      <c r="P21" s="508"/>
    </row>
    <row r="22" spans="1:17" ht="15.6">
      <c r="A22" s="386" t="s">
        <v>32</v>
      </c>
      <c r="B22" s="701">
        <v>400078</v>
      </c>
      <c r="C22" s="702">
        <v>251716</v>
      </c>
      <c r="D22" s="716">
        <v>300953</v>
      </c>
      <c r="E22" s="717">
        <v>33325</v>
      </c>
      <c r="F22" s="708"/>
      <c r="G22" s="708"/>
      <c r="H22" s="708"/>
      <c r="I22" s="708"/>
      <c r="J22" s="708"/>
      <c r="K22" s="22"/>
      <c r="L22" s="22"/>
      <c r="M22" s="22"/>
      <c r="N22" s="278"/>
      <c r="O22" s="468"/>
      <c r="P22" s="508"/>
    </row>
    <row r="23" spans="1:17" ht="15.6">
      <c r="A23" s="386" t="s">
        <v>33</v>
      </c>
      <c r="B23" s="703">
        <v>171077</v>
      </c>
      <c r="C23" s="702">
        <v>110930</v>
      </c>
      <c r="D23" s="716">
        <v>123245</v>
      </c>
      <c r="E23" s="717">
        <v>14229</v>
      </c>
      <c r="F23" s="708"/>
      <c r="G23" s="708"/>
      <c r="H23" s="708"/>
      <c r="I23" s="708"/>
      <c r="J23" s="708"/>
      <c r="K23" s="22"/>
      <c r="L23" s="22"/>
      <c r="M23" s="22"/>
      <c r="N23" s="278"/>
      <c r="O23" s="468"/>
      <c r="P23" s="508"/>
    </row>
    <row r="24" spans="1:17" ht="15.6">
      <c r="A24" s="386" t="s">
        <v>34</v>
      </c>
      <c r="B24" s="703">
        <v>270677</v>
      </c>
      <c r="C24" s="704">
        <v>206371</v>
      </c>
      <c r="D24" s="716">
        <v>137928</v>
      </c>
      <c r="E24" s="717">
        <v>18552</v>
      </c>
      <c r="F24" s="708"/>
      <c r="G24" s="708"/>
      <c r="H24" s="718"/>
      <c r="I24" s="708"/>
      <c r="J24" s="708"/>
      <c r="K24" s="22"/>
      <c r="L24" s="22"/>
      <c r="M24" s="22"/>
      <c r="N24" s="278"/>
      <c r="O24" s="468"/>
      <c r="P24" s="508"/>
    </row>
    <row r="25" spans="1:17" ht="15.6">
      <c r="A25" s="680" t="s">
        <v>135</v>
      </c>
      <c r="B25" s="705"/>
      <c r="C25" s="706"/>
      <c r="D25" s="732">
        <v>89439</v>
      </c>
      <c r="E25" s="734">
        <v>17252</v>
      </c>
      <c r="F25" s="719"/>
      <c r="G25" s="719"/>
      <c r="H25" s="719"/>
      <c r="I25" s="719"/>
      <c r="J25" s="719"/>
      <c r="K25" s="28"/>
      <c r="L25" s="28"/>
      <c r="M25" s="28"/>
      <c r="N25" s="277"/>
      <c r="O25" s="468"/>
      <c r="P25" s="508"/>
    </row>
    <row r="26" spans="1:17" ht="15.6">
      <c r="A26" s="26"/>
      <c r="B26" s="730">
        <f t="shared" ref="B26" si="3">SUM(B19:B25)</f>
        <v>1823214</v>
      </c>
      <c r="C26" s="712">
        <v>1237254</v>
      </c>
      <c r="D26" s="731">
        <f>SUM(D19:D25)</f>
        <v>1356909</v>
      </c>
      <c r="E26" s="733">
        <f>SUM(E19:E25)</f>
        <v>191504</v>
      </c>
      <c r="F26" s="719"/>
      <c r="G26" s="719"/>
      <c r="H26" s="719"/>
      <c r="I26" s="719"/>
      <c r="J26" s="719"/>
      <c r="K26" s="28"/>
      <c r="L26" s="28"/>
      <c r="M26" s="28"/>
      <c r="N26" s="277"/>
      <c r="O26" s="468"/>
      <c r="P26" s="508"/>
    </row>
    <row r="27" spans="1:17">
      <c r="A27" s="26"/>
      <c r="B27" s="664"/>
      <c r="C27" s="22"/>
      <c r="D27" s="720"/>
      <c r="E27" s="721"/>
      <c r="F27" s="719"/>
      <c r="G27" s="719"/>
      <c r="H27" s="719"/>
      <c r="I27" s="719"/>
      <c r="J27" s="719"/>
      <c r="K27" s="28"/>
      <c r="L27" s="28"/>
      <c r="M27" s="28"/>
      <c r="N27" s="277"/>
      <c r="O27" s="468"/>
      <c r="P27" s="508"/>
    </row>
    <row r="28" spans="1:17">
      <c r="A28" s="683" t="s">
        <v>35</v>
      </c>
      <c r="B28" s="7">
        <f>SUM(B29:B32)</f>
        <v>860026</v>
      </c>
      <c r="C28" s="709">
        <v>550927</v>
      </c>
      <c r="D28" s="556">
        <f>SUM(D29:D32)</f>
        <v>643020</v>
      </c>
      <c r="E28" s="274">
        <f t="shared" ref="E28:L28" si="4">SUM(E29:E32)</f>
        <v>83903</v>
      </c>
      <c r="F28" s="13">
        <f t="shared" si="4"/>
        <v>34700</v>
      </c>
      <c r="G28" s="13">
        <f t="shared" si="4"/>
        <v>29853</v>
      </c>
      <c r="H28" s="13">
        <f t="shared" si="4"/>
        <v>9607</v>
      </c>
      <c r="I28" s="13">
        <f t="shared" si="4"/>
        <v>9743</v>
      </c>
      <c r="J28" s="13">
        <f t="shared" si="4"/>
        <v>0</v>
      </c>
      <c r="K28" s="684">
        <f t="shared" si="4"/>
        <v>16360</v>
      </c>
      <c r="L28" s="684">
        <f t="shared" si="4"/>
        <v>13497</v>
      </c>
      <c r="M28" s="684">
        <v>0</v>
      </c>
      <c r="N28" s="685">
        <f>SUM(N29:N32)</f>
        <v>0</v>
      </c>
      <c r="O28" s="468">
        <f t="shared" si="2"/>
        <v>1.1671600774694288</v>
      </c>
      <c r="P28" s="513"/>
    </row>
    <row r="29" spans="1:17">
      <c r="A29" s="386" t="s">
        <v>36</v>
      </c>
      <c r="B29" s="389">
        <f>30481+3346</f>
        <v>33827</v>
      </c>
      <c r="C29" s="22">
        <v>21603</v>
      </c>
      <c r="D29" s="582">
        <f>4188+2189+2953+3363+3389+2628+3750+3460</f>
        <v>25920</v>
      </c>
      <c r="E29" s="286">
        <f t="shared" ref="E29:E30" si="5">SUM(F29:J29)</f>
        <v>3460</v>
      </c>
      <c r="F29" s="13"/>
      <c r="G29" s="13"/>
      <c r="H29" s="13">
        <v>1769</v>
      </c>
      <c r="I29" s="13">
        <v>1691</v>
      </c>
      <c r="J29" s="12"/>
      <c r="K29" s="22">
        <f>721+798</f>
        <v>1519</v>
      </c>
      <c r="L29" s="22">
        <f>212+2</f>
        <v>214</v>
      </c>
      <c r="M29" s="22"/>
      <c r="N29" s="278"/>
      <c r="O29" s="468">
        <f t="shared" si="2"/>
        <v>1.1998333564782668</v>
      </c>
      <c r="P29" s="513"/>
    </row>
    <row r="30" spans="1:17">
      <c r="A30" s="31" t="s">
        <v>37</v>
      </c>
      <c r="B30" s="389">
        <v>675254</v>
      </c>
      <c r="C30" s="684">
        <v>429974</v>
      </c>
      <c r="D30" s="582">
        <f>64505+48073+62185+62452+59765+64280+67096+71165</f>
        <v>499521</v>
      </c>
      <c r="E30" s="286">
        <f t="shared" si="5"/>
        <v>71165</v>
      </c>
      <c r="F30" s="33">
        <v>30665</v>
      </c>
      <c r="G30" s="33">
        <v>25526</v>
      </c>
      <c r="H30" s="33">
        <v>7169</v>
      </c>
      <c r="I30" s="33">
        <v>7805</v>
      </c>
      <c r="J30" s="41"/>
      <c r="K30" s="87">
        <v>13821</v>
      </c>
      <c r="L30" s="87">
        <f>2599+2940+1583+5557</f>
        <v>12679</v>
      </c>
      <c r="M30" s="81"/>
      <c r="N30" s="674"/>
      <c r="O30" s="468">
        <f t="shared" si="2"/>
        <v>1.1617469893528445</v>
      </c>
    </row>
    <row r="31" spans="1:17">
      <c r="A31" s="31" t="s">
        <v>38</v>
      </c>
      <c r="B31" s="392">
        <f>120488+12239+18218</f>
        <v>150945</v>
      </c>
      <c r="C31" s="87">
        <v>99350</v>
      </c>
      <c r="D31" s="602">
        <f>22490+11900+19473+16591+12914+13370+11563+9278</f>
        <v>117579</v>
      </c>
      <c r="E31" s="286">
        <f>SUM(F31:J31)</f>
        <v>9278</v>
      </c>
      <c r="F31" s="33">
        <v>4035</v>
      </c>
      <c r="G31" s="33">
        <v>4327</v>
      </c>
      <c r="H31" s="33">
        <v>669</v>
      </c>
      <c r="I31" s="33">
        <v>247</v>
      </c>
      <c r="J31" s="12"/>
      <c r="K31" s="87">
        <f>247+602+108+63</f>
        <v>1020</v>
      </c>
      <c r="L31" s="87">
        <f>514+13+67+10</f>
        <v>604</v>
      </c>
      <c r="M31" s="22"/>
      <c r="N31" s="278"/>
      <c r="O31" s="468">
        <f t="shared" si="2"/>
        <v>1.1834826371414193</v>
      </c>
    </row>
    <row r="32" spans="1:17">
      <c r="A32" s="31" t="s">
        <v>39</v>
      </c>
      <c r="B32" s="14">
        <v>0</v>
      </c>
      <c r="C32" s="675"/>
      <c r="D32" s="557"/>
      <c r="E32" s="286"/>
      <c r="F32" s="13"/>
      <c r="G32" s="13"/>
      <c r="H32" s="13"/>
      <c r="I32" s="13"/>
      <c r="J32" s="13"/>
      <c r="K32" s="22"/>
      <c r="L32" s="22"/>
      <c r="M32" s="22"/>
      <c r="N32" s="278"/>
      <c r="O32" s="468"/>
    </row>
    <row r="33" spans="1:15">
      <c r="A33" s="31"/>
      <c r="B33" s="387"/>
      <c r="C33" s="675"/>
      <c r="D33" s="19"/>
      <c r="E33" s="287"/>
      <c r="F33" s="36"/>
      <c r="G33" s="36"/>
      <c r="H33" s="36"/>
      <c r="I33" s="36"/>
      <c r="J33" s="36"/>
      <c r="K33" s="36"/>
      <c r="L33" s="36"/>
      <c r="M33" s="36"/>
      <c r="N33" s="288"/>
      <c r="O33" s="468"/>
    </row>
    <row r="34" spans="1:15">
      <c r="A34" s="683" t="s">
        <v>40</v>
      </c>
      <c r="B34" s="7">
        <f>SUM(B35:B45)</f>
        <v>8314054</v>
      </c>
      <c r="C34" s="709">
        <v>5417362</v>
      </c>
      <c r="D34" s="556">
        <f>SUM(D35:D45)</f>
        <v>6001506</v>
      </c>
      <c r="E34" s="274">
        <f t="shared" ref="E34:N34" si="6">SUM(E35:E45)</f>
        <v>797220</v>
      </c>
      <c r="F34" s="13">
        <f t="shared" si="6"/>
        <v>314241</v>
      </c>
      <c r="G34" s="13">
        <f t="shared" si="6"/>
        <v>243423</v>
      </c>
      <c r="H34" s="13">
        <f t="shared" si="6"/>
        <v>98214</v>
      </c>
      <c r="I34" s="13">
        <f t="shared" si="6"/>
        <v>138574</v>
      </c>
      <c r="J34" s="13">
        <f t="shared" si="6"/>
        <v>2768</v>
      </c>
      <c r="K34" s="684">
        <f t="shared" si="6"/>
        <v>171716</v>
      </c>
      <c r="L34" s="684">
        <f t="shared" si="6"/>
        <v>50370</v>
      </c>
      <c r="M34" s="684">
        <f t="shared" si="6"/>
        <v>487</v>
      </c>
      <c r="N34" s="685">
        <f t="shared" si="6"/>
        <v>66920</v>
      </c>
      <c r="O34" s="468">
        <f t="shared" si="2"/>
        <v>1.1078281274169974</v>
      </c>
    </row>
    <row r="35" spans="1:15">
      <c r="A35" s="386" t="s">
        <v>41</v>
      </c>
      <c r="B35" s="14">
        <f>439746+58130+61049</f>
        <v>558925</v>
      </c>
      <c r="C35" s="675">
        <v>345561</v>
      </c>
      <c r="D35" s="557">
        <f>176793+71526+59980+65204+71423+79211</f>
        <v>524137</v>
      </c>
      <c r="E35" s="286">
        <f t="shared" ref="E35:E41" si="7">SUM(F35:J35)</f>
        <v>79211</v>
      </c>
      <c r="F35" s="13"/>
      <c r="G35" s="13"/>
      <c r="H35" s="13">
        <v>20931</v>
      </c>
      <c r="I35" s="13">
        <v>58280</v>
      </c>
      <c r="J35" s="13"/>
      <c r="K35" s="88">
        <v>1925</v>
      </c>
      <c r="L35" s="88">
        <f>16893+4</f>
        <v>16897</v>
      </c>
      <c r="M35" s="88"/>
      <c r="N35" s="289"/>
      <c r="O35" s="468">
        <f t="shared" si="2"/>
        <v>1.516771279166341</v>
      </c>
    </row>
    <row r="36" spans="1:15">
      <c r="A36" s="386" t="s">
        <v>42</v>
      </c>
      <c r="B36" s="14">
        <f>506252+63971</f>
        <v>570223</v>
      </c>
      <c r="C36" s="675">
        <v>350561</v>
      </c>
      <c r="D36" s="557">
        <f>315296+56739+61665</f>
        <v>433700</v>
      </c>
      <c r="E36" s="286">
        <f t="shared" si="7"/>
        <v>61665</v>
      </c>
      <c r="F36" s="12"/>
      <c r="G36" s="12"/>
      <c r="H36" s="13">
        <v>10759</v>
      </c>
      <c r="I36" s="13">
        <v>50906</v>
      </c>
      <c r="J36" s="13"/>
      <c r="K36" s="88">
        <v>1489</v>
      </c>
      <c r="L36" s="88">
        <f>10548+6</f>
        <v>10554</v>
      </c>
      <c r="M36" s="88"/>
      <c r="N36" s="289">
        <v>61665</v>
      </c>
      <c r="O36" s="468">
        <f t="shared" si="2"/>
        <v>1.2371598666137991</v>
      </c>
    </row>
    <row r="37" spans="1:15" ht="15.6">
      <c r="A37" s="388" t="s">
        <v>43</v>
      </c>
      <c r="B37" s="686">
        <f>42017+51282+45948+47390+55304+49234+45680+47437+43911+34616+30188+41910</f>
        <v>534917</v>
      </c>
      <c r="C37" s="687">
        <v>384227</v>
      </c>
      <c r="D37" s="688">
        <f>43919+38655+49389+49920+41452+46211+54147+61115</f>
        <v>384808</v>
      </c>
      <c r="E37" s="689">
        <f t="shared" si="7"/>
        <v>61115</v>
      </c>
      <c r="F37" s="677">
        <v>25426</v>
      </c>
      <c r="G37" s="677">
        <v>21614</v>
      </c>
      <c r="H37" s="677">
        <v>5869</v>
      </c>
      <c r="I37" s="678">
        <v>5438</v>
      </c>
      <c r="J37" s="677">
        <v>2768</v>
      </c>
      <c r="K37" s="88">
        <f>3519+5347+1433+831+34</f>
        <v>11164</v>
      </c>
      <c r="L37" s="88">
        <f>1339+51+132+425</f>
        <v>1947</v>
      </c>
      <c r="M37" s="88"/>
      <c r="N37" s="289">
        <v>4251</v>
      </c>
      <c r="O37" s="468">
        <f t="shared" si="2"/>
        <v>1.0015121269457898</v>
      </c>
    </row>
    <row r="38" spans="1:15">
      <c r="A38" s="31" t="s">
        <v>44</v>
      </c>
      <c r="B38" s="393">
        <f>154869+18461+17185+18184+22072</f>
        <v>230771</v>
      </c>
      <c r="C38" s="690">
        <v>154869</v>
      </c>
      <c r="D38" s="636">
        <f>20214+11681+23581+25619+22301+21824+20127+19528</f>
        <v>164875</v>
      </c>
      <c r="E38" s="598">
        <f t="shared" si="7"/>
        <v>19528</v>
      </c>
      <c r="F38" s="13"/>
      <c r="G38" s="13"/>
      <c r="H38" s="13">
        <v>9355</v>
      </c>
      <c r="I38" s="13">
        <v>10173</v>
      </c>
      <c r="J38" s="89"/>
      <c r="K38" s="90">
        <f>2585+2410</f>
        <v>4995</v>
      </c>
      <c r="L38" s="88">
        <f>218+609</f>
        <v>827</v>
      </c>
      <c r="M38" s="88">
        <v>287</v>
      </c>
      <c r="N38" s="289"/>
      <c r="O38" s="468">
        <f t="shared" si="2"/>
        <v>1.0646094441108291</v>
      </c>
    </row>
    <row r="39" spans="1:15">
      <c r="A39" s="31" t="s">
        <v>45</v>
      </c>
      <c r="B39" s="394">
        <f>50925+32855+32535+28886+28236+30552+33558+32390+29858+33841+31383</f>
        <v>365019</v>
      </c>
      <c r="C39" s="691">
        <v>237547</v>
      </c>
      <c r="D39" s="603">
        <f>36191+20920+29070+23929+27875+30427+28473+27605</f>
        <v>224490</v>
      </c>
      <c r="E39" s="286">
        <f>SUM(H39:J39)</f>
        <v>27605</v>
      </c>
      <c r="F39" s="722"/>
      <c r="G39" s="722"/>
      <c r="H39" s="13">
        <v>13828</v>
      </c>
      <c r="I39" s="13">
        <v>13777</v>
      </c>
      <c r="J39" s="12"/>
      <c r="K39" s="22">
        <v>8889</v>
      </c>
      <c r="L39" s="22">
        <f>1563+1252</f>
        <v>2815</v>
      </c>
      <c r="M39" s="22">
        <v>200</v>
      </c>
      <c r="N39" s="278"/>
      <c r="O39" s="468">
        <f t="shared" si="2"/>
        <v>0.94503403536984265</v>
      </c>
    </row>
    <row r="40" spans="1:15">
      <c r="A40" s="31" t="s">
        <v>46</v>
      </c>
      <c r="B40" s="394">
        <f>5696+3958+5815+9110+7468+13154+12856+16704+16494+13524+11707+13991</f>
        <v>130477</v>
      </c>
      <c r="C40" s="691">
        <v>89857</v>
      </c>
      <c r="D40" s="603">
        <f>12008+9467+14763+14113+14691+14606+10209+8082</f>
        <v>97939</v>
      </c>
      <c r="E40" s="286">
        <f>SUM(F40:J40)</f>
        <v>8082</v>
      </c>
      <c r="F40" s="13">
        <v>1525</v>
      </c>
      <c r="G40" s="13">
        <v>6557</v>
      </c>
      <c r="H40" s="13"/>
      <c r="I40" s="13"/>
      <c r="J40" s="13">
        <v>0</v>
      </c>
      <c r="K40" s="22">
        <f>693+1138</f>
        <v>1831</v>
      </c>
      <c r="L40" s="22">
        <f>50+979</f>
        <v>1029</v>
      </c>
      <c r="M40" s="88"/>
      <c r="N40" s="289"/>
      <c r="O40" s="468">
        <f t="shared" si="2"/>
        <v>1.0899429092892039</v>
      </c>
    </row>
    <row r="41" spans="1:15">
      <c r="A41" s="31" t="s">
        <v>47</v>
      </c>
      <c r="B41" s="394">
        <f>372397+393542+480876+438506+433683+444706+469051+460647+432596+460939+470477+474708</f>
        <v>5332128</v>
      </c>
      <c r="C41" s="691">
        <v>3493408</v>
      </c>
      <c r="D41" s="603">
        <f>492323+373517+489518+501319+498148+483300+509517+496996</f>
        <v>3844638</v>
      </c>
      <c r="E41" s="286">
        <f t="shared" si="7"/>
        <v>496996</v>
      </c>
      <c r="F41" s="13">
        <v>282492</v>
      </c>
      <c r="G41" s="13">
        <v>214504</v>
      </c>
      <c r="H41" s="13"/>
      <c r="I41" s="12"/>
      <c r="J41" s="13"/>
      <c r="K41" s="87">
        <f>78189+62797</f>
        <v>140986</v>
      </c>
      <c r="L41" s="87">
        <f>3835+12153</f>
        <v>15988</v>
      </c>
      <c r="M41" s="88"/>
      <c r="N41" s="289"/>
      <c r="O41" s="468">
        <f t="shared" si="2"/>
        <v>1.1005407899678481</v>
      </c>
    </row>
    <row r="42" spans="1:15">
      <c r="A42" s="31" t="s">
        <v>48</v>
      </c>
      <c r="B42" s="394">
        <f>32440+39588+48102+43548+41412+40968+51704+51435+55440+57617+45700+41689</f>
        <v>549643</v>
      </c>
      <c r="C42" s="691">
        <v>349197</v>
      </c>
      <c r="D42" s="603">
        <f>41444+27037+39698+37856+42480+38521+41958+41846</f>
        <v>310840</v>
      </c>
      <c r="E42" s="286">
        <f>SUM(F42:J42)</f>
        <v>41846</v>
      </c>
      <c r="F42" s="1035">
        <v>4374</v>
      </c>
      <c r="G42" s="1035"/>
      <c r="H42" s="1035">
        <v>37472</v>
      </c>
      <c r="I42" s="1035"/>
      <c r="J42" s="13"/>
      <c r="K42" s="88"/>
      <c r="L42" s="88"/>
      <c r="M42" s="88"/>
      <c r="N42" s="289"/>
      <c r="O42" s="468">
        <f t="shared" si="2"/>
        <v>0.89015655919151648</v>
      </c>
    </row>
    <row r="43" spans="1:15">
      <c r="A43" s="31" t="s">
        <v>49</v>
      </c>
      <c r="B43" s="389">
        <f>SUM(D43:G43)</f>
        <v>0</v>
      </c>
      <c r="C43" s="22">
        <v>0</v>
      </c>
      <c r="D43" s="582"/>
      <c r="E43" s="286"/>
      <c r="F43" s="13"/>
      <c r="G43" s="13"/>
      <c r="H43" s="13"/>
      <c r="I43" s="13"/>
      <c r="J43" s="13"/>
      <c r="K43" s="88"/>
      <c r="L43" s="88"/>
      <c r="M43" s="88"/>
      <c r="N43" s="289"/>
      <c r="O43" s="468"/>
    </row>
    <row r="44" spans="1:15">
      <c r="A44" s="31" t="s">
        <v>50</v>
      </c>
      <c r="B44" s="395">
        <f>2388+2166+2181+2143+2735+2159+2232+3124+2401+2891+2264+3229</f>
        <v>29913</v>
      </c>
      <c r="C44" s="692">
        <v>19128</v>
      </c>
      <c r="D44" s="604">
        <f>1591+185+300+228+282+250+254+222</f>
        <v>3312</v>
      </c>
      <c r="E44" s="286">
        <f>SUM(F44:J44)</f>
        <v>222</v>
      </c>
      <c r="F44" s="13">
        <v>99</v>
      </c>
      <c r="G44" s="13">
        <v>123</v>
      </c>
      <c r="H44" s="13">
        <v>0</v>
      </c>
      <c r="I44" s="13">
        <v>0</v>
      </c>
      <c r="J44" s="13"/>
      <c r="K44" s="88">
        <f>123</f>
        <v>123</v>
      </c>
      <c r="L44" s="88">
        <f>99+0</f>
        <v>99</v>
      </c>
      <c r="M44" s="88"/>
      <c r="N44" s="289">
        <v>54</v>
      </c>
      <c r="O44" s="468">
        <f t="shared" si="2"/>
        <v>0.17314930991217065</v>
      </c>
    </row>
    <row r="45" spans="1:15">
      <c r="A45" s="31" t="s">
        <v>51</v>
      </c>
      <c r="B45" s="395">
        <v>12038</v>
      </c>
      <c r="C45" s="36">
        <v>8372</v>
      </c>
      <c r="D45" s="604">
        <f>5554+2707+1759+1797+950</f>
        <v>12767</v>
      </c>
      <c r="E45" s="286">
        <f>SUM(F45:F45:J45)</f>
        <v>950</v>
      </c>
      <c r="F45" s="13">
        <v>325</v>
      </c>
      <c r="G45" s="13">
        <v>625</v>
      </c>
      <c r="H45" s="13"/>
      <c r="I45" s="13"/>
      <c r="J45" s="91"/>
      <c r="K45" s="90">
        <v>314</v>
      </c>
      <c r="L45" s="88">
        <f>212+2</f>
        <v>214</v>
      </c>
      <c r="M45" s="88"/>
      <c r="N45" s="289">
        <v>950</v>
      </c>
      <c r="O45" s="468">
        <f t="shared" si="2"/>
        <v>1.5249641662685141</v>
      </c>
    </row>
    <row r="46" spans="1:15" ht="17.100000000000001" customHeight="1">
      <c r="A46" s="31"/>
      <c r="B46" s="419"/>
      <c r="C46" s="36"/>
      <c r="D46" s="558"/>
      <c r="E46" s="294"/>
      <c r="F46" s="44"/>
      <c r="G46" s="44"/>
      <c r="H46" s="44"/>
      <c r="I46" s="44"/>
      <c r="J46" s="44"/>
      <c r="K46" s="44"/>
      <c r="L46" s="44"/>
      <c r="M46" s="44"/>
      <c r="N46" s="295"/>
      <c r="O46" s="468"/>
    </row>
    <row r="47" spans="1:15">
      <c r="A47" s="683" t="s">
        <v>52</v>
      </c>
      <c r="B47" s="928">
        <f>SUM(B48:B55)</f>
        <v>4797590</v>
      </c>
      <c r="C47" s="928">
        <f>SUM(C48:C55)</f>
        <v>3053260</v>
      </c>
      <c r="D47" s="949">
        <f>SUM(D48:D55)</f>
        <v>4150043</v>
      </c>
      <c r="E47" s="500">
        <f>SUM(E48:E54)</f>
        <v>622936</v>
      </c>
      <c r="F47" s="673">
        <f>SUM(F48:F55)</f>
        <v>262544</v>
      </c>
      <c r="G47" s="673">
        <f t="shared" ref="G47:N47" si="8">SUM(G48:G55)</f>
        <v>292819</v>
      </c>
      <c r="H47" s="13">
        <f t="shared" si="8"/>
        <v>6323</v>
      </c>
      <c r="I47" s="13">
        <f t="shared" si="8"/>
        <v>4207</v>
      </c>
      <c r="J47" s="13">
        <f t="shared" si="8"/>
        <v>57043</v>
      </c>
      <c r="K47" s="684">
        <f t="shared" si="8"/>
        <v>27627</v>
      </c>
      <c r="L47" s="684">
        <f t="shared" si="8"/>
        <v>53506</v>
      </c>
      <c r="M47" s="684">
        <f t="shared" si="8"/>
        <v>1324</v>
      </c>
      <c r="N47" s="685">
        <f t="shared" si="8"/>
        <v>71478</v>
      </c>
      <c r="O47" s="468">
        <f t="shared" si="2"/>
        <v>1.3592170335968767</v>
      </c>
    </row>
    <row r="48" spans="1:15">
      <c r="A48" s="31" t="s">
        <v>53</v>
      </c>
      <c r="B48" s="14"/>
      <c r="C48" s="675"/>
      <c r="D48" s="557"/>
      <c r="E48" s="286"/>
      <c r="F48" s="13"/>
      <c r="G48" s="13"/>
      <c r="H48" s="13"/>
      <c r="I48" s="13"/>
      <c r="J48" s="13"/>
      <c r="K48" s="36"/>
      <c r="L48" s="36"/>
      <c r="M48" s="36"/>
      <c r="N48" s="288"/>
      <c r="O48" s="468"/>
    </row>
    <row r="49" spans="1:17">
      <c r="A49" s="1075" t="s">
        <v>54</v>
      </c>
      <c r="B49" s="1057">
        <f>127394+89400+147995+127434+174236+176428+189135+187087+174544+192913+163797+135579</f>
        <v>1885942</v>
      </c>
      <c r="C49" s="1107">
        <v>1219109</v>
      </c>
      <c r="D49" s="1103">
        <f>152617+131920+130997+153389+149066+196349+174625+189556</f>
        <v>1278519</v>
      </c>
      <c r="E49" s="1019">
        <f t="shared" ref="E49:E53" si="9">SUM(F49:J49)</f>
        <v>189556</v>
      </c>
      <c r="F49" s="1016">
        <v>83005</v>
      </c>
      <c r="G49" s="1016">
        <v>83571</v>
      </c>
      <c r="H49" s="1016">
        <v>6323</v>
      </c>
      <c r="I49" s="1016">
        <v>4207</v>
      </c>
      <c r="J49" s="1016">
        <v>12450</v>
      </c>
      <c r="K49" s="1017">
        <f>1382+3338+792</f>
        <v>5512</v>
      </c>
      <c r="L49" s="1017">
        <f>2192+421+446</f>
        <v>3059</v>
      </c>
      <c r="M49" s="1017"/>
      <c r="N49" s="1018"/>
      <c r="O49" s="468">
        <f t="shared" si="2"/>
        <v>1.0487323118769527</v>
      </c>
      <c r="P49" s="1015"/>
    </row>
    <row r="50" spans="1:17">
      <c r="A50" s="1076"/>
      <c r="B50" s="1058"/>
      <c r="C50" s="1107"/>
      <c r="D50" s="1104"/>
      <c r="E50" s="1020"/>
      <c r="F50" s="1016"/>
      <c r="G50" s="1016"/>
      <c r="H50" s="1016"/>
      <c r="I50" s="1016"/>
      <c r="J50" s="1016"/>
      <c r="K50" s="1017"/>
      <c r="L50" s="1017"/>
      <c r="M50" s="1017"/>
      <c r="N50" s="1018"/>
      <c r="O50" s="468"/>
      <c r="P50" s="1015"/>
    </row>
    <row r="51" spans="1:17">
      <c r="A51" s="31" t="s">
        <v>56</v>
      </c>
      <c r="B51" s="397">
        <f>47356+52560+79724+85499+66734+68133+73487+69407+60723+61109+72181+84025</f>
        <v>820938</v>
      </c>
      <c r="C51" s="36">
        <v>542900</v>
      </c>
      <c r="D51" s="637">
        <f>97537+55586+99611+80866+84077+87464+89817+110297</f>
        <v>705255</v>
      </c>
      <c r="E51" s="286">
        <f t="shared" si="9"/>
        <v>110297</v>
      </c>
      <c r="F51" s="45">
        <v>52766</v>
      </c>
      <c r="G51" s="33">
        <v>46331</v>
      </c>
      <c r="H51" s="46"/>
      <c r="I51" s="12"/>
      <c r="J51" s="33">
        <v>11200</v>
      </c>
      <c r="K51" s="87"/>
      <c r="L51" s="81"/>
      <c r="M51" s="36"/>
      <c r="N51" s="288"/>
      <c r="O51" s="468">
        <f t="shared" si="2"/>
        <v>1.2990513906796832</v>
      </c>
    </row>
    <row r="52" spans="1:17">
      <c r="A52" s="17" t="s">
        <v>57</v>
      </c>
      <c r="B52" s="395">
        <f>38855+42860+48337+46082+47751+44611+75076+55809+60576+63502+55882+64932</f>
        <v>644273</v>
      </c>
      <c r="C52" s="36">
        <v>399381</v>
      </c>
      <c r="D52" s="604">
        <f>59734+65037+69566+76869+85180+98871+84349+95878</f>
        <v>635484</v>
      </c>
      <c r="E52" s="286">
        <f t="shared" si="9"/>
        <v>95878</v>
      </c>
      <c r="F52" s="13">
        <v>34795</v>
      </c>
      <c r="G52" s="13">
        <v>42216</v>
      </c>
      <c r="H52" s="13"/>
      <c r="I52" s="92"/>
      <c r="J52" s="13">
        <v>18867</v>
      </c>
      <c r="K52" s="22">
        <v>13832</v>
      </c>
      <c r="L52" s="22">
        <f>26251+438+1318</f>
        <v>28007</v>
      </c>
      <c r="M52" s="36"/>
      <c r="N52" s="288"/>
      <c r="O52" s="468">
        <f t="shared" si="2"/>
        <v>1.5911723391949042</v>
      </c>
    </row>
    <row r="53" spans="1:17">
      <c r="A53" s="17" t="s">
        <v>58</v>
      </c>
      <c r="B53" s="395">
        <f>38927+25455+65397+44769+34250+34453+44944+60275+38990+46527+28707+33843</f>
        <v>496537</v>
      </c>
      <c r="C53" s="36">
        <v>348470</v>
      </c>
      <c r="D53" s="604">
        <f>47624+41548+39771+61527+61540+40461+59109+75205</f>
        <v>426785</v>
      </c>
      <c r="E53" s="286">
        <f t="shared" si="9"/>
        <v>75205</v>
      </c>
      <c r="F53" s="13">
        <v>22449</v>
      </c>
      <c r="G53" s="13">
        <v>38230</v>
      </c>
      <c r="H53" s="13"/>
      <c r="I53" s="13"/>
      <c r="J53" s="13">
        <v>14526</v>
      </c>
      <c r="K53" s="88">
        <v>8283</v>
      </c>
      <c r="L53" s="88">
        <f>17922+8+4510</f>
        <v>22440</v>
      </c>
      <c r="M53" s="88">
        <v>1324</v>
      </c>
      <c r="N53" s="289">
        <v>71478</v>
      </c>
      <c r="O53" s="468">
        <f t="shared" si="2"/>
        <v>1.2247395758601889</v>
      </c>
      <c r="P53" s="129"/>
    </row>
    <row r="54" spans="1:17">
      <c r="A54" s="47" t="s">
        <v>59</v>
      </c>
      <c r="B54" s="905">
        <v>949900</v>
      </c>
      <c r="C54" s="911">
        <v>543400</v>
      </c>
      <c r="D54" s="907">
        <v>1104000</v>
      </c>
      <c r="E54" s="598">
        <f>SUM(F54:G54)</f>
        <v>152000</v>
      </c>
      <c r="F54" s="908">
        <v>69529</v>
      </c>
      <c r="G54" s="909">
        <v>82471</v>
      </c>
      <c r="H54" s="642"/>
      <c r="I54" s="93"/>
      <c r="J54" s="94"/>
      <c r="K54" s="95"/>
      <c r="L54" s="95"/>
      <c r="M54" s="95"/>
      <c r="N54" s="296"/>
      <c r="O54" s="468">
        <f t="shared" si="2"/>
        <v>2.0316525579683473</v>
      </c>
      <c r="P54" s="640"/>
    </row>
    <row r="55" spans="1:17">
      <c r="A55" s="17" t="s">
        <v>60</v>
      </c>
      <c r="B55" s="382"/>
      <c r="C55" s="682"/>
      <c r="D55" s="583"/>
      <c r="E55" s="287"/>
      <c r="F55" s="51"/>
      <c r="G55" s="51"/>
      <c r="H55" s="52"/>
      <c r="I55" s="51"/>
      <c r="J55" s="51"/>
      <c r="K55" s="36"/>
      <c r="L55" s="36"/>
      <c r="M55" s="36"/>
      <c r="N55" s="288"/>
      <c r="O55" s="468"/>
      <c r="P55" s="129"/>
      <c r="Q55" s="641"/>
    </row>
    <row r="56" spans="1:17">
      <c r="A56" s="17"/>
      <c r="B56" s="382"/>
      <c r="C56" s="682"/>
      <c r="D56" s="583"/>
      <c r="E56" s="287"/>
      <c r="F56" s="51"/>
      <c r="G56" s="51"/>
      <c r="H56" s="52"/>
      <c r="I56" s="514"/>
      <c r="J56" s="51"/>
      <c r="K56" s="36"/>
      <c r="L56" s="36"/>
      <c r="M56" s="36"/>
      <c r="N56" s="288"/>
      <c r="O56" s="468"/>
      <c r="P56" s="129"/>
      <c r="Q56" s="641"/>
    </row>
    <row r="57" spans="1:17">
      <c r="A57" s="693" t="s">
        <v>61</v>
      </c>
      <c r="B57" s="694">
        <f>SUM(B58:B65)</f>
        <v>71421</v>
      </c>
      <c r="C57" s="723">
        <v>48833</v>
      </c>
      <c r="D57" s="560">
        <f>SUM(D58:D65)</f>
        <v>34899</v>
      </c>
      <c r="E57" s="298">
        <f t="shared" ref="E57:N57" si="10">SUM(E58:E65)</f>
        <v>4443</v>
      </c>
      <c r="F57" s="695">
        <f t="shared" si="10"/>
        <v>0</v>
      </c>
      <c r="G57" s="695">
        <f t="shared" si="10"/>
        <v>0</v>
      </c>
      <c r="H57" s="695">
        <f t="shared" si="10"/>
        <v>2454</v>
      </c>
      <c r="I57" s="695">
        <f t="shared" si="10"/>
        <v>1989</v>
      </c>
      <c r="J57" s="695">
        <f t="shared" si="10"/>
        <v>0</v>
      </c>
      <c r="K57" s="696">
        <f t="shared" si="10"/>
        <v>2957</v>
      </c>
      <c r="L57" s="696">
        <f t="shared" si="10"/>
        <v>1737</v>
      </c>
      <c r="M57" s="696">
        <f t="shared" si="10"/>
        <v>0</v>
      </c>
      <c r="N57" s="697">
        <f t="shared" si="10"/>
        <v>3454</v>
      </c>
      <c r="O57" s="468">
        <f t="shared" si="2"/>
        <v>0.71466016832879409</v>
      </c>
    </row>
    <row r="58" spans="1:17">
      <c r="A58" s="17" t="s">
        <v>62</v>
      </c>
      <c r="B58" s="395">
        <f>122+557+792+366+499+468+393+769+628+559+497+230</f>
        <v>5880</v>
      </c>
      <c r="C58" s="36">
        <v>3966</v>
      </c>
      <c r="D58" s="584">
        <f>335+74+675+1816+624+522+232+273</f>
        <v>4551</v>
      </c>
      <c r="E58" s="286">
        <f t="shared" ref="E58:E65" si="11">SUM(F58:J58)</f>
        <v>273</v>
      </c>
      <c r="F58" s="291"/>
      <c r="G58" s="13"/>
      <c r="H58" s="57">
        <v>116</v>
      </c>
      <c r="I58" s="13">
        <v>157</v>
      </c>
      <c r="J58" s="13"/>
      <c r="K58" s="36">
        <f>18+19</f>
        <v>37</v>
      </c>
      <c r="L58" s="36">
        <v>26</v>
      </c>
      <c r="M58" s="36"/>
      <c r="N58" s="288"/>
      <c r="O58" s="468">
        <f t="shared" si="2"/>
        <v>1.1475037821482603</v>
      </c>
    </row>
    <row r="59" spans="1:17">
      <c r="A59" s="17" t="s">
        <v>63</v>
      </c>
      <c r="B59" s="14"/>
      <c r="C59" s="675"/>
      <c r="D59" s="577"/>
      <c r="E59" s="286">
        <f t="shared" si="11"/>
        <v>0</v>
      </c>
      <c r="F59" s="58"/>
      <c r="G59" s="11"/>
      <c r="H59" s="13"/>
      <c r="I59" s="13"/>
      <c r="J59" s="13"/>
      <c r="K59" s="36"/>
      <c r="L59" s="36"/>
      <c r="M59" s="36"/>
      <c r="N59" s="288"/>
      <c r="O59" s="468"/>
    </row>
    <row r="60" spans="1:17">
      <c r="A60" s="17" t="s">
        <v>64</v>
      </c>
      <c r="B60" s="395">
        <f>774+884+1093+1806+989+1127+1587+1317+1182+1138+1729+1456</f>
        <v>15082</v>
      </c>
      <c r="C60" s="36">
        <v>9577</v>
      </c>
      <c r="D60" s="584">
        <f>1670+1062+1129+1350+1391+1439+1192+1252</f>
        <v>10485</v>
      </c>
      <c r="E60" s="286">
        <f t="shared" si="11"/>
        <v>1252</v>
      </c>
      <c r="F60" s="57"/>
      <c r="G60" s="11"/>
      <c r="H60" s="13">
        <v>661</v>
      </c>
      <c r="I60" s="13">
        <v>591</v>
      </c>
      <c r="J60" s="13"/>
      <c r="K60" s="36">
        <v>1114</v>
      </c>
      <c r="L60" s="36">
        <f>287+227</f>
        <v>514</v>
      </c>
      <c r="M60" s="36"/>
      <c r="N60" s="288">
        <v>1252</v>
      </c>
      <c r="O60" s="468">
        <f t="shared" si="2"/>
        <v>1.0948104834499321</v>
      </c>
    </row>
    <row r="61" spans="1:17">
      <c r="A61" s="17" t="s">
        <v>65</v>
      </c>
      <c r="B61" s="14">
        <f>19101+1605+2057+920+1082</f>
        <v>24765</v>
      </c>
      <c r="C61" s="675">
        <v>19101</v>
      </c>
      <c r="D61" s="577">
        <f>1089+517+1381+2546+1336+1503+1713+1785</f>
        <v>11870</v>
      </c>
      <c r="E61" s="286">
        <f t="shared" si="11"/>
        <v>1785</v>
      </c>
      <c r="F61" s="58"/>
      <c r="G61" s="11"/>
      <c r="H61" s="13">
        <v>885</v>
      </c>
      <c r="I61" s="13">
        <v>900</v>
      </c>
      <c r="J61" s="13"/>
      <c r="K61" s="22">
        <v>1415</v>
      </c>
      <c r="L61" s="22">
        <f>879+66</f>
        <v>945</v>
      </c>
      <c r="M61" s="36"/>
      <c r="N61" s="288">
        <v>1415</v>
      </c>
      <c r="O61" s="468">
        <f t="shared" si="2"/>
        <v>0.6214334328045652</v>
      </c>
    </row>
    <row r="62" spans="1:17">
      <c r="A62" s="398" t="s">
        <v>66</v>
      </c>
      <c r="B62" s="389">
        <f>SUM(D62:G62)</f>
        <v>0</v>
      </c>
      <c r="C62" s="22">
        <v>0</v>
      </c>
      <c r="D62" s="585"/>
      <c r="E62" s="286">
        <f t="shared" si="11"/>
        <v>0</v>
      </c>
      <c r="F62" s="476"/>
      <c r="G62" s="11"/>
      <c r="H62" s="13"/>
      <c r="I62" s="13"/>
      <c r="J62" s="13"/>
      <c r="K62" s="36"/>
      <c r="L62" s="36"/>
      <c r="M62" s="36"/>
      <c r="N62" s="288"/>
      <c r="O62" s="468"/>
    </row>
    <row r="63" spans="1:17">
      <c r="A63" s="17" t="s">
        <v>67</v>
      </c>
      <c r="B63" s="14">
        <v>19597</v>
      </c>
      <c r="C63" s="675">
        <v>12293</v>
      </c>
      <c r="D63" s="632">
        <f>949+632+800+680+378+254+120+150</f>
        <v>3963</v>
      </c>
      <c r="E63" s="286">
        <f t="shared" si="11"/>
        <v>150</v>
      </c>
      <c r="F63" s="58"/>
      <c r="G63" s="11"/>
      <c r="H63" s="13">
        <v>80</v>
      </c>
      <c r="I63" s="13">
        <v>70</v>
      </c>
      <c r="J63" s="13"/>
      <c r="K63" s="22">
        <v>150</v>
      </c>
      <c r="L63" s="22">
        <f>80</f>
        <v>80</v>
      </c>
      <c r="M63" s="36"/>
      <c r="N63" s="288">
        <v>150</v>
      </c>
      <c r="O63" s="468">
        <f t="shared" si="2"/>
        <v>0.32237858944114539</v>
      </c>
    </row>
    <row r="64" spans="1:17">
      <c r="A64" s="399" t="s">
        <v>68</v>
      </c>
      <c r="B64" s="390"/>
      <c r="C64" s="698"/>
      <c r="D64" s="586"/>
      <c r="E64" s="286">
        <f t="shared" si="11"/>
        <v>0</v>
      </c>
      <c r="F64" s="57"/>
      <c r="G64" s="62"/>
      <c r="H64" s="12"/>
      <c r="I64" s="12"/>
      <c r="J64" s="12"/>
      <c r="K64" s="28"/>
      <c r="L64" s="28"/>
      <c r="M64" s="28"/>
      <c r="N64" s="277"/>
      <c r="O64" s="468"/>
    </row>
    <row r="65" spans="1:17">
      <c r="A65" s="17" t="s">
        <v>69</v>
      </c>
      <c r="B65" s="395">
        <f>3284+527+85+247+741+628+585</f>
        <v>6097</v>
      </c>
      <c r="C65" s="36">
        <v>3896</v>
      </c>
      <c r="D65" s="584">
        <f>703+210+509+267+526+508+670+637</f>
        <v>4030</v>
      </c>
      <c r="E65" s="286">
        <f t="shared" si="11"/>
        <v>983</v>
      </c>
      <c r="F65" s="13"/>
      <c r="G65" s="13"/>
      <c r="H65" s="13">
        <v>712</v>
      </c>
      <c r="I65" s="13">
        <v>271</v>
      </c>
      <c r="J65" s="13"/>
      <c r="K65" s="22">
        <f>240+1</f>
        <v>241</v>
      </c>
      <c r="L65" s="22">
        <v>172</v>
      </c>
      <c r="M65" s="22"/>
      <c r="N65" s="278">
        <v>637</v>
      </c>
      <c r="O65" s="468">
        <f t="shared" si="2"/>
        <v>1.034394250513347</v>
      </c>
      <c r="Q65" s="499"/>
    </row>
    <row r="66" spans="1:17" ht="15" thickBot="1">
      <c r="A66" s="477"/>
      <c r="B66" s="222"/>
      <c r="C66" s="727"/>
      <c r="D66" s="561"/>
      <c r="E66" s="451"/>
      <c r="F66" s="66"/>
      <c r="G66" s="178"/>
      <c r="H66" s="66"/>
      <c r="I66" s="66"/>
      <c r="J66" s="66"/>
      <c r="K66" s="66"/>
      <c r="L66" s="66"/>
      <c r="M66" s="66"/>
      <c r="N66" s="301"/>
      <c r="O66" s="468"/>
    </row>
    <row r="67" spans="1:17" s="1" customFormat="1" ht="20.100000000000001" customHeight="1" thickBot="1">
      <c r="A67" s="707" t="s">
        <v>70</v>
      </c>
      <c r="B67" s="950">
        <f>B6+B28+B34+B47+B57</f>
        <v>18561273</v>
      </c>
      <c r="C67" s="950">
        <f>C6+C28+C34+C47+C57</f>
        <v>11919821</v>
      </c>
      <c r="D67" s="951">
        <f>D6+D28+D34+D47+D57</f>
        <v>14320076</v>
      </c>
      <c r="E67" s="951">
        <f>E6+E28+E34+E47+E57</f>
        <v>1985545</v>
      </c>
      <c r="F67" s="934">
        <f>F6+F28+F34+F47+F57</f>
        <v>818015</v>
      </c>
      <c r="G67" s="102">
        <f t="shared" ref="G67:N67" si="12">G6+G28+F34+G47+G57</f>
        <v>838936</v>
      </c>
      <c r="H67" s="102">
        <f t="shared" si="12"/>
        <v>291741</v>
      </c>
      <c r="I67" s="102">
        <f t="shared" si="12"/>
        <v>140470</v>
      </c>
      <c r="J67" s="102">
        <f t="shared" si="12"/>
        <v>195617</v>
      </c>
      <c r="K67" s="127">
        <f t="shared" si="12"/>
        <v>111541</v>
      </c>
      <c r="L67" s="127">
        <f t="shared" si="12"/>
        <v>274623</v>
      </c>
      <c r="M67" s="127">
        <f t="shared" si="12"/>
        <v>57963</v>
      </c>
      <c r="N67" s="302">
        <f t="shared" si="12"/>
        <v>75685</v>
      </c>
      <c r="O67" s="798">
        <f t="shared" si="2"/>
        <v>1.2013666983757558</v>
      </c>
    </row>
    <row r="68" spans="1:17" s="1" customFormat="1" ht="19.649999999999999" customHeight="1" thickBot="1">
      <c r="A68" s="735" t="s">
        <v>160</v>
      </c>
      <c r="B68" s="711">
        <f>B67+B26</f>
        <v>20384487</v>
      </c>
      <c r="C68" s="737">
        <f>C67+C26</f>
        <v>13157075</v>
      </c>
      <c r="D68" s="800">
        <f>D67+D26</f>
        <v>15676985</v>
      </c>
      <c r="E68" s="736">
        <f>E67+E26</f>
        <v>2177049</v>
      </c>
      <c r="F68" s="724"/>
      <c r="G68" s="724"/>
      <c r="H68" s="725"/>
      <c r="I68" s="725"/>
      <c r="J68" s="725"/>
      <c r="K68" s="725"/>
      <c r="L68" s="724"/>
      <c r="N68" s="724"/>
      <c r="O68" s="726"/>
    </row>
    <row r="69" spans="1:17">
      <c r="A69" s="3"/>
      <c r="B69" s="700"/>
      <c r="C69" s="700"/>
      <c r="D69" s="700"/>
      <c r="E69" s="700"/>
      <c r="F69" s="68"/>
      <c r="G69" s="68"/>
      <c r="H69" s="3"/>
      <c r="I69" s="3"/>
      <c r="J69" s="3"/>
      <c r="K69" s="3"/>
      <c r="L69" s="68"/>
      <c r="M69" s="68" t="s">
        <v>166</v>
      </c>
      <c r="N69" s="68"/>
      <c r="O69" s="3"/>
    </row>
    <row r="70" spans="1:17">
      <c r="B70" s="3"/>
      <c r="C70" s="3"/>
      <c r="D70" s="68"/>
      <c r="E70" s="3"/>
      <c r="F70" s="68"/>
      <c r="G70" s="3"/>
      <c r="H70" s="3"/>
      <c r="I70" s="3"/>
      <c r="J70" s="3"/>
      <c r="K70" s="3"/>
      <c r="L70" s="68"/>
      <c r="M70" s="68"/>
      <c r="N70" s="68"/>
      <c r="O70" s="3"/>
    </row>
    <row r="71" spans="1:17" ht="15" thickBot="1">
      <c r="B71" s="3"/>
      <c r="C71" s="3"/>
      <c r="D71" s="104" t="s">
        <v>71</v>
      </c>
      <c r="E71" s="104" t="s">
        <v>72</v>
      </c>
      <c r="F71" s="104" t="s">
        <v>73</v>
      </c>
      <c r="G71" s="104" t="s">
        <v>74</v>
      </c>
      <c r="H71" s="104" t="s">
        <v>75</v>
      </c>
      <c r="I71" s="104" t="s">
        <v>76</v>
      </c>
      <c r="J71" s="104" t="s">
        <v>77</v>
      </c>
      <c r="K71" s="104" t="s">
        <v>78</v>
      </c>
      <c r="L71" s="104" t="s">
        <v>79</v>
      </c>
      <c r="M71" s="104" t="s">
        <v>80</v>
      </c>
      <c r="N71" s="104" t="s">
        <v>81</v>
      </c>
      <c r="O71" s="104" t="s">
        <v>82</v>
      </c>
      <c r="P71" s="104" t="s">
        <v>83</v>
      </c>
    </row>
    <row r="72" spans="1:17" ht="15" thickBot="1">
      <c r="B72" s="105" t="s">
        <v>84</v>
      </c>
      <c r="C72" s="105"/>
      <c r="D72" s="106">
        <v>1845076</v>
      </c>
      <c r="E72" s="106">
        <v>1453853.1301010782</v>
      </c>
      <c r="F72" s="407">
        <v>1812571.4812098993</v>
      </c>
      <c r="G72" s="106">
        <v>1892251.3322744532</v>
      </c>
      <c r="H72" s="106">
        <v>1870176</v>
      </c>
      <c r="I72" s="129">
        <v>1911539</v>
      </c>
      <c r="J72" s="106">
        <v>1961723</v>
      </c>
      <c r="K72" s="758">
        <v>2042483</v>
      </c>
      <c r="L72" s="22"/>
      <c r="M72" s="131"/>
      <c r="N72" s="111"/>
      <c r="O72" s="131"/>
      <c r="P72" s="132">
        <f>SUM(D72:O72)</f>
        <v>14789672.943585431</v>
      </c>
    </row>
    <row r="73" spans="1:17">
      <c r="A73" s="3"/>
      <c r="B73" s="107" t="s">
        <v>85</v>
      </c>
      <c r="C73" s="107"/>
      <c r="D73" s="108"/>
      <c r="E73" s="109">
        <f>IF(D72&gt;0,E72/D72,0)*100</f>
        <v>78.796381834736252</v>
      </c>
      <c r="F73" s="109">
        <f>IF(E72&gt;0,F72/E72,0)*100</f>
        <v>124.67363062208914</v>
      </c>
      <c r="G73" s="109">
        <f>IF(F72&gt;0,G72/F72,0)*100</f>
        <v>104.39595634658045</v>
      </c>
      <c r="H73" s="109">
        <f>IF(G72&gt;0,H72/G72,0)*100</f>
        <v>98.833382653882495</v>
      </c>
      <c r="I73" s="109">
        <f>IF(H72&gt;0,I72/H72,0)*100</f>
        <v>102.21171697209246</v>
      </c>
      <c r="J73" s="109">
        <f>IF(H72&gt;0,J72/H72,0)*100</f>
        <v>104.89510078195849</v>
      </c>
      <c r="K73" s="109">
        <f>IF(J72&gt;0,K72/J72,0)*100</f>
        <v>104.11678916952087</v>
      </c>
      <c r="L73" s="109">
        <f>IF(K72&gt;0,L72/K72,0)*100</f>
        <v>0</v>
      </c>
      <c r="M73" s="109">
        <f>IF(L72&gt;0,M72/L72,0)*100</f>
        <v>0</v>
      </c>
      <c r="N73" s="109">
        <f>IF(M72&gt;0,N72/M72,0)*100</f>
        <v>0</v>
      </c>
      <c r="O73" s="109">
        <f>IF(N72&gt;0,O72/N72,0)*100</f>
        <v>0</v>
      </c>
      <c r="P73" s="109"/>
    </row>
    <row r="74" spans="1:17">
      <c r="A74" s="3"/>
      <c r="B74" s="110"/>
      <c r="C74" s="110"/>
      <c r="D74" s="110"/>
      <c r="E74" s="111"/>
      <c r="F74" s="110"/>
      <c r="G74" s="3"/>
      <c r="H74" s="3"/>
      <c r="I74" s="3"/>
      <c r="J74" s="3"/>
      <c r="K74" s="3"/>
      <c r="L74" s="3"/>
      <c r="M74" s="68"/>
      <c r="N74" s="68"/>
      <c r="O74" s="68"/>
      <c r="P74" s="3"/>
    </row>
    <row r="75" spans="1:17">
      <c r="A75" s="148" t="s">
        <v>86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3" t="s">
        <v>87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8" t="s">
        <v>88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2"/>
    </row>
    <row r="78" spans="1:17">
      <c r="A78" s="149" t="s">
        <v>89</v>
      </c>
      <c r="B78" s="68"/>
      <c r="C78" s="68"/>
      <c r="D78" s="68"/>
      <c r="E78" s="68"/>
      <c r="F78" s="3"/>
      <c r="G78" s="3"/>
      <c r="H78" s="3"/>
      <c r="I78" s="3"/>
      <c r="J78" s="3"/>
      <c r="K78" s="3"/>
      <c r="L78" s="3"/>
      <c r="M78" s="68"/>
      <c r="N78" s="68"/>
      <c r="O78" s="68"/>
      <c r="P78" s="3"/>
      <c r="Q78" s="144"/>
    </row>
    <row r="79" spans="1:17">
      <c r="A79" s="3" t="s">
        <v>90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68"/>
      <c r="P79" s="3"/>
    </row>
    <row r="80" spans="1:17">
      <c r="A80" s="3" t="s">
        <v>91</v>
      </c>
      <c r="B80" s="3"/>
      <c r="C80" s="3"/>
      <c r="D80" s="3"/>
      <c r="E80" s="3"/>
      <c r="F80" s="3"/>
      <c r="G80" s="3"/>
      <c r="H80" s="3"/>
      <c r="I80" s="3"/>
      <c r="K80" s="3"/>
      <c r="M80" s="68"/>
      <c r="N80" s="68"/>
      <c r="O80" s="135"/>
      <c r="P80" s="3"/>
    </row>
    <row r="81" spans="1:17">
      <c r="A81" s="3" t="s">
        <v>92</v>
      </c>
      <c r="B81" s="3"/>
      <c r="C81" s="3"/>
      <c r="D81" s="3"/>
      <c r="E81" s="3"/>
      <c r="F81" s="3"/>
      <c r="G81" s="3"/>
      <c r="H81" s="3"/>
      <c r="I81" s="3"/>
      <c r="K81" s="3"/>
      <c r="L81" s="3"/>
      <c r="M81" s="68"/>
      <c r="N81" s="68"/>
      <c r="O81" s="68"/>
      <c r="P81" s="3"/>
    </row>
    <row r="83" spans="1:17">
      <c r="B83" s="2" t="s">
        <v>159</v>
      </c>
    </row>
    <row r="84" spans="1:17" ht="15.6">
      <c r="B84" s="738" t="s">
        <v>93</v>
      </c>
      <c r="C84" s="738"/>
      <c r="D84" s="739" t="s">
        <v>94</v>
      </c>
      <c r="E84" s="740" t="s">
        <v>95</v>
      </c>
      <c r="F84" s="740" t="s">
        <v>96</v>
      </c>
      <c r="G84" s="740" t="s">
        <v>97</v>
      </c>
      <c r="H84" s="740" t="s">
        <v>98</v>
      </c>
      <c r="I84" s="741" t="s">
        <v>99</v>
      </c>
      <c r="J84" s="740" t="s">
        <v>100</v>
      </c>
      <c r="K84" s="740" t="s">
        <v>101</v>
      </c>
      <c r="L84" s="740" t="s">
        <v>102</v>
      </c>
      <c r="M84" s="740" t="s">
        <v>103</v>
      </c>
      <c r="N84" s="740" t="s">
        <v>104</v>
      </c>
      <c r="O84" s="740" t="s">
        <v>105</v>
      </c>
      <c r="P84" s="740" t="s">
        <v>83</v>
      </c>
      <c r="Q84" s="742" t="s">
        <v>107</v>
      </c>
    </row>
    <row r="85" spans="1:17">
      <c r="B85" s="116" t="s">
        <v>108</v>
      </c>
      <c r="C85" s="116"/>
      <c r="D85" s="52">
        <v>250647.57142857101</v>
      </c>
      <c r="E85" s="52">
        <v>303326.78571428568</v>
      </c>
      <c r="F85" s="52">
        <v>278308.28571428568</v>
      </c>
      <c r="G85" s="52">
        <v>329534.92857142858</v>
      </c>
      <c r="H85" s="118">
        <v>264136.85714285716</v>
      </c>
      <c r="I85" s="52">
        <v>280939.92857142852</v>
      </c>
      <c r="J85" s="52">
        <v>288262.21428571426</v>
      </c>
      <c r="K85" s="137">
        <v>271802.21428571432</v>
      </c>
      <c r="L85" s="138"/>
      <c r="M85" s="52"/>
      <c r="N85" s="52"/>
      <c r="O85" s="52"/>
      <c r="P85" s="478">
        <f t="shared" ref="P85:P91" si="13">SUM(D85:O85)</f>
        <v>2266958.7857142854</v>
      </c>
      <c r="Q85" s="146">
        <f t="shared" ref="Q85:Q92" si="14">P85/$P$92</f>
        <v>0.34077970241481892</v>
      </c>
    </row>
    <row r="86" spans="1:17">
      <c r="B86" s="119" t="s">
        <v>109</v>
      </c>
      <c r="C86" s="119"/>
      <c r="D86" s="121">
        <v>51557.785714285703</v>
      </c>
      <c r="E86" s="122">
        <v>38594.857142857145</v>
      </c>
      <c r="F86" s="122">
        <v>40995.357142857145</v>
      </c>
      <c r="G86" s="122">
        <v>33533.714285714283</v>
      </c>
      <c r="H86" s="123">
        <v>15954.785714285714</v>
      </c>
      <c r="I86" s="122">
        <v>52129.78571428571</v>
      </c>
      <c r="J86" s="122">
        <v>43316.857142857145</v>
      </c>
      <c r="K86" s="122">
        <v>16896.428571428572</v>
      </c>
      <c r="L86" s="122"/>
      <c r="M86" s="122"/>
      <c r="N86" s="122"/>
      <c r="O86" s="122"/>
      <c r="P86" s="479">
        <f t="shared" si="13"/>
        <v>292979.57142857142</v>
      </c>
      <c r="Q86" s="147">
        <f t="shared" si="14"/>
        <v>4.4042040726201895E-2</v>
      </c>
    </row>
    <row r="87" spans="1:17">
      <c r="B87" s="119" t="s">
        <v>110</v>
      </c>
      <c r="C87" s="119"/>
      <c r="D87" s="121">
        <v>157521.85714285701</v>
      </c>
      <c r="E87" s="122">
        <v>160543.85714285713</v>
      </c>
      <c r="F87" s="122">
        <v>156602.71428571426</v>
      </c>
      <c r="G87" s="122">
        <v>190080.78571428574</v>
      </c>
      <c r="H87" s="123">
        <v>199613.78571428571</v>
      </c>
      <c r="I87" s="122">
        <v>200030.57142857142</v>
      </c>
      <c r="J87" s="122">
        <v>179224.21428571429</v>
      </c>
      <c r="K87" s="122">
        <v>212064</v>
      </c>
      <c r="L87" s="122"/>
      <c r="M87" s="122"/>
      <c r="N87" s="122"/>
      <c r="O87" s="122"/>
      <c r="P87" s="479">
        <f t="shared" si="13"/>
        <v>1455681.7857142854</v>
      </c>
      <c r="Q87" s="147">
        <f t="shared" si="14"/>
        <v>0.21882480125905024</v>
      </c>
    </row>
    <row r="88" spans="1:17">
      <c r="B88" s="124" t="s">
        <v>111</v>
      </c>
      <c r="C88" s="124"/>
      <c r="D88" s="52">
        <v>129327.714285714</v>
      </c>
      <c r="E88" s="52">
        <v>98880.78571428571</v>
      </c>
      <c r="F88" s="52">
        <v>142655.5</v>
      </c>
      <c r="G88" s="52">
        <v>133507.35714285716</v>
      </c>
      <c r="H88" s="118">
        <v>117586.21428571429</v>
      </c>
      <c r="I88" s="52">
        <v>102160.14285714286</v>
      </c>
      <c r="J88" s="52">
        <v>115071.28571428571</v>
      </c>
      <c r="K88" s="52">
        <v>125627.07142857143</v>
      </c>
      <c r="L88" s="52"/>
      <c r="M88" s="52"/>
      <c r="N88" s="52"/>
      <c r="O88" s="52"/>
      <c r="P88" s="478">
        <f t="shared" si="13"/>
        <v>964816.07142857113</v>
      </c>
      <c r="Q88" s="146">
        <f t="shared" si="14"/>
        <v>0.14503560266662119</v>
      </c>
    </row>
    <row r="89" spans="1:17">
      <c r="B89" s="124" t="s">
        <v>112</v>
      </c>
      <c r="C89" s="124"/>
      <c r="D89" s="52">
        <v>81303.642857142899</v>
      </c>
      <c r="E89" s="52">
        <v>79785.57142857142</v>
      </c>
      <c r="F89" s="52">
        <v>99571</v>
      </c>
      <c r="G89" s="52">
        <v>105052.5</v>
      </c>
      <c r="H89" s="118">
        <v>95685.357142857145</v>
      </c>
      <c r="I89" s="52">
        <v>101332.71428571429</v>
      </c>
      <c r="J89" s="52">
        <v>110053</v>
      </c>
      <c r="K89" s="52">
        <v>157274.64285714284</v>
      </c>
      <c r="L89" s="52"/>
      <c r="M89" s="52"/>
      <c r="N89" s="52"/>
      <c r="O89" s="52"/>
      <c r="P89" s="478">
        <f t="shared" si="13"/>
        <v>830058.42857142864</v>
      </c>
      <c r="Q89" s="146">
        <f t="shared" si="14"/>
        <v>0.12477821213955437</v>
      </c>
    </row>
    <row r="90" spans="1:17">
      <c r="B90" s="116" t="s">
        <v>57</v>
      </c>
      <c r="C90" s="116"/>
      <c r="D90" s="52">
        <v>79967.428571428594</v>
      </c>
      <c r="E90" s="52">
        <v>73659.642857142855</v>
      </c>
      <c r="F90" s="52">
        <v>87559.357142857145</v>
      </c>
      <c r="G90" s="52">
        <v>116176.92857142858</v>
      </c>
      <c r="H90" s="118">
        <v>97186.071428571435</v>
      </c>
      <c r="I90" s="52">
        <v>107421.21428571429</v>
      </c>
      <c r="J90" s="52">
        <v>106410.42857142858</v>
      </c>
      <c r="K90" s="52">
        <v>100767.21428571429</v>
      </c>
      <c r="L90" s="52"/>
      <c r="M90" s="52"/>
      <c r="N90" s="52"/>
      <c r="O90" s="52"/>
      <c r="P90" s="478">
        <f t="shared" si="13"/>
        <v>769148.28571428568</v>
      </c>
      <c r="Q90" s="146">
        <f t="shared" si="14"/>
        <v>0.11562191847964952</v>
      </c>
    </row>
    <row r="91" spans="1:17">
      <c r="B91" s="28" t="s">
        <v>158</v>
      </c>
      <c r="C91" s="28"/>
      <c r="D91" s="52">
        <v>2349.7857142857142</v>
      </c>
      <c r="E91" s="52">
        <v>4728.1428571428569</v>
      </c>
      <c r="F91" s="52">
        <v>9206.7857142857138</v>
      </c>
      <c r="G91" s="52">
        <v>12338.642857142857</v>
      </c>
      <c r="H91" s="118">
        <v>9361.4285714285706</v>
      </c>
      <c r="I91" s="52">
        <v>10276.428571428572</v>
      </c>
      <c r="J91" s="52">
        <v>11068.928571428572</v>
      </c>
      <c r="K91" s="52">
        <v>13297.5</v>
      </c>
      <c r="M91" s="52"/>
      <c r="N91" s="52"/>
      <c r="O91" s="52"/>
      <c r="P91" s="478">
        <f t="shared" si="13"/>
        <v>72627.642857142855</v>
      </c>
      <c r="Q91" s="146">
        <f t="shared" si="14"/>
        <v>1.0917722314103968E-2</v>
      </c>
    </row>
    <row r="92" spans="1:17">
      <c r="D92" s="643">
        <f>SUM(D85:D91)</f>
        <v>752675.78571428498</v>
      </c>
      <c r="E92" s="643">
        <f t="shared" ref="E92:P92" si="15">SUM(E85:E91)</f>
        <v>759519.64285714272</v>
      </c>
      <c r="F92" s="643">
        <f t="shared" si="15"/>
        <v>814898.99999999988</v>
      </c>
      <c r="G92" s="643">
        <f t="shared" si="15"/>
        <v>920224.85714285716</v>
      </c>
      <c r="H92" s="643">
        <f t="shared" si="15"/>
        <v>799524.50000000012</v>
      </c>
      <c r="I92" s="643">
        <f t="shared" si="15"/>
        <v>854290.78571428568</v>
      </c>
      <c r="J92" s="643">
        <f t="shared" si="15"/>
        <v>853406.92857142852</v>
      </c>
      <c r="K92" s="643">
        <f>SUM(K85:K91)</f>
        <v>897729.07142857148</v>
      </c>
      <c r="L92" s="643">
        <f t="shared" si="15"/>
        <v>0</v>
      </c>
      <c r="M92" s="643">
        <f t="shared" si="15"/>
        <v>0</v>
      </c>
      <c r="N92" s="643">
        <f t="shared" si="15"/>
        <v>0</v>
      </c>
      <c r="O92" s="643">
        <f t="shared" si="15"/>
        <v>0</v>
      </c>
      <c r="P92" s="643">
        <f t="shared" si="15"/>
        <v>6652270.57142857</v>
      </c>
      <c r="Q92" s="605">
        <f t="shared" si="14"/>
        <v>1</v>
      </c>
    </row>
  </sheetData>
  <mergeCells count="25">
    <mergeCell ref="P6:P7"/>
    <mergeCell ref="F42:G42"/>
    <mergeCell ref="H42:I42"/>
    <mergeCell ref="F49:F50"/>
    <mergeCell ref="G49:G50"/>
    <mergeCell ref="N49:N50"/>
    <mergeCell ref="P49:P50"/>
    <mergeCell ref="H49:H50"/>
    <mergeCell ref="I49:I50"/>
    <mergeCell ref="J49:J50"/>
    <mergeCell ref="K49:K50"/>
    <mergeCell ref="L49:L50"/>
    <mergeCell ref="M49:M50"/>
    <mergeCell ref="E49:E50"/>
    <mergeCell ref="A1:O1"/>
    <mergeCell ref="A3:A4"/>
    <mergeCell ref="B3:B4"/>
    <mergeCell ref="D3:D4"/>
    <mergeCell ref="E3:N3"/>
    <mergeCell ref="O3:O4"/>
    <mergeCell ref="C3:C4"/>
    <mergeCell ref="C49:C50"/>
    <mergeCell ref="A49:A50"/>
    <mergeCell ref="B49:B50"/>
    <mergeCell ref="D49:D50"/>
  </mergeCells>
  <pageMargins left="0.7" right="0.7" top="0.75" bottom="0.75" header="0.3" footer="0.3"/>
  <pageSetup orientation="portrait" r:id="rId1"/>
  <ignoredErrors>
    <ignoredError sqref="E10 E35:E36 E44 E52:E53 E63 B43 E14:E15 E17 E26 B26 E60:E61 E30" formulaRange="1"/>
    <ignoredError sqref="J73" formula="1"/>
    <ignoredError sqref="E39" formula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B145-F313-4712-9FD4-45AB529270AC}">
  <dimension ref="A1:Q92"/>
  <sheetViews>
    <sheetView zoomScale="80" zoomScaleNormal="80" workbookViewId="0">
      <pane xSplit="2" ySplit="4" topLeftCell="E17" activePane="bottomRight" state="frozen"/>
      <selection pane="topRight" activeCell="C1" sqref="C1"/>
      <selection pane="bottomLeft" activeCell="A5" sqref="A5"/>
      <selection pane="bottomRight" activeCell="E54" sqref="E54"/>
    </sheetView>
  </sheetViews>
  <sheetFormatPr defaultColWidth="8.5546875" defaultRowHeight="14.4"/>
  <cols>
    <col min="1" max="1" width="30.77734375" style="2" customWidth="1"/>
    <col min="2" max="3" width="11.77734375" style="2" customWidth="1"/>
    <col min="4" max="4" width="13" style="2" customWidth="1"/>
    <col min="5" max="5" width="11.77734375" style="2" customWidth="1"/>
    <col min="6" max="6" width="11.109375" style="2" customWidth="1"/>
    <col min="7" max="7" width="11.77734375" style="2" customWidth="1"/>
    <col min="8" max="8" width="11.77734375" style="2" bestFit="1" customWidth="1"/>
    <col min="9" max="9" width="12.109375" style="2" customWidth="1"/>
    <col min="10" max="10" width="11.44140625" style="2" customWidth="1"/>
    <col min="11" max="11" width="10" style="2" bestFit="1" customWidth="1"/>
    <col min="12" max="12" width="9.77734375" style="2" bestFit="1" customWidth="1"/>
    <col min="13" max="13" width="9.44140625" style="2" customWidth="1"/>
    <col min="14" max="14" width="9.5546875" style="2" customWidth="1"/>
    <col min="15" max="15" width="8.5546875" style="2"/>
    <col min="16" max="16" width="11.77734375" style="2" bestFit="1" customWidth="1"/>
    <col min="17" max="17" width="9.5546875" style="2" bestFit="1" customWidth="1"/>
    <col min="18" max="16384" width="8.5546875" style="2"/>
  </cols>
  <sheetData>
    <row r="1" spans="1:17" s="1" customFormat="1" ht="26.85" customHeight="1">
      <c r="A1" s="1066" t="s">
        <v>169</v>
      </c>
      <c r="B1" s="1066"/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467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86" t="s">
        <v>1</v>
      </c>
      <c r="B3" s="1088" t="s">
        <v>2</v>
      </c>
      <c r="C3" s="1105" t="s">
        <v>170</v>
      </c>
      <c r="D3" s="1092" t="s">
        <v>171</v>
      </c>
      <c r="E3" s="1111" t="s">
        <v>172</v>
      </c>
      <c r="F3" s="1095"/>
      <c r="G3" s="1095"/>
      <c r="H3" s="1095"/>
      <c r="I3" s="1095"/>
      <c r="J3" s="1095"/>
      <c r="K3" s="1095"/>
      <c r="L3" s="1095"/>
      <c r="M3" s="1095"/>
      <c r="N3" s="1112"/>
      <c r="O3" s="1113" t="s">
        <v>174</v>
      </c>
    </row>
    <row r="4" spans="1:17" ht="29.4" thickBot="1">
      <c r="A4" s="1087"/>
      <c r="B4" s="1089"/>
      <c r="C4" s="1106"/>
      <c r="D4" s="1093"/>
      <c r="E4" s="761" t="s">
        <v>7</v>
      </c>
      <c r="F4" s="588" t="s">
        <v>8</v>
      </c>
      <c r="G4" s="588" t="s">
        <v>9</v>
      </c>
      <c r="H4" s="588" t="s">
        <v>10</v>
      </c>
      <c r="I4" s="588" t="s">
        <v>11</v>
      </c>
      <c r="J4" s="589" t="s">
        <v>12</v>
      </c>
      <c r="K4" s="590" t="s">
        <v>13</v>
      </c>
      <c r="L4" s="590" t="s">
        <v>14</v>
      </c>
      <c r="M4" s="591" t="s">
        <v>15</v>
      </c>
      <c r="N4" s="782" t="s">
        <v>16</v>
      </c>
      <c r="O4" s="1114"/>
    </row>
    <row r="5" spans="1:17">
      <c r="A5" s="408"/>
      <c r="B5" s="409"/>
      <c r="C5" s="5"/>
      <c r="D5" s="4"/>
      <c r="E5" s="762"/>
      <c r="F5" s="5"/>
      <c r="G5" s="5"/>
      <c r="H5" s="5"/>
      <c r="I5" s="5"/>
      <c r="J5" s="69"/>
      <c r="K5" s="5"/>
      <c r="L5" s="70"/>
      <c r="M5" s="71"/>
      <c r="N5" s="783"/>
      <c r="O5" s="427"/>
    </row>
    <row r="6" spans="1:17">
      <c r="A6" s="683" t="s">
        <v>17</v>
      </c>
      <c r="B6" s="7">
        <f>SUM(B8:B18)</f>
        <v>4518182</v>
      </c>
      <c r="C6" s="709">
        <v>3258770</v>
      </c>
      <c r="D6" s="576">
        <f>SUM(D8:D18)</f>
        <v>3908376</v>
      </c>
      <c r="E6" s="253">
        <f>SUM(E8:E18)</f>
        <v>417768</v>
      </c>
      <c r="F6" s="760">
        <f t="shared" ref="F6:N6" si="0">SUM(F8:F18)</f>
        <v>193522</v>
      </c>
      <c r="G6" s="760">
        <f t="shared" si="0"/>
        <v>174489</v>
      </c>
      <c r="H6" s="760">
        <f t="shared" si="0"/>
        <v>24649</v>
      </c>
      <c r="I6" s="760">
        <f t="shared" si="0"/>
        <v>25108</v>
      </c>
      <c r="J6" s="760">
        <f t="shared" si="0"/>
        <v>0</v>
      </c>
      <c r="K6" s="760">
        <f t="shared" si="0"/>
        <v>54913</v>
      </c>
      <c r="L6" s="760">
        <f t="shared" si="0"/>
        <v>14879</v>
      </c>
      <c r="M6" s="760">
        <f t="shared" si="0"/>
        <v>6429</v>
      </c>
      <c r="N6" s="760">
        <f t="shared" si="0"/>
        <v>226</v>
      </c>
      <c r="O6" s="792">
        <f>+D6/C6</f>
        <v>1.1993408555988916</v>
      </c>
      <c r="P6" s="1014"/>
    </row>
    <row r="7" spans="1:17">
      <c r="A7" s="386" t="s">
        <v>18</v>
      </c>
      <c r="B7" s="387"/>
      <c r="C7" s="675"/>
      <c r="D7" s="557"/>
      <c r="E7" s="11">
        <f>SUM(F7:J7)</f>
        <v>0</v>
      </c>
      <c r="F7" s="12"/>
      <c r="G7" s="12"/>
      <c r="H7" s="12"/>
      <c r="I7" s="12"/>
      <c r="J7" s="12"/>
      <c r="K7" s="28"/>
      <c r="L7" s="28"/>
      <c r="M7" s="28"/>
      <c r="N7" s="116"/>
      <c r="O7" s="793"/>
      <c r="P7" s="1014"/>
    </row>
    <row r="8" spans="1:17">
      <c r="A8" s="388" t="s">
        <v>19</v>
      </c>
      <c r="B8" s="387"/>
      <c r="C8" s="675"/>
      <c r="D8" s="577"/>
      <c r="E8" s="11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515"/>
      <c r="O8" s="793"/>
      <c r="P8" s="3"/>
    </row>
    <row r="9" spans="1:17">
      <c r="A9" s="386" t="s">
        <v>120</v>
      </c>
      <c r="B9" s="14">
        <f>715133+126685+111732+106510+95851+111311</f>
        <v>1267222</v>
      </c>
      <c r="C9" s="675">
        <v>953550</v>
      </c>
      <c r="D9" s="557">
        <f>108077+85467+113186+113042+116756+109995+110509+101300+92745</f>
        <v>951077</v>
      </c>
      <c r="E9" s="11">
        <f t="shared" si="1"/>
        <v>92745</v>
      </c>
      <c r="F9" s="13">
        <v>35720</v>
      </c>
      <c r="G9" s="13">
        <v>36563</v>
      </c>
      <c r="H9" s="13">
        <v>10098</v>
      </c>
      <c r="I9" s="13">
        <v>10364</v>
      </c>
      <c r="J9" s="12"/>
      <c r="K9" s="28"/>
      <c r="L9" s="28"/>
      <c r="M9" s="22"/>
      <c r="N9" s="515"/>
      <c r="O9" s="793">
        <f>+D9/C9</f>
        <v>0.99740653348015307</v>
      </c>
      <c r="P9" s="111"/>
      <c r="Q9" s="79"/>
    </row>
    <row r="10" spans="1:17">
      <c r="A10" s="386" t="s">
        <v>20</v>
      </c>
      <c r="B10" s="14">
        <v>1272859</v>
      </c>
      <c r="C10" s="675">
        <v>859650</v>
      </c>
      <c r="D10" s="578">
        <f>148719+103732+138638+114388+149772+144287+154524+162231+134683</f>
        <v>1250974</v>
      </c>
      <c r="E10" s="11">
        <f t="shared" si="1"/>
        <v>134683</v>
      </c>
      <c r="F10" s="15">
        <v>71434</v>
      </c>
      <c r="G10" s="15">
        <v>63249</v>
      </c>
      <c r="H10" s="16"/>
      <c r="I10" s="16"/>
      <c r="J10" s="75"/>
      <c r="K10" s="76">
        <f>7154+6817</f>
        <v>13971</v>
      </c>
      <c r="L10" s="76">
        <f>2320+686</f>
        <v>3006</v>
      </c>
      <c r="M10" s="77"/>
      <c r="N10" s="515"/>
      <c r="O10" s="793">
        <f t="shared" ref="O10:O67" si="2">+D10/C10</f>
        <v>1.4552131681498284</v>
      </c>
      <c r="P10" s="79"/>
      <c r="Q10" s="79"/>
    </row>
    <row r="11" spans="1:17">
      <c r="A11" s="386" t="s">
        <v>21</v>
      </c>
      <c r="B11" s="14"/>
      <c r="C11" s="675"/>
      <c r="D11" s="578"/>
      <c r="E11" s="11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515"/>
      <c r="O11" s="793"/>
      <c r="P11" s="79"/>
      <c r="Q11" s="79"/>
    </row>
    <row r="12" spans="1:17">
      <c r="A12" s="386" t="s">
        <v>22</v>
      </c>
      <c r="B12" s="14">
        <v>491959</v>
      </c>
      <c r="C12" s="675">
        <v>369522</v>
      </c>
      <c r="D12" s="578">
        <f>39231+38035+45839+55212+55252+51874+53719+51193+43893</f>
        <v>434248</v>
      </c>
      <c r="E12" s="11">
        <f t="shared" si="1"/>
        <v>43893</v>
      </c>
      <c r="F12" s="13">
        <v>19833</v>
      </c>
      <c r="G12" s="13">
        <v>21595</v>
      </c>
      <c r="H12" s="13">
        <v>912</v>
      </c>
      <c r="I12" s="13">
        <v>1553</v>
      </c>
      <c r="J12" s="13"/>
      <c r="K12" s="22">
        <f>5462+3499+203+344</f>
        <v>9508</v>
      </c>
      <c r="L12" s="22">
        <f>17+2712+77+65</f>
        <v>2871</v>
      </c>
      <c r="M12" s="22"/>
      <c r="N12" s="515"/>
      <c r="O12" s="793">
        <f t="shared" si="2"/>
        <v>1.1751614247595543</v>
      </c>
      <c r="P12" s="555"/>
      <c r="Q12" s="79"/>
    </row>
    <row r="13" spans="1:17">
      <c r="A13" s="388" t="s">
        <v>23</v>
      </c>
      <c r="B13" s="14">
        <v>149160</v>
      </c>
      <c r="C13" s="87">
        <v>149160</v>
      </c>
      <c r="D13" s="578">
        <v>0</v>
      </c>
      <c r="E13" s="11"/>
      <c r="F13" s="13"/>
      <c r="G13" s="13"/>
      <c r="H13" s="13"/>
      <c r="I13" s="13"/>
      <c r="J13" s="13"/>
      <c r="K13" s="22"/>
      <c r="L13" s="22"/>
      <c r="M13" s="22"/>
      <c r="N13" s="515"/>
      <c r="O13" s="793">
        <f t="shared" si="2"/>
        <v>0</v>
      </c>
      <c r="P13" s="79"/>
      <c r="Q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675">
        <v>629210</v>
      </c>
      <c r="D14" s="557">
        <f>107401+71667+97692+112321+100543+91682+100061+119410+112186</f>
        <v>912963</v>
      </c>
      <c r="E14" s="11">
        <f t="shared" si="1"/>
        <v>112186</v>
      </c>
      <c r="F14" s="18">
        <v>63165</v>
      </c>
      <c r="G14" s="18">
        <v>49021</v>
      </c>
      <c r="H14" s="18"/>
      <c r="I14" s="18"/>
      <c r="J14" s="18"/>
      <c r="K14" s="80">
        <f>12573+9381</f>
        <v>21954</v>
      </c>
      <c r="L14" s="80">
        <f>2176+4320</f>
        <v>6496</v>
      </c>
      <c r="M14" s="80">
        <v>6429</v>
      </c>
      <c r="N14" s="784">
        <v>226</v>
      </c>
      <c r="O14" s="793">
        <f t="shared" si="2"/>
        <v>1.4509670857106531</v>
      </c>
      <c r="P14" s="555"/>
      <c r="Q14" s="79"/>
    </row>
    <row r="15" spans="1:17">
      <c r="A15" s="386" t="s">
        <v>25</v>
      </c>
      <c r="B15" s="14">
        <f>6147+7479+7850+9613+8350+10297+8331+8950+9929+9191+7491+7125</f>
        <v>100753</v>
      </c>
      <c r="C15" s="750">
        <v>76946</v>
      </c>
      <c r="D15" s="557">
        <f>5818+3471+4879+3146+1868+3203+3535+2520+3649</f>
        <v>32089</v>
      </c>
      <c r="E15" s="11">
        <f>SUM(F15:J15)</f>
        <v>3649</v>
      </c>
      <c r="F15" s="13"/>
      <c r="G15" s="13"/>
      <c r="H15" s="13">
        <v>2309</v>
      </c>
      <c r="I15" s="13">
        <v>1340</v>
      </c>
      <c r="J15" s="13"/>
      <c r="K15" s="81">
        <f>402+194</f>
        <v>596</v>
      </c>
      <c r="L15" s="22">
        <f>79+98</f>
        <v>177</v>
      </c>
      <c r="M15" s="22"/>
      <c r="N15" s="515"/>
      <c r="O15" s="793">
        <f t="shared" si="2"/>
        <v>0.41703272424817406</v>
      </c>
      <c r="P15" s="79"/>
      <c r="Q15" s="79"/>
    </row>
    <row r="16" spans="1:17">
      <c r="A16" s="386" t="s">
        <v>26</v>
      </c>
      <c r="B16" s="14">
        <f>540+350</f>
        <v>890</v>
      </c>
      <c r="C16" s="675">
        <v>540</v>
      </c>
      <c r="D16" s="557">
        <f>528</f>
        <v>528</v>
      </c>
      <c r="E16" s="11">
        <v>0</v>
      </c>
      <c r="F16" s="13"/>
      <c r="G16" s="13"/>
      <c r="H16" s="13"/>
      <c r="I16" s="13"/>
      <c r="J16" s="13"/>
      <c r="K16" s="28"/>
      <c r="L16" s="36"/>
      <c r="M16" s="22"/>
      <c r="N16" s="515"/>
      <c r="O16" s="793">
        <f t="shared" si="2"/>
        <v>0.97777777777777775</v>
      </c>
      <c r="P16" s="79"/>
      <c r="Q16" s="79"/>
    </row>
    <row r="17" spans="1:17">
      <c r="A17" s="386" t="s">
        <v>27</v>
      </c>
      <c r="B17" s="391">
        <f>14801+21013+19343+20052+25339+15490+23521+25450+24091+25115+25902+30182</f>
        <v>270299</v>
      </c>
      <c r="C17" s="751">
        <v>189100</v>
      </c>
      <c r="D17" s="600">
        <f>29509+14652+23209+24242+23009+26529+25218+28150+30612</f>
        <v>225130</v>
      </c>
      <c r="E17" s="11">
        <f t="shared" si="1"/>
        <v>30612</v>
      </c>
      <c r="F17" s="13">
        <v>3370</v>
      </c>
      <c r="G17" s="13">
        <v>4061</v>
      </c>
      <c r="H17" s="13">
        <v>11330</v>
      </c>
      <c r="I17" s="13">
        <v>11851</v>
      </c>
      <c r="J17" s="13"/>
      <c r="K17" s="22">
        <v>8884</v>
      </c>
      <c r="L17" s="22">
        <f>3+739+406+1181</f>
        <v>2329</v>
      </c>
      <c r="M17" s="22"/>
      <c r="N17" s="515"/>
      <c r="O17" s="793">
        <f t="shared" si="2"/>
        <v>1.1905341089370702</v>
      </c>
      <c r="P17" s="555"/>
      <c r="Q17" s="82"/>
    </row>
    <row r="18" spans="1:17" ht="15" thickBot="1">
      <c r="A18" s="402" t="s">
        <v>173</v>
      </c>
      <c r="B18" s="403">
        <v>67816</v>
      </c>
      <c r="C18" s="796">
        <v>31092</v>
      </c>
      <c r="D18" s="601">
        <f>63204+12868+13056+12239</f>
        <v>101367</v>
      </c>
      <c r="E18" s="763"/>
      <c r="F18" s="202"/>
      <c r="G18" s="202"/>
      <c r="H18" s="202"/>
      <c r="I18" s="202"/>
      <c r="J18" s="202"/>
      <c r="K18" s="203"/>
      <c r="L18" s="203"/>
      <c r="M18" s="203"/>
      <c r="N18" s="785"/>
      <c r="O18" s="699">
        <f t="shared" si="2"/>
        <v>3.2602277113083753</v>
      </c>
      <c r="P18" s="79"/>
      <c r="Q18" s="82"/>
    </row>
    <row r="19" spans="1:17" ht="15.6">
      <c r="A19" s="679" t="s">
        <v>29</v>
      </c>
      <c r="B19" s="710">
        <v>633659</v>
      </c>
      <c r="C19" s="795">
        <v>470059</v>
      </c>
      <c r="D19" s="713">
        <v>450966</v>
      </c>
      <c r="E19" s="764">
        <v>60953</v>
      </c>
      <c r="F19" s="715"/>
      <c r="G19" s="715"/>
      <c r="H19" s="715"/>
      <c r="I19" s="715"/>
      <c r="J19" s="715"/>
      <c r="K19" s="194"/>
      <c r="L19" s="194"/>
      <c r="M19" s="194"/>
      <c r="N19" s="786"/>
      <c r="O19" s="794"/>
      <c r="P19" s="79"/>
      <c r="Q19" s="499"/>
    </row>
    <row r="20" spans="1:17" ht="15.6">
      <c r="A20" s="386" t="s">
        <v>134</v>
      </c>
      <c r="B20" s="701">
        <v>255481</v>
      </c>
      <c r="C20" s="745">
        <v>189056</v>
      </c>
      <c r="D20" s="716">
        <v>185932</v>
      </c>
      <c r="E20" s="765">
        <v>33731</v>
      </c>
      <c r="F20" s="708"/>
      <c r="G20" s="708"/>
      <c r="H20" s="708"/>
      <c r="I20" s="708"/>
      <c r="J20" s="708"/>
      <c r="K20" s="22"/>
      <c r="L20" s="22"/>
      <c r="M20" s="22"/>
      <c r="N20" s="515"/>
      <c r="O20" s="793"/>
      <c r="P20" s="82"/>
    </row>
    <row r="21" spans="1:17" ht="15.6">
      <c r="A21" s="386" t="s">
        <v>31</v>
      </c>
      <c r="B21" s="701">
        <v>92242</v>
      </c>
      <c r="C21" s="745">
        <v>81690</v>
      </c>
      <c r="D21" s="716">
        <v>68446</v>
      </c>
      <c r="E21" s="765">
        <v>13462</v>
      </c>
      <c r="F21" s="708"/>
      <c r="G21" s="708"/>
      <c r="H21" s="708"/>
      <c r="I21" s="708"/>
      <c r="J21" s="708"/>
      <c r="K21" s="22"/>
      <c r="L21" s="22"/>
      <c r="M21" s="22"/>
      <c r="N21" s="515"/>
      <c r="O21" s="793"/>
      <c r="P21" s="508"/>
    </row>
    <row r="22" spans="1:17" ht="15.6">
      <c r="A22" s="386" t="s">
        <v>32</v>
      </c>
      <c r="B22" s="701">
        <v>400078</v>
      </c>
      <c r="C22" s="745">
        <v>292113</v>
      </c>
      <c r="D22" s="716">
        <v>300953</v>
      </c>
      <c r="E22" s="765">
        <v>33325</v>
      </c>
      <c r="F22" s="708"/>
      <c r="G22" s="708"/>
      <c r="H22" s="708"/>
      <c r="I22" s="708"/>
      <c r="J22" s="708"/>
      <c r="K22" s="22"/>
      <c r="L22" s="22"/>
      <c r="M22" s="22"/>
      <c r="N22" s="515"/>
      <c r="O22" s="793"/>
      <c r="P22" s="508"/>
    </row>
    <row r="23" spans="1:17" ht="15.6">
      <c r="A23" s="386" t="s">
        <v>33</v>
      </c>
      <c r="B23" s="703">
        <v>171077</v>
      </c>
      <c r="C23" s="745">
        <v>122036</v>
      </c>
      <c r="D23" s="716">
        <v>123245</v>
      </c>
      <c r="E23" s="765">
        <v>14229</v>
      </c>
      <c r="F23" s="708"/>
      <c r="G23" s="708"/>
      <c r="H23" s="708"/>
      <c r="I23" s="708"/>
      <c r="J23" s="708"/>
      <c r="K23" s="22"/>
      <c r="L23" s="22"/>
      <c r="M23" s="22"/>
      <c r="N23" s="515"/>
      <c r="O23" s="793"/>
      <c r="P23" s="508"/>
    </row>
    <row r="24" spans="1:17" ht="15.6">
      <c r="A24" s="386" t="s">
        <v>34</v>
      </c>
      <c r="B24" s="703">
        <v>270677</v>
      </c>
      <c r="C24" s="746">
        <v>222249</v>
      </c>
      <c r="D24" s="716">
        <v>137928</v>
      </c>
      <c r="E24" s="765">
        <v>18552</v>
      </c>
      <c r="F24" s="708"/>
      <c r="G24" s="708"/>
      <c r="H24" s="718"/>
      <c r="I24" s="708"/>
      <c r="J24" s="708"/>
      <c r="K24" s="22"/>
      <c r="L24" s="22"/>
      <c r="M24" s="22"/>
      <c r="N24" s="515"/>
      <c r="O24" s="793"/>
      <c r="P24" s="508"/>
    </row>
    <row r="25" spans="1:17" ht="15.6">
      <c r="A25" s="680" t="s">
        <v>135</v>
      </c>
      <c r="B25" s="705"/>
      <c r="C25" s="706"/>
      <c r="D25" s="716">
        <v>89439</v>
      </c>
      <c r="E25" s="766">
        <v>17252</v>
      </c>
      <c r="F25" s="719"/>
      <c r="G25" s="719"/>
      <c r="H25" s="719"/>
      <c r="I25" s="719"/>
      <c r="J25" s="719"/>
      <c r="K25" s="28"/>
      <c r="L25" s="28"/>
      <c r="M25" s="28"/>
      <c r="N25" s="116"/>
      <c r="O25" s="793"/>
      <c r="P25" s="508"/>
    </row>
    <row r="26" spans="1:17" ht="15.6">
      <c r="A26" s="26"/>
      <c r="B26" s="748">
        <f t="shared" ref="B26" si="3">SUM(B19:B25)</f>
        <v>1823214</v>
      </c>
      <c r="C26" s="712">
        <v>1237254</v>
      </c>
      <c r="D26" s="749">
        <f>SUM(D19:D25)</f>
        <v>1356909</v>
      </c>
      <c r="E26" s="749">
        <f>SUM(E19:E25)</f>
        <v>191504</v>
      </c>
      <c r="F26" s="719"/>
      <c r="G26" s="719"/>
      <c r="H26" s="719"/>
      <c r="I26" s="719"/>
      <c r="J26" s="719"/>
      <c r="K26" s="28"/>
      <c r="L26" s="28"/>
      <c r="M26" s="28"/>
      <c r="N26" s="116"/>
      <c r="O26" s="793"/>
      <c r="P26" s="508"/>
    </row>
    <row r="27" spans="1:17">
      <c r="A27" s="26"/>
      <c r="B27" s="664"/>
      <c r="C27" s="22"/>
      <c r="D27" s="720"/>
      <c r="E27" s="767"/>
      <c r="F27" s="719"/>
      <c r="G27" s="719"/>
      <c r="H27" s="719"/>
      <c r="I27" s="719"/>
      <c r="J27" s="719"/>
      <c r="K27" s="28"/>
      <c r="L27" s="28"/>
      <c r="M27" s="28"/>
      <c r="N27" s="116"/>
      <c r="O27" s="793"/>
      <c r="P27" s="508"/>
    </row>
    <row r="28" spans="1:17">
      <c r="A28" s="683" t="s">
        <v>35</v>
      </c>
      <c r="B28" s="7">
        <f>SUM(B29:B32)</f>
        <v>860026</v>
      </c>
      <c r="C28" s="709">
        <v>625162</v>
      </c>
      <c r="D28" s="556">
        <f>SUM(D29:D32)+2991</f>
        <v>720814</v>
      </c>
      <c r="E28" s="755">
        <f t="shared" ref="E28:N28" si="4">SUM(E29:E32)</f>
        <v>74803</v>
      </c>
      <c r="F28" s="274">
        <f t="shared" si="4"/>
        <v>28481</v>
      </c>
      <c r="G28" s="274">
        <f t="shared" si="4"/>
        <v>29106</v>
      </c>
      <c r="H28" s="274">
        <f t="shared" si="4"/>
        <v>9042</v>
      </c>
      <c r="I28" s="274">
        <f t="shared" si="4"/>
        <v>8174</v>
      </c>
      <c r="J28" s="274">
        <f t="shared" si="4"/>
        <v>0</v>
      </c>
      <c r="K28" s="274">
        <f t="shared" si="4"/>
        <v>12067</v>
      </c>
      <c r="L28" s="274">
        <f t="shared" si="4"/>
        <v>1961</v>
      </c>
      <c r="M28" s="274">
        <f t="shared" si="4"/>
        <v>0</v>
      </c>
      <c r="N28" s="274">
        <f t="shared" si="4"/>
        <v>0</v>
      </c>
      <c r="O28" s="792">
        <f t="shared" si="2"/>
        <v>1.1530035414820479</v>
      </c>
      <c r="P28" s="513"/>
    </row>
    <row r="29" spans="1:17">
      <c r="A29" s="386" t="s">
        <v>36</v>
      </c>
      <c r="B29" s="389">
        <f>30481+3346</f>
        <v>33827</v>
      </c>
      <c r="C29" s="22">
        <v>24883</v>
      </c>
      <c r="D29" s="582">
        <f>4188+2189+2953+3363+3389+2628+3750+3460+2991</f>
        <v>28911</v>
      </c>
      <c r="E29" s="11">
        <f t="shared" ref="E29:E30" si="5">SUM(F29:J29)</f>
        <v>2991</v>
      </c>
      <c r="F29" s="13"/>
      <c r="G29" s="13"/>
      <c r="H29" s="13">
        <v>1452</v>
      </c>
      <c r="I29" s="13">
        <v>1539</v>
      </c>
      <c r="J29" s="12"/>
      <c r="K29" s="22">
        <f>362+704</f>
        <v>1066</v>
      </c>
      <c r="L29" s="22">
        <f>216+1</f>
        <v>217</v>
      </c>
      <c r="M29" s="22"/>
      <c r="N29" s="515"/>
      <c r="O29" s="793">
        <f t="shared" si="2"/>
        <v>1.1618775871076639</v>
      </c>
      <c r="P29" s="513"/>
    </row>
    <row r="30" spans="1:17">
      <c r="A30" s="31" t="s">
        <v>37</v>
      </c>
      <c r="B30" s="389">
        <v>675254</v>
      </c>
      <c r="C30" s="684">
        <v>492070</v>
      </c>
      <c r="D30" s="582">
        <f>64505+48073+62185+62452+59765+64280+67096+71165+61780</f>
        <v>561301</v>
      </c>
      <c r="E30" s="11">
        <f t="shared" si="5"/>
        <v>61780</v>
      </c>
      <c r="F30" s="33">
        <v>24952</v>
      </c>
      <c r="G30" s="33">
        <v>24186</v>
      </c>
      <c r="H30" s="33">
        <v>6209</v>
      </c>
      <c r="I30" s="33">
        <v>6433</v>
      </c>
      <c r="J30" s="41"/>
      <c r="K30" s="87">
        <f>4957+3507+1413+839</f>
        <v>10716</v>
      </c>
      <c r="L30" s="87">
        <f>199+785+26+734</f>
        <v>1744</v>
      </c>
      <c r="M30" s="81"/>
      <c r="N30" s="787"/>
      <c r="O30" s="793">
        <f t="shared" si="2"/>
        <v>1.1406933972808746</v>
      </c>
    </row>
    <row r="31" spans="1:17">
      <c r="A31" s="31" t="s">
        <v>38</v>
      </c>
      <c r="B31" s="392">
        <f>120488+12239+18218</f>
        <v>150945</v>
      </c>
      <c r="C31" s="87">
        <v>108209</v>
      </c>
      <c r="D31" s="602">
        <f>22490+11900+19473+16591+12914+13370+11563+9278+10032</f>
        <v>127611</v>
      </c>
      <c r="E31" s="11">
        <f>SUM(F31:J31)</f>
        <v>10032</v>
      </c>
      <c r="F31" s="33">
        <v>3529</v>
      </c>
      <c r="G31" s="33">
        <v>4920</v>
      </c>
      <c r="H31" s="33">
        <v>1381</v>
      </c>
      <c r="I31" s="33">
        <v>202</v>
      </c>
      <c r="J31" s="12"/>
      <c r="K31" s="87">
        <f>285</f>
        <v>285</v>
      </c>
      <c r="L31" s="87"/>
      <c r="M31" s="22"/>
      <c r="N31" s="515"/>
      <c r="O31" s="793">
        <f t="shared" si="2"/>
        <v>1.1793011671857239</v>
      </c>
    </row>
    <row r="32" spans="1:17">
      <c r="A32" s="31" t="s">
        <v>39</v>
      </c>
      <c r="B32" s="14">
        <v>0</v>
      </c>
      <c r="C32" s="675"/>
      <c r="D32" s="557"/>
      <c r="E32" s="11"/>
      <c r="F32" s="13"/>
      <c r="G32" s="13"/>
      <c r="H32" s="13"/>
      <c r="I32" s="13"/>
      <c r="J32" s="13"/>
      <c r="K32" s="22"/>
      <c r="L32" s="22"/>
      <c r="M32" s="22"/>
      <c r="N32" s="515"/>
      <c r="O32" s="793"/>
    </row>
    <row r="33" spans="1:15">
      <c r="A33" s="31"/>
      <c r="B33" s="387"/>
      <c r="C33" s="675"/>
      <c r="D33" s="19"/>
      <c r="E33" s="768"/>
      <c r="F33" s="36"/>
      <c r="G33" s="36"/>
      <c r="H33" s="36"/>
      <c r="I33" s="36"/>
      <c r="J33" s="36"/>
      <c r="K33" s="36"/>
      <c r="L33" s="36"/>
      <c r="M33" s="36"/>
      <c r="N33" s="423"/>
      <c r="O33" s="793"/>
    </row>
    <row r="34" spans="1:15">
      <c r="A34" s="683" t="s">
        <v>40</v>
      </c>
      <c r="B34" s="7">
        <f>SUM(B35:B45)</f>
        <v>8314054</v>
      </c>
      <c r="C34" s="709">
        <v>6114125</v>
      </c>
      <c r="D34" s="556">
        <f>SUM(D35:D45)</f>
        <v>6754085</v>
      </c>
      <c r="E34" s="755">
        <f t="shared" ref="E34:N34" si="6">SUM(E35:E45)</f>
        <v>752579</v>
      </c>
      <c r="F34" s="274">
        <f t="shared" si="6"/>
        <v>291754</v>
      </c>
      <c r="G34" s="274">
        <f t="shared" si="6"/>
        <v>241447</v>
      </c>
      <c r="H34" s="274">
        <f t="shared" si="6"/>
        <v>89457</v>
      </c>
      <c r="I34" s="274">
        <f t="shared" si="6"/>
        <v>126599</v>
      </c>
      <c r="J34" s="274">
        <f t="shared" si="6"/>
        <v>3322</v>
      </c>
      <c r="K34" s="274">
        <f t="shared" si="6"/>
        <v>163051</v>
      </c>
      <c r="L34" s="274">
        <f t="shared" si="6"/>
        <v>44876</v>
      </c>
      <c r="M34" s="274">
        <f t="shared" si="6"/>
        <v>532</v>
      </c>
      <c r="N34" s="760">
        <f t="shared" si="6"/>
        <v>101903</v>
      </c>
      <c r="O34" s="792">
        <f t="shared" si="2"/>
        <v>1.1046691063725389</v>
      </c>
    </row>
    <row r="35" spans="1:15">
      <c r="A35" s="386" t="s">
        <v>41</v>
      </c>
      <c r="B35" s="14">
        <f>439746+58130+61049</f>
        <v>558925</v>
      </c>
      <c r="C35" s="675">
        <v>392819</v>
      </c>
      <c r="D35" s="557">
        <f>176793+71526+59980+65204+71423+79211+71917</f>
        <v>596054</v>
      </c>
      <c r="E35" s="11">
        <f t="shared" ref="E35:E41" si="7">SUM(F35:J35)</f>
        <v>71917</v>
      </c>
      <c r="F35" s="13"/>
      <c r="G35" s="13"/>
      <c r="H35" s="13">
        <v>19249</v>
      </c>
      <c r="I35" s="13">
        <v>52668</v>
      </c>
      <c r="J35" s="13"/>
      <c r="K35" s="88">
        <v>1857</v>
      </c>
      <c r="L35" s="88">
        <f>14994+4</f>
        <v>14998</v>
      </c>
      <c r="M35" s="88"/>
      <c r="N35" s="788"/>
      <c r="O35" s="793">
        <f t="shared" si="2"/>
        <v>1.5173756870212489</v>
      </c>
    </row>
    <row r="36" spans="1:15">
      <c r="A36" s="386" t="s">
        <v>42</v>
      </c>
      <c r="B36" s="14">
        <f>506252+63971</f>
        <v>570223</v>
      </c>
      <c r="C36" s="750">
        <v>397072</v>
      </c>
      <c r="D36" s="557">
        <f>315296+56739+61665+55007</f>
        <v>488707</v>
      </c>
      <c r="E36" s="11">
        <f>SUM(H36:J36)</f>
        <v>55007</v>
      </c>
      <c r="F36" s="13"/>
      <c r="G36" s="13"/>
      <c r="H36" s="867">
        <v>9106</v>
      </c>
      <c r="I36" s="867">
        <v>45901</v>
      </c>
      <c r="J36" s="13"/>
      <c r="K36" s="88">
        <f>71+963</f>
        <v>1034</v>
      </c>
      <c r="L36" s="88">
        <f>287</f>
        <v>287</v>
      </c>
      <c r="M36" s="88"/>
      <c r="N36" s="788">
        <v>55007</v>
      </c>
      <c r="O36" s="793">
        <f t="shared" si="2"/>
        <v>1.2307767860740622</v>
      </c>
    </row>
    <row r="37" spans="1:15" ht="15.6">
      <c r="A37" s="388" t="s">
        <v>43</v>
      </c>
      <c r="B37" s="686">
        <f>42017+51282+45948+47390+55304+49234+45680+47437+43911+34616+30188+41910</f>
        <v>534917</v>
      </c>
      <c r="C37" s="687">
        <v>428203</v>
      </c>
      <c r="D37" s="688">
        <f>43919+38655+49389+49920+41452+46211+54147+61115+45816</f>
        <v>430624</v>
      </c>
      <c r="E37" s="769">
        <f t="shared" si="7"/>
        <v>45816</v>
      </c>
      <c r="F37" s="677">
        <v>16658</v>
      </c>
      <c r="G37" s="677">
        <v>17508</v>
      </c>
      <c r="H37" s="677">
        <v>4270</v>
      </c>
      <c r="I37" s="678">
        <v>4058</v>
      </c>
      <c r="J37" s="677">
        <v>3322</v>
      </c>
      <c r="K37" s="88">
        <v>12162</v>
      </c>
      <c r="L37" s="88">
        <f>3597+547+519+554+2863</f>
        <v>8080</v>
      </c>
      <c r="M37" s="88"/>
      <c r="N37" s="788">
        <v>45816</v>
      </c>
      <c r="O37" s="793">
        <f t="shared" si="2"/>
        <v>1.0056538604353542</v>
      </c>
    </row>
    <row r="38" spans="1:15">
      <c r="A38" s="31" t="s">
        <v>44</v>
      </c>
      <c r="B38" s="393">
        <f>154869+18461+17185+18184+22072</f>
        <v>230771</v>
      </c>
      <c r="C38" s="690">
        <v>173330</v>
      </c>
      <c r="D38" s="636">
        <f>20214+11681+23581+25619+22301+21824+20127+19528+19926</f>
        <v>184801</v>
      </c>
      <c r="E38" s="669">
        <f t="shared" si="7"/>
        <v>19926</v>
      </c>
      <c r="F38" s="13"/>
      <c r="G38" s="13"/>
      <c r="H38" s="13">
        <v>9759</v>
      </c>
      <c r="I38" s="13">
        <v>10167</v>
      </c>
      <c r="J38" s="89"/>
      <c r="K38" s="90">
        <f>2335+2777</f>
        <v>5112</v>
      </c>
      <c r="L38" s="88">
        <f>508+298</f>
        <v>806</v>
      </c>
      <c r="M38" s="88">
        <v>176</v>
      </c>
      <c r="N38" s="788"/>
      <c r="O38" s="793">
        <f t="shared" si="2"/>
        <v>1.0661801188484394</v>
      </c>
    </row>
    <row r="39" spans="1:15">
      <c r="A39" s="31" t="s">
        <v>45</v>
      </c>
      <c r="B39" s="394">
        <f>50925+32855+32535+28886+28236+30552+33558+32390+29858+33841+31383</f>
        <v>365019</v>
      </c>
      <c r="C39" s="44">
        <v>269937</v>
      </c>
      <c r="D39" s="603">
        <f>36191+20920+29070+23929+27875+30427+28473+27605+28149</f>
        <v>252639</v>
      </c>
      <c r="E39" s="11">
        <f>SUM(H39:J39)</f>
        <v>28149</v>
      </c>
      <c r="F39" s="722"/>
      <c r="G39" s="722"/>
      <c r="H39" s="13">
        <v>14344</v>
      </c>
      <c r="I39" s="13">
        <v>13805</v>
      </c>
      <c r="J39" s="12"/>
      <c r="K39" s="22">
        <f>4463+4345</f>
        <v>8808</v>
      </c>
      <c r="L39" s="22">
        <f>201+298</f>
        <v>499</v>
      </c>
      <c r="M39" s="22">
        <v>356</v>
      </c>
      <c r="N39" s="515">
        <v>40</v>
      </c>
      <c r="O39" s="793">
        <f t="shared" si="2"/>
        <v>0.93591838095555635</v>
      </c>
    </row>
    <row r="40" spans="1:15">
      <c r="A40" s="31" t="s">
        <v>46</v>
      </c>
      <c r="B40" s="394">
        <f>5696+3958+5815+9110+7468+13154+12856+16704+16494+13524+11707+13991</f>
        <v>130477</v>
      </c>
      <c r="C40" s="691">
        <v>91255</v>
      </c>
      <c r="D40" s="603">
        <f>12008+9467+14763+14113+14691+14606+10209+8082+10081</f>
        <v>108020</v>
      </c>
      <c r="E40" s="11">
        <f>SUM(F40:J40)</f>
        <v>10081</v>
      </c>
      <c r="F40" s="13">
        <v>2325</v>
      </c>
      <c r="G40" s="13">
        <v>7756</v>
      </c>
      <c r="H40" s="13"/>
      <c r="I40" s="13"/>
      <c r="J40" s="13"/>
      <c r="K40" s="22">
        <f>913+1358</f>
        <v>2271</v>
      </c>
      <c r="L40" s="22">
        <f>0+1506</f>
        <v>1506</v>
      </c>
      <c r="M40" s="88"/>
      <c r="N40" s="788"/>
      <c r="O40" s="793">
        <f t="shared" si="2"/>
        <v>1.1837159607692729</v>
      </c>
    </row>
    <row r="41" spans="1:15">
      <c r="A41" s="31" t="s">
        <v>47</v>
      </c>
      <c r="B41" s="394">
        <f>372397+393542+480876+438506+433683+444706+469051+460647+432596+460939+470477+474708</f>
        <v>5332128</v>
      </c>
      <c r="C41" s="691">
        <v>3926004</v>
      </c>
      <c r="D41" s="603">
        <f>492323+373517+489518+501319+498148+483300+509517+496996+483525</f>
        <v>4328163</v>
      </c>
      <c r="E41" s="11">
        <f t="shared" si="7"/>
        <v>483525</v>
      </c>
      <c r="F41" s="13">
        <v>268171</v>
      </c>
      <c r="G41" s="13">
        <v>215354</v>
      </c>
      <c r="H41" s="13"/>
      <c r="I41" s="12"/>
      <c r="J41" s="13"/>
      <c r="K41" s="87">
        <f>71612+59827</f>
        <v>131439</v>
      </c>
      <c r="L41" s="87">
        <f>5211+13353</f>
        <v>18564</v>
      </c>
      <c r="M41" s="88"/>
      <c r="N41" s="788"/>
      <c r="O41" s="793">
        <f t="shared" si="2"/>
        <v>1.102434689317688</v>
      </c>
    </row>
    <row r="42" spans="1:15">
      <c r="A42" s="31" t="s">
        <v>48</v>
      </c>
      <c r="B42" s="394">
        <f>32440+39588+48102+43548+41412+40968+51704+51435+55440+57617+45700+41689</f>
        <v>549643</v>
      </c>
      <c r="C42" s="691">
        <v>404637</v>
      </c>
      <c r="D42" s="603">
        <f>41444+27037+39698+37856+42480+38521+41958+41846+36877</f>
        <v>347717</v>
      </c>
      <c r="E42" s="11">
        <f>SUM(F42:J42)</f>
        <v>36877</v>
      </c>
      <c r="F42" s="1035">
        <v>4148</v>
      </c>
      <c r="G42" s="1035"/>
      <c r="H42" s="1035">
        <v>32729</v>
      </c>
      <c r="I42" s="1035"/>
      <c r="J42" s="13"/>
      <c r="K42" s="88"/>
      <c r="L42" s="88"/>
      <c r="M42" s="88"/>
      <c r="N42" s="788"/>
      <c r="O42" s="793">
        <f t="shared" si="2"/>
        <v>0.85933070875871465</v>
      </c>
    </row>
    <row r="43" spans="1:15">
      <c r="A43" s="31" t="s">
        <v>49</v>
      </c>
      <c r="B43" s="389">
        <f>SUM(D43:G43)</f>
        <v>0</v>
      </c>
      <c r="C43" s="691">
        <v>0</v>
      </c>
      <c r="D43" s="582"/>
      <c r="E43" s="11"/>
      <c r="F43" s="13"/>
      <c r="G43" s="13"/>
      <c r="H43" s="13"/>
      <c r="I43" s="13"/>
      <c r="J43" s="13"/>
      <c r="K43" s="88"/>
      <c r="L43" s="88"/>
      <c r="M43" s="88"/>
      <c r="N43" s="788"/>
      <c r="O43" s="793"/>
    </row>
    <row r="44" spans="1:15">
      <c r="A44" s="31" t="s">
        <v>50</v>
      </c>
      <c r="B44" s="395">
        <f>2388+2166+2181+2143+2735+2159+2232+3124+2401+2891+2264+3229</f>
        <v>29913</v>
      </c>
      <c r="C44" s="36">
        <v>21529</v>
      </c>
      <c r="D44" s="604">
        <f>1591+185+300+228+282+250+254+222+245</f>
        <v>3557</v>
      </c>
      <c r="E44" s="11">
        <f>SUM(F44:J44)</f>
        <v>245</v>
      </c>
      <c r="F44" s="13">
        <v>121</v>
      </c>
      <c r="G44" s="13">
        <v>124</v>
      </c>
      <c r="H44" s="13"/>
      <c r="I44" s="13"/>
      <c r="J44" s="13"/>
      <c r="K44" s="88">
        <v>245</v>
      </c>
      <c r="L44" s="88">
        <f>121</f>
        <v>121</v>
      </c>
      <c r="M44" s="88"/>
      <c r="N44" s="788">
        <v>4</v>
      </c>
      <c r="O44" s="793">
        <f t="shared" si="2"/>
        <v>0.16521900692089739</v>
      </c>
    </row>
    <row r="45" spans="1:15">
      <c r="A45" s="31" t="s">
        <v>51</v>
      </c>
      <c r="B45" s="395">
        <v>12038</v>
      </c>
      <c r="C45" s="752">
        <v>9339</v>
      </c>
      <c r="D45" s="604">
        <f>5554+2707+1759+1797+950+1036</f>
        <v>13803</v>
      </c>
      <c r="E45" s="11">
        <f>SUM(F45:F45:J45)</f>
        <v>1036</v>
      </c>
      <c r="F45" s="13">
        <v>331</v>
      </c>
      <c r="G45" s="13">
        <v>705</v>
      </c>
      <c r="H45" s="13"/>
      <c r="I45" s="13"/>
      <c r="J45" s="91"/>
      <c r="K45" s="90">
        <f>28+95</f>
        <v>123</v>
      </c>
      <c r="L45" s="88">
        <f>13+2</f>
        <v>15</v>
      </c>
      <c r="M45" s="88"/>
      <c r="N45" s="788">
        <v>1036</v>
      </c>
      <c r="O45" s="793">
        <f t="shared" si="2"/>
        <v>1.477995502730485</v>
      </c>
    </row>
    <row r="46" spans="1:15" ht="17.100000000000001" customHeight="1">
      <c r="A46" s="31"/>
      <c r="B46" s="419"/>
      <c r="C46" s="36"/>
      <c r="D46" s="558"/>
      <c r="E46" s="770"/>
      <c r="F46" s="44"/>
      <c r="G46" s="44"/>
      <c r="H46" s="44"/>
      <c r="I46" s="44"/>
      <c r="J46" s="44"/>
      <c r="K46" s="44"/>
      <c r="L46" s="44"/>
      <c r="M46" s="44"/>
      <c r="N46" s="789"/>
      <c r="O46" s="793"/>
    </row>
    <row r="47" spans="1:15">
      <c r="A47" s="683" t="s">
        <v>52</v>
      </c>
      <c r="B47" s="928">
        <f>SUM(B48:B55)</f>
        <v>4797590</v>
      </c>
      <c r="C47" s="981">
        <v>3899814</v>
      </c>
      <c r="D47" s="949">
        <f>SUM(D48:D55)</f>
        <v>4693085</v>
      </c>
      <c r="E47" s="957">
        <f>SUM(E48:E54)</f>
        <v>543042</v>
      </c>
      <c r="F47" s="925">
        <f t="shared" ref="F47:N47" si="8">SUM(F48:F55)</f>
        <v>236569</v>
      </c>
      <c r="G47" s="925">
        <f t="shared" si="8"/>
        <v>267519</v>
      </c>
      <c r="H47" s="9">
        <f t="shared" si="8"/>
        <v>4286</v>
      </c>
      <c r="I47" s="9">
        <f t="shared" si="8"/>
        <v>2116</v>
      </c>
      <c r="J47" s="9">
        <f t="shared" si="8"/>
        <v>32552</v>
      </c>
      <c r="K47" s="72">
        <f t="shared" si="8"/>
        <v>36996</v>
      </c>
      <c r="L47" s="72">
        <f t="shared" si="8"/>
        <v>52404</v>
      </c>
      <c r="M47" s="72">
        <f t="shared" si="8"/>
        <v>1154</v>
      </c>
      <c r="N47" s="522">
        <f t="shared" si="8"/>
        <v>57576</v>
      </c>
      <c r="O47" s="792">
        <f t="shared" si="2"/>
        <v>1.203412521725395</v>
      </c>
    </row>
    <row r="48" spans="1:15">
      <c r="A48" s="31" t="s">
        <v>53</v>
      </c>
      <c r="B48" s="14">
        <v>0</v>
      </c>
      <c r="C48" s="675"/>
      <c r="D48" s="557"/>
      <c r="E48" s="11">
        <f t="shared" ref="E48:E52" si="9">SUM(F48:J48)</f>
        <v>0</v>
      </c>
      <c r="F48" s="13"/>
      <c r="G48" s="13"/>
      <c r="H48" s="13"/>
      <c r="I48" s="13"/>
      <c r="J48" s="13"/>
      <c r="K48" s="36"/>
      <c r="L48" s="36"/>
      <c r="M48" s="36"/>
      <c r="N48" s="423"/>
      <c r="O48" s="793"/>
    </row>
    <row r="49" spans="1:17">
      <c r="A49" s="1075" t="s">
        <v>54</v>
      </c>
      <c r="B49" s="1057">
        <f>127394+89400+147995+127434+174236+176428+189135+187087+174544+192913+163797+135579</f>
        <v>1885942</v>
      </c>
      <c r="C49" s="1108">
        <v>1393653</v>
      </c>
      <c r="D49" s="1103">
        <f>152617+131920+130997+153389+149066+196349+174625+189556+159615</f>
        <v>1438134</v>
      </c>
      <c r="E49" s="1109">
        <f t="shared" si="9"/>
        <v>159615</v>
      </c>
      <c r="F49" s="1016">
        <v>67016</v>
      </c>
      <c r="G49" s="1016">
        <v>77912</v>
      </c>
      <c r="H49" s="1016">
        <v>4286</v>
      </c>
      <c r="I49" s="1016">
        <v>2116</v>
      </c>
      <c r="J49" s="1016">
        <v>8285</v>
      </c>
      <c r="K49" s="1017">
        <f>2765+6039+887+173+191</f>
        <v>10055</v>
      </c>
      <c r="L49" s="1017">
        <f>3469+3+57+223+128</f>
        <v>3880</v>
      </c>
      <c r="M49" s="1017"/>
      <c r="N49" s="1077"/>
      <c r="O49" s="1078">
        <f t="shared" si="2"/>
        <v>1.0319168401316541</v>
      </c>
      <c r="P49" s="1015"/>
    </row>
    <row r="50" spans="1:17">
      <c r="A50" s="1076"/>
      <c r="B50" s="1058"/>
      <c r="C50" s="1108"/>
      <c r="D50" s="1104"/>
      <c r="E50" s="1110"/>
      <c r="F50" s="1016"/>
      <c r="G50" s="1016"/>
      <c r="H50" s="1016"/>
      <c r="I50" s="1016"/>
      <c r="J50" s="1016"/>
      <c r="K50" s="1017"/>
      <c r="L50" s="1017"/>
      <c r="M50" s="1017"/>
      <c r="N50" s="1077"/>
      <c r="O50" s="1079"/>
      <c r="P50" s="1015"/>
    </row>
    <row r="51" spans="1:17">
      <c r="A51" s="31" t="s">
        <v>56</v>
      </c>
      <c r="B51" s="397">
        <f>47356+52560+79724+85499+66734+68133+73487+69407+60723+61109+72181+84025</f>
        <v>820938</v>
      </c>
      <c r="C51" s="36">
        <v>603623</v>
      </c>
      <c r="D51" s="637">
        <f>97537+55586+99611+80866+84077+87464+89817+110297+103108</f>
        <v>808363</v>
      </c>
      <c r="E51" s="11">
        <f t="shared" si="9"/>
        <v>103108</v>
      </c>
      <c r="F51" s="45">
        <v>44717</v>
      </c>
      <c r="G51" s="33">
        <v>50110</v>
      </c>
      <c r="H51" s="46"/>
      <c r="I51" s="12"/>
      <c r="J51" s="33">
        <v>8281</v>
      </c>
      <c r="K51" s="87">
        <f>1692+3556+802</f>
        <v>6050</v>
      </c>
      <c r="L51" s="81">
        <f>1027+88+93</f>
        <v>1208</v>
      </c>
      <c r="M51" s="36"/>
      <c r="N51" s="423"/>
      <c r="O51" s="793">
        <f t="shared" si="2"/>
        <v>1.3391852199137542</v>
      </c>
    </row>
    <row r="52" spans="1:17">
      <c r="A52" s="17" t="s">
        <v>57</v>
      </c>
      <c r="B52" s="395">
        <f>38855+42860+48337+46082+47751+44611+75076+55809+60576+63502+55882+64932</f>
        <v>644273</v>
      </c>
      <c r="C52" s="36">
        <v>459957</v>
      </c>
      <c r="D52" s="604">
        <f>59734+65037+69566+76869+85180+98871+84349+95878+74900</f>
        <v>710384</v>
      </c>
      <c r="E52" s="11">
        <f t="shared" si="9"/>
        <v>74900</v>
      </c>
      <c r="F52" s="13">
        <v>26516</v>
      </c>
      <c r="G52" s="13">
        <v>34871</v>
      </c>
      <c r="H52" s="13"/>
      <c r="I52" s="92"/>
      <c r="J52" s="13">
        <v>13513</v>
      </c>
      <c r="K52" s="22">
        <v>11152</v>
      </c>
      <c r="L52" s="22">
        <f>20102+876+687</f>
        <v>21665</v>
      </c>
      <c r="M52" s="36"/>
      <c r="N52" s="423"/>
      <c r="O52" s="793">
        <f t="shared" si="2"/>
        <v>1.5444574166715583</v>
      </c>
    </row>
    <row r="53" spans="1:17">
      <c r="A53" s="17" t="s">
        <v>58</v>
      </c>
      <c r="B53" s="395">
        <f>38927+25455+65397+44769+34250+34453+44944+60275+38990+46527+28707+33843</f>
        <v>496537</v>
      </c>
      <c r="C53" s="36">
        <v>387460</v>
      </c>
      <c r="D53" s="604">
        <f>47624+41548+39771+61527+61540+40461+59109+75205+60419</f>
        <v>487204</v>
      </c>
      <c r="E53" s="11">
        <f>SUM(F53:J53)</f>
        <v>60419</v>
      </c>
      <c r="F53" s="13">
        <v>31638</v>
      </c>
      <c r="G53" s="13">
        <v>26308</v>
      </c>
      <c r="H53" s="13"/>
      <c r="I53" s="13"/>
      <c r="J53" s="13">
        <v>2473</v>
      </c>
      <c r="K53" s="88">
        <v>9739</v>
      </c>
      <c r="L53" s="88">
        <f>24674+1+976</f>
        <v>25651</v>
      </c>
      <c r="M53" s="88">
        <v>1154</v>
      </c>
      <c r="N53" s="788">
        <v>57576</v>
      </c>
      <c r="O53" s="793">
        <f t="shared" si="2"/>
        <v>1.2574304444329738</v>
      </c>
      <c r="P53" s="129"/>
    </row>
    <row r="54" spans="1:17">
      <c r="A54" s="47" t="s">
        <v>59</v>
      </c>
      <c r="B54" s="905">
        <v>949900</v>
      </c>
      <c r="C54" s="956">
        <v>606900</v>
      </c>
      <c r="D54" s="907">
        <v>1249000</v>
      </c>
      <c r="E54" s="669">
        <f>SUM(F54:G54)</f>
        <v>145000</v>
      </c>
      <c r="F54" s="908">
        <v>66682</v>
      </c>
      <c r="G54" s="909">
        <v>78318</v>
      </c>
      <c r="H54" s="642"/>
      <c r="I54" s="93"/>
      <c r="J54" s="94"/>
      <c r="K54" s="95"/>
      <c r="L54" s="95"/>
      <c r="M54" s="95"/>
      <c r="N54" s="790"/>
      <c r="O54" s="793">
        <f t="shared" si="2"/>
        <v>2.0579996704564181</v>
      </c>
      <c r="P54" s="640"/>
    </row>
    <row r="55" spans="1:17">
      <c r="A55" s="17" t="s">
        <v>60</v>
      </c>
      <c r="B55" s="382"/>
      <c r="C55" s="52"/>
      <c r="D55" s="583"/>
      <c r="E55" s="768"/>
      <c r="F55" s="51"/>
      <c r="G55" s="51"/>
      <c r="H55" s="52"/>
      <c r="I55" s="799"/>
      <c r="J55" s="51"/>
      <c r="K55" s="36"/>
      <c r="L55" s="36"/>
      <c r="M55" s="36"/>
      <c r="N55" s="423"/>
      <c r="O55" s="793"/>
      <c r="P55" s="129"/>
      <c r="Q55" s="641"/>
    </row>
    <row r="56" spans="1:17">
      <c r="A56" s="17"/>
      <c r="B56" s="382"/>
      <c r="C56" s="682"/>
      <c r="D56" s="583"/>
      <c r="E56" s="768"/>
      <c r="F56" s="514"/>
      <c r="G56" s="51"/>
      <c r="H56" s="52"/>
      <c r="I56" s="514"/>
      <c r="J56" s="51"/>
      <c r="K56" s="36"/>
      <c r="L56" s="36"/>
      <c r="M56" s="36"/>
      <c r="N56" s="423"/>
      <c r="O56" s="793"/>
      <c r="P56" s="129"/>
      <c r="Q56" s="641"/>
    </row>
    <row r="57" spans="1:17">
      <c r="A57" s="693" t="s">
        <v>61</v>
      </c>
      <c r="B57" s="694">
        <f>SUM(B58:B65)</f>
        <v>71421</v>
      </c>
      <c r="C57" s="759">
        <v>54283</v>
      </c>
      <c r="D57" s="773">
        <f>SUM(D58:D65)</f>
        <v>40149</v>
      </c>
      <c r="E57" s="753">
        <f t="shared" ref="E57" si="10">SUM(E58:E65)</f>
        <v>5250</v>
      </c>
      <c r="F57" s="695"/>
      <c r="G57" s="695"/>
      <c r="H57" s="753">
        <f t="shared" ref="H57:N57" si="11">SUM(H58:H65)</f>
        <v>2477</v>
      </c>
      <c r="I57" s="753">
        <f t="shared" si="11"/>
        <v>2773</v>
      </c>
      <c r="J57" s="695"/>
      <c r="K57" s="753">
        <f t="shared" si="11"/>
        <v>2180</v>
      </c>
      <c r="L57" s="753">
        <f t="shared" si="11"/>
        <v>1563</v>
      </c>
      <c r="M57" s="753">
        <f t="shared" si="11"/>
        <v>0</v>
      </c>
      <c r="N57" s="753">
        <f t="shared" si="11"/>
        <v>4263</v>
      </c>
      <c r="O57" s="792">
        <f t="shared" si="2"/>
        <v>0.73962382329642795</v>
      </c>
    </row>
    <row r="58" spans="1:17">
      <c r="A58" s="17" t="s">
        <v>62</v>
      </c>
      <c r="B58" s="395">
        <f>122+557+792+366+499+468+393+769+628+559+497+230</f>
        <v>5880</v>
      </c>
      <c r="C58" s="754">
        <v>4594</v>
      </c>
      <c r="D58" s="774">
        <f>335+74+675+1816+624+522+232+273+655</f>
        <v>5206</v>
      </c>
      <c r="E58" s="11">
        <f>SUM(F58:J58)</f>
        <v>655</v>
      </c>
      <c r="F58" s="291"/>
      <c r="G58" s="13"/>
      <c r="H58" s="57">
        <v>279</v>
      </c>
      <c r="I58" s="13">
        <v>376</v>
      </c>
      <c r="J58" s="13"/>
      <c r="K58" s="36">
        <f>15</f>
        <v>15</v>
      </c>
      <c r="L58" s="36">
        <v>3</v>
      </c>
      <c r="M58" s="36"/>
      <c r="N58" s="423"/>
      <c r="O58" s="793">
        <f t="shared" si="2"/>
        <v>1.133217239878102</v>
      </c>
      <c r="P58" s="385"/>
    </row>
    <row r="59" spans="1:17">
      <c r="A59" s="17" t="s">
        <v>63</v>
      </c>
      <c r="B59" s="14"/>
      <c r="C59" s="257"/>
      <c r="D59" s="775"/>
      <c r="E59" s="11">
        <f t="shared" ref="E59:E65" si="12">SUM(F59:J59)</f>
        <v>0</v>
      </c>
      <c r="F59" s="58"/>
      <c r="G59" s="11"/>
      <c r="H59" s="13"/>
      <c r="I59" s="13"/>
      <c r="J59" s="13"/>
      <c r="K59" s="36"/>
      <c r="L59" s="36"/>
      <c r="M59" s="36"/>
      <c r="N59" s="423"/>
      <c r="O59" s="793"/>
    </row>
    <row r="60" spans="1:17">
      <c r="A60" s="17" t="s">
        <v>64</v>
      </c>
      <c r="B60" s="395">
        <f>774+884+1093+1806+989+1127+1587+1317+1182+1138+1729+1456</f>
        <v>15082</v>
      </c>
      <c r="C60" s="756">
        <v>10759</v>
      </c>
      <c r="D60" s="774">
        <f>1670+1062+1129+1350+1391+1439+1192+1252+1332</f>
        <v>11817</v>
      </c>
      <c r="E60" s="11">
        <f t="shared" si="12"/>
        <v>1332</v>
      </c>
      <c r="F60" s="57"/>
      <c r="G60" s="11"/>
      <c r="H60" s="13">
        <v>683</v>
      </c>
      <c r="I60" s="13">
        <v>649</v>
      </c>
      <c r="J60" s="13"/>
      <c r="K60" s="36">
        <f>288+292</f>
        <v>580</v>
      </c>
      <c r="L60" s="36">
        <f>319+265</f>
        <v>584</v>
      </c>
      <c r="M60" s="36"/>
      <c r="N60" s="423">
        <v>1332</v>
      </c>
      <c r="O60" s="793">
        <f t="shared" si="2"/>
        <v>1.0983362766056326</v>
      </c>
    </row>
    <row r="61" spans="1:17">
      <c r="A61" s="17" t="s">
        <v>65</v>
      </c>
      <c r="B61" s="14">
        <f>19101+1605+2057+920+1082</f>
        <v>24765</v>
      </c>
      <c r="C61" s="257">
        <v>20706</v>
      </c>
      <c r="D61" s="775">
        <f>1089+517+1381+2546+1336+1503+1713+1785+1646</f>
        <v>13516</v>
      </c>
      <c r="E61" s="11">
        <f t="shared" si="12"/>
        <v>1646</v>
      </c>
      <c r="F61" s="58"/>
      <c r="G61" s="11"/>
      <c r="H61" s="13">
        <v>738</v>
      </c>
      <c r="I61" s="13">
        <v>908</v>
      </c>
      <c r="J61" s="13"/>
      <c r="K61" s="22">
        <v>1314</v>
      </c>
      <c r="L61" s="22">
        <f>738</f>
        <v>738</v>
      </c>
      <c r="M61" s="36"/>
      <c r="N61" s="423">
        <v>1314</v>
      </c>
      <c r="O61" s="793">
        <f t="shared" si="2"/>
        <v>0.6527576547860523</v>
      </c>
    </row>
    <row r="62" spans="1:17">
      <c r="A62" s="398" t="s">
        <v>66</v>
      </c>
      <c r="B62" s="389">
        <f>SUM(D62:G62)</f>
        <v>0</v>
      </c>
      <c r="C62" s="257">
        <v>0</v>
      </c>
      <c r="D62" s="776"/>
      <c r="E62" s="11">
        <f t="shared" si="12"/>
        <v>0</v>
      </c>
      <c r="F62" s="476"/>
      <c r="G62" s="11"/>
      <c r="H62" s="13"/>
      <c r="I62" s="13"/>
      <c r="J62" s="13"/>
      <c r="K62" s="36"/>
      <c r="L62" s="36"/>
      <c r="M62" s="36"/>
      <c r="N62" s="423"/>
      <c r="O62" s="793"/>
    </row>
    <row r="63" spans="1:17">
      <c r="A63" s="17" t="s">
        <v>67</v>
      </c>
      <c r="B63" s="14">
        <v>19597</v>
      </c>
      <c r="C63" s="257">
        <v>14081</v>
      </c>
      <c r="D63" s="777">
        <f>949+632+800+680+378+254+120+150+155</f>
        <v>4118</v>
      </c>
      <c r="E63" s="11">
        <f t="shared" si="12"/>
        <v>155</v>
      </c>
      <c r="F63" s="58"/>
      <c r="G63" s="11"/>
      <c r="H63" s="13">
        <v>65</v>
      </c>
      <c r="I63" s="13">
        <v>90</v>
      </c>
      <c r="J63" s="13"/>
      <c r="K63" s="22">
        <f>90</f>
        <v>90</v>
      </c>
      <c r="L63" s="22">
        <f>65</f>
        <v>65</v>
      </c>
      <c r="M63" s="36"/>
      <c r="N63" s="423">
        <v>155</v>
      </c>
      <c r="O63" s="793">
        <f t="shared" si="2"/>
        <v>0.29245082025424329</v>
      </c>
    </row>
    <row r="64" spans="1:17">
      <c r="A64" s="399" t="s">
        <v>68</v>
      </c>
      <c r="B64" s="390"/>
      <c r="C64" s="747"/>
      <c r="D64" s="774"/>
      <c r="E64" s="11">
        <f t="shared" si="12"/>
        <v>0</v>
      </c>
      <c r="F64" s="57"/>
      <c r="G64" s="62"/>
      <c r="H64" s="12"/>
      <c r="I64" s="12"/>
      <c r="J64" s="12"/>
      <c r="K64" s="28"/>
      <c r="L64" s="28"/>
      <c r="M64" s="28"/>
      <c r="N64" s="116"/>
      <c r="O64" s="793"/>
    </row>
    <row r="65" spans="1:17">
      <c r="A65" s="17" t="s">
        <v>69</v>
      </c>
      <c r="B65" s="395">
        <f>3284+527+85+247+741+628+585</f>
        <v>6097</v>
      </c>
      <c r="C65" s="757">
        <v>4143</v>
      </c>
      <c r="D65" s="774">
        <f>703+210+509+267+526+508+670+637+1462</f>
        <v>5492</v>
      </c>
      <c r="E65" s="11">
        <f t="shared" si="12"/>
        <v>1462</v>
      </c>
      <c r="F65" s="13"/>
      <c r="G65" s="13"/>
      <c r="H65" s="13">
        <v>712</v>
      </c>
      <c r="I65" s="13">
        <v>750</v>
      </c>
      <c r="J65" s="13"/>
      <c r="K65" s="22">
        <f>176+5</f>
        <v>181</v>
      </c>
      <c r="L65" s="22">
        <f>173</f>
        <v>173</v>
      </c>
      <c r="M65" s="22"/>
      <c r="N65" s="515">
        <v>1462</v>
      </c>
      <c r="O65" s="793">
        <f t="shared" si="2"/>
        <v>1.3256094617426986</v>
      </c>
      <c r="Q65" s="499"/>
    </row>
    <row r="66" spans="1:17" ht="15" thickBot="1">
      <c r="A66" s="778"/>
      <c r="B66" s="779"/>
      <c r="C66" s="780"/>
      <c r="D66" s="781"/>
      <c r="E66" s="771"/>
      <c r="F66" s="66"/>
      <c r="G66" s="178"/>
      <c r="H66" s="66"/>
      <c r="I66" s="66"/>
      <c r="J66" s="66"/>
      <c r="K66" s="66"/>
      <c r="L66" s="66"/>
      <c r="M66" s="66"/>
      <c r="N66" s="791"/>
      <c r="O66" s="793"/>
    </row>
    <row r="67" spans="1:17" s="1" customFormat="1" ht="20.100000000000001" customHeight="1" thickBot="1">
      <c r="A67" s="772" t="s">
        <v>70</v>
      </c>
      <c r="B67" s="985">
        <f>B6+B28+B34+B47+B57</f>
        <v>18561273</v>
      </c>
      <c r="C67" s="986">
        <f>C6+C28+C34+C47+C57</f>
        <v>13952154</v>
      </c>
      <c r="D67" s="987">
        <f>D6+D28+D34+D47+D57</f>
        <v>16116509</v>
      </c>
      <c r="E67" s="951">
        <f>E6+E28+E34+E47+E57</f>
        <v>1793442</v>
      </c>
      <c r="F67" s="934">
        <f>F6+F28+F34+F47+F57</f>
        <v>750326</v>
      </c>
      <c r="G67" s="935">
        <f>G6+G28+F34+G47+G57</f>
        <v>762868</v>
      </c>
      <c r="H67" s="102">
        <f t="shared" ref="H67:N67" si="13">H6+H28+G34+H47+H57</f>
        <v>281901</v>
      </c>
      <c r="I67" s="102">
        <f t="shared" si="13"/>
        <v>127628</v>
      </c>
      <c r="J67" s="102">
        <f t="shared" si="13"/>
        <v>159151</v>
      </c>
      <c r="K67" s="127">
        <f t="shared" si="13"/>
        <v>109478</v>
      </c>
      <c r="L67" s="127">
        <f t="shared" si="13"/>
        <v>233858</v>
      </c>
      <c r="M67" s="127">
        <f t="shared" si="13"/>
        <v>52459</v>
      </c>
      <c r="N67" s="797">
        <f t="shared" si="13"/>
        <v>62597</v>
      </c>
      <c r="O67" s="798">
        <f t="shared" si="2"/>
        <v>1.1551269431229041</v>
      </c>
    </row>
    <row r="68" spans="1:17" s="1" customFormat="1" ht="19.649999999999999" customHeight="1" thickBot="1">
      <c r="A68" s="735" t="s">
        <v>160</v>
      </c>
      <c r="B68" s="988">
        <f>B67+B26</f>
        <v>20384487</v>
      </c>
      <c r="C68" s="989">
        <f>C67+C26</f>
        <v>15189408</v>
      </c>
      <c r="D68" s="989">
        <f>D67+D26</f>
        <v>17473418</v>
      </c>
      <c r="E68" s="990">
        <f>E67+E26</f>
        <v>1984946</v>
      </c>
      <c r="F68" s="991"/>
      <c r="G68" s="991"/>
      <c r="H68" s="725"/>
      <c r="I68" s="725"/>
      <c r="J68" s="725"/>
      <c r="K68" s="725"/>
      <c r="L68" s="724"/>
      <c r="N68" s="724"/>
      <c r="O68" s="726"/>
    </row>
    <row r="69" spans="1:17">
      <c r="A69" s="3"/>
      <c r="B69" s="700"/>
      <c r="C69" s="700"/>
      <c r="D69" s="700"/>
      <c r="E69" s="700"/>
      <c r="F69" s="68"/>
      <c r="G69" s="68"/>
      <c r="H69" s="3"/>
      <c r="I69" s="3"/>
      <c r="J69" s="3"/>
      <c r="K69" s="3"/>
      <c r="L69" s="68"/>
      <c r="M69" s="68" t="s">
        <v>175</v>
      </c>
      <c r="N69" s="68"/>
      <c r="O69" s="3"/>
    </row>
    <row r="70" spans="1:17">
      <c r="B70" s="3"/>
      <c r="C70" s="3"/>
      <c r="D70" s="68"/>
      <c r="E70" s="3"/>
      <c r="F70" s="68"/>
      <c r="G70" s="3"/>
      <c r="H70" s="3"/>
      <c r="I70" s="3"/>
      <c r="J70" s="3"/>
      <c r="K70" s="3"/>
      <c r="L70" s="68"/>
      <c r="M70" s="68"/>
      <c r="N70" s="68"/>
      <c r="O70" s="3"/>
    </row>
    <row r="71" spans="1:17" ht="15" thickBot="1">
      <c r="B71" s="3"/>
      <c r="C71" s="3"/>
      <c r="D71" s="104" t="s">
        <v>71</v>
      </c>
      <c r="E71" s="104" t="s">
        <v>72</v>
      </c>
      <c r="F71" s="104" t="s">
        <v>73</v>
      </c>
      <c r="G71" s="104" t="s">
        <v>74</v>
      </c>
      <c r="H71" s="104" t="s">
        <v>75</v>
      </c>
      <c r="I71" s="104" t="s">
        <v>76</v>
      </c>
      <c r="J71" s="104" t="s">
        <v>77</v>
      </c>
      <c r="K71" s="104" t="s">
        <v>78</v>
      </c>
      <c r="L71" s="104" t="s">
        <v>79</v>
      </c>
      <c r="M71" s="104" t="s">
        <v>80</v>
      </c>
      <c r="N71" s="104" t="s">
        <v>81</v>
      </c>
      <c r="O71" s="104" t="s">
        <v>82</v>
      </c>
      <c r="P71" s="104" t="s">
        <v>83</v>
      </c>
    </row>
    <row r="72" spans="1:17" ht="15" thickBot="1">
      <c r="B72" s="105" t="s">
        <v>84</v>
      </c>
      <c r="C72" s="105"/>
      <c r="D72" s="106">
        <v>1845076</v>
      </c>
      <c r="E72" s="106">
        <v>1453853.1301010782</v>
      </c>
      <c r="F72" s="407">
        <v>1812571.4812098993</v>
      </c>
      <c r="G72" s="106">
        <v>1892251.3322744532</v>
      </c>
      <c r="H72" s="106">
        <v>1870176</v>
      </c>
      <c r="I72" s="129">
        <v>1911539</v>
      </c>
      <c r="J72" s="106">
        <v>1961723</v>
      </c>
      <c r="K72" s="130">
        <v>2029897.8285490959</v>
      </c>
      <c r="L72" s="106">
        <v>1839034.7712819837</v>
      </c>
      <c r="M72" s="131"/>
      <c r="N72" s="111"/>
      <c r="O72" s="131"/>
      <c r="P72" s="132">
        <f>SUM(D72:O72)</f>
        <v>16616122.543416511</v>
      </c>
    </row>
    <row r="73" spans="1:17">
      <c r="A73" s="3"/>
      <c r="B73" s="107" t="s">
        <v>85</v>
      </c>
      <c r="C73" s="107"/>
      <c r="D73" s="108"/>
      <c r="E73" s="109">
        <f>IF(D72&gt;0,E72/D72,0)*100</f>
        <v>78.796381834736252</v>
      </c>
      <c r="F73" s="109">
        <f>IF(E72&gt;0,F72/E72,0)*100</f>
        <v>124.67363062208914</v>
      </c>
      <c r="G73" s="109">
        <f>IF(F72&gt;0,G72/F72,0)*100</f>
        <v>104.39595634658045</v>
      </c>
      <c r="H73" s="109">
        <f>IF(G72&gt;0,H72/G72,0)*100</f>
        <v>98.833382653882495</v>
      </c>
      <c r="I73" s="109">
        <f>IF(H72&gt;0,I72/H72,0)*100</f>
        <v>102.21171697209246</v>
      </c>
      <c r="J73" s="109">
        <f>IF(H72&gt;0,J72/H72,0)*100</f>
        <v>104.89510078195849</v>
      </c>
      <c r="K73" s="109">
        <f>IF(J72&gt;0,K72/J72,0)*100</f>
        <v>103.47525254835142</v>
      </c>
      <c r="L73" s="109">
        <f>IF(K72&gt;0,L72/K72,0)*100</f>
        <v>90.597405712605024</v>
      </c>
      <c r="M73" s="109">
        <f>IF(L72&gt;0,M72/L72,0)*100</f>
        <v>0</v>
      </c>
      <c r="N73" s="109">
        <f>IF(M72&gt;0,N72/M72,0)*100</f>
        <v>0</v>
      </c>
      <c r="O73" s="109">
        <f>IF(N72&gt;0,O72/N72,0)*100</f>
        <v>0</v>
      </c>
      <c r="P73" s="109"/>
    </row>
    <row r="74" spans="1:17">
      <c r="A74" s="3"/>
      <c r="B74" s="110"/>
      <c r="C74" s="110"/>
      <c r="D74" s="110"/>
      <c r="E74" s="111"/>
      <c r="F74" s="110"/>
      <c r="G74" s="3"/>
      <c r="H74" s="3"/>
      <c r="I74" s="3"/>
      <c r="J74" s="3"/>
      <c r="K74" s="3"/>
      <c r="L74" s="3"/>
      <c r="M74" s="68"/>
      <c r="N74" s="68"/>
      <c r="O74" s="68"/>
      <c r="P74" s="3"/>
    </row>
    <row r="75" spans="1:17">
      <c r="A75" s="148" t="s">
        <v>86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3" t="s">
        <v>87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8" t="s">
        <v>88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2"/>
    </row>
    <row r="78" spans="1:17">
      <c r="A78" s="149" t="s">
        <v>89</v>
      </c>
      <c r="B78" s="68"/>
      <c r="C78" s="68"/>
      <c r="D78" s="68"/>
      <c r="E78" s="68"/>
      <c r="F78" s="3"/>
      <c r="G78" s="3"/>
      <c r="H78" s="3"/>
      <c r="I78" s="3"/>
      <c r="J78" s="3"/>
      <c r="K78" s="3"/>
      <c r="L78" s="3"/>
      <c r="M78" s="68"/>
      <c r="N78" s="68"/>
      <c r="O78" s="68"/>
      <c r="P78" s="3"/>
      <c r="Q78" s="144"/>
    </row>
    <row r="79" spans="1:17">
      <c r="A79" s="3" t="s">
        <v>90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68"/>
      <c r="P79" s="3"/>
    </row>
    <row r="80" spans="1:17">
      <c r="A80" s="3" t="s">
        <v>91</v>
      </c>
      <c r="B80" s="3"/>
      <c r="C80" s="3"/>
      <c r="D80" s="3"/>
      <c r="E80" s="3"/>
      <c r="F80" s="3"/>
      <c r="G80" s="3"/>
      <c r="H80" s="3"/>
      <c r="I80" s="3"/>
      <c r="K80" s="3"/>
      <c r="M80" s="68"/>
      <c r="N80" s="68"/>
      <c r="O80" s="135"/>
      <c r="P80" s="3"/>
    </row>
    <row r="81" spans="1:17">
      <c r="A81" s="3" t="s">
        <v>92</v>
      </c>
      <c r="B81" s="3"/>
      <c r="C81" s="3"/>
      <c r="D81" s="3"/>
      <c r="E81" s="3"/>
      <c r="F81" s="3"/>
      <c r="G81" s="3"/>
      <c r="H81" s="3"/>
      <c r="I81" s="3"/>
      <c r="K81" s="3"/>
      <c r="L81" s="3"/>
      <c r="M81" s="68"/>
      <c r="N81" s="68"/>
      <c r="O81" s="68"/>
      <c r="P81" s="3"/>
    </row>
    <row r="83" spans="1:17">
      <c r="B83" s="606" t="s">
        <v>159</v>
      </c>
    </row>
    <row r="84" spans="1:17" ht="15.6">
      <c r="B84" s="738" t="s">
        <v>93</v>
      </c>
      <c r="C84" s="738"/>
      <c r="D84" s="739" t="s">
        <v>94</v>
      </c>
      <c r="E84" s="740" t="s">
        <v>95</v>
      </c>
      <c r="F84" s="740" t="s">
        <v>96</v>
      </c>
      <c r="G84" s="740" t="s">
        <v>97</v>
      </c>
      <c r="H84" s="740" t="s">
        <v>98</v>
      </c>
      <c r="I84" s="741" t="s">
        <v>99</v>
      </c>
      <c r="J84" s="740" t="s">
        <v>100</v>
      </c>
      <c r="K84" s="740" t="s">
        <v>101</v>
      </c>
      <c r="L84" s="740" t="s">
        <v>102</v>
      </c>
      <c r="M84" s="740" t="s">
        <v>103</v>
      </c>
      <c r="N84" s="740" t="s">
        <v>104</v>
      </c>
      <c r="O84" s="740" t="s">
        <v>105</v>
      </c>
      <c r="P84" s="740" t="s">
        <v>83</v>
      </c>
      <c r="Q84" s="742" t="s">
        <v>107</v>
      </c>
    </row>
    <row r="85" spans="1:17">
      <c r="B85" s="116" t="s">
        <v>108</v>
      </c>
      <c r="C85" s="116"/>
      <c r="D85" s="52">
        <v>250647.57142857101</v>
      </c>
      <c r="E85" s="52">
        <v>303326.78571428568</v>
      </c>
      <c r="F85" s="52">
        <v>278308.28571428568</v>
      </c>
      <c r="G85" s="52">
        <v>329534.92857142858</v>
      </c>
      <c r="H85" s="118">
        <v>264136.85714285716</v>
      </c>
      <c r="I85" s="52">
        <v>280939.92857142852</v>
      </c>
      <c r="J85" s="52">
        <v>288262.21428571426</v>
      </c>
      <c r="K85" s="137">
        <v>271802.21428571432</v>
      </c>
      <c r="L85" s="138">
        <v>268024.71428571432</v>
      </c>
      <c r="M85" s="52"/>
      <c r="N85" s="52"/>
      <c r="O85" s="52"/>
      <c r="P85" s="478">
        <f t="shared" ref="P85:P91" si="14">SUM(D85:O85)</f>
        <v>2534983.5</v>
      </c>
      <c r="Q85" s="146">
        <f t="shared" ref="Q85:Q92" si="15">P85/$P$92</f>
        <v>0.33848763351368705</v>
      </c>
    </row>
    <row r="86" spans="1:17">
      <c r="B86" s="119" t="s">
        <v>109</v>
      </c>
      <c r="C86" s="119"/>
      <c r="D86" s="121">
        <v>51557.785714285703</v>
      </c>
      <c r="E86" s="122">
        <v>38594.857142857145</v>
      </c>
      <c r="F86" s="122">
        <v>40995.357142857145</v>
      </c>
      <c r="G86" s="122">
        <v>33533.714285714283</v>
      </c>
      <c r="H86" s="123">
        <v>15954.785714285714</v>
      </c>
      <c r="I86" s="122">
        <v>52129.78571428571</v>
      </c>
      <c r="J86" s="122">
        <v>43316.857142857145</v>
      </c>
      <c r="K86" s="122">
        <v>16896.428571428572</v>
      </c>
      <c r="L86" s="122">
        <v>11983.357142857143</v>
      </c>
      <c r="M86" s="122"/>
      <c r="N86" s="122"/>
      <c r="O86" s="122"/>
      <c r="P86" s="479">
        <f t="shared" si="14"/>
        <v>304962.92857142858</v>
      </c>
      <c r="Q86" s="147">
        <f t="shared" si="15"/>
        <v>4.0720651634042759E-2</v>
      </c>
    </row>
    <row r="87" spans="1:17">
      <c r="B87" s="119" t="s">
        <v>110</v>
      </c>
      <c r="C87" s="119"/>
      <c r="D87" s="121">
        <v>157521.85714285701</v>
      </c>
      <c r="E87" s="122">
        <v>160543.85714285713</v>
      </c>
      <c r="F87" s="122">
        <v>156602.71428571426</v>
      </c>
      <c r="G87" s="122">
        <v>190080.78571428574</v>
      </c>
      <c r="H87" s="123">
        <v>199613.78571428571</v>
      </c>
      <c r="I87" s="122">
        <v>200030.57142857142</v>
      </c>
      <c r="J87" s="122">
        <v>179224.21428571429</v>
      </c>
      <c r="K87" s="122">
        <v>212064</v>
      </c>
      <c r="L87" s="122">
        <v>216576.85714285716</v>
      </c>
      <c r="M87" s="122"/>
      <c r="N87" s="122"/>
      <c r="O87" s="122"/>
      <c r="P87" s="479">
        <f t="shared" si="14"/>
        <v>1672258.6428571427</v>
      </c>
      <c r="Q87" s="147">
        <f t="shared" si="15"/>
        <v>0.22329094869592808</v>
      </c>
    </row>
    <row r="88" spans="1:17">
      <c r="B88" s="124" t="s">
        <v>111</v>
      </c>
      <c r="C88" s="124"/>
      <c r="D88" s="52">
        <v>129327.714285714</v>
      </c>
      <c r="E88" s="52">
        <v>98880.78571428571</v>
      </c>
      <c r="F88" s="52">
        <v>142655.5</v>
      </c>
      <c r="G88" s="52">
        <v>133507.35714285716</v>
      </c>
      <c r="H88" s="118">
        <v>117586.21428571429</v>
      </c>
      <c r="I88" s="52">
        <v>102160.14285714286</v>
      </c>
      <c r="J88" s="52">
        <v>115071.28571428571</v>
      </c>
      <c r="K88" s="52">
        <v>125627.07142857143</v>
      </c>
      <c r="L88" s="52">
        <v>117220.21428571429</v>
      </c>
      <c r="M88" s="52"/>
      <c r="N88" s="52"/>
      <c r="O88" s="52"/>
      <c r="P88" s="478">
        <f t="shared" si="14"/>
        <v>1082036.2857142854</v>
      </c>
      <c r="Q88" s="146">
        <f t="shared" si="15"/>
        <v>0.14448058605800324</v>
      </c>
    </row>
    <row r="89" spans="1:17">
      <c r="B89" s="124" t="s">
        <v>112</v>
      </c>
      <c r="C89" s="124"/>
      <c r="D89" s="52">
        <v>81303.642857142899</v>
      </c>
      <c r="E89" s="52">
        <v>79785.57142857142</v>
      </c>
      <c r="F89" s="52">
        <v>99571</v>
      </c>
      <c r="G89" s="52">
        <v>105052.5</v>
      </c>
      <c r="H89" s="118">
        <v>95685.357142857145</v>
      </c>
      <c r="I89" s="52">
        <v>101332.71428571429</v>
      </c>
      <c r="J89" s="52">
        <v>110053</v>
      </c>
      <c r="K89" s="52">
        <v>157274.64285714284</v>
      </c>
      <c r="L89" s="52">
        <v>107111.64285714286</v>
      </c>
      <c r="M89" s="52"/>
      <c r="N89" s="52"/>
      <c r="O89" s="52"/>
      <c r="P89" s="478">
        <f t="shared" si="14"/>
        <v>937170.07142857148</v>
      </c>
      <c r="Q89" s="146">
        <f t="shared" si="15"/>
        <v>0.12513709839835652</v>
      </c>
    </row>
    <row r="90" spans="1:17">
      <c r="B90" s="116" t="s">
        <v>57</v>
      </c>
      <c r="C90" s="116"/>
      <c r="D90" s="52">
        <v>79967.428571428594</v>
      </c>
      <c r="E90" s="52">
        <v>73659.642857142855</v>
      </c>
      <c r="F90" s="52">
        <v>87559.357142857145</v>
      </c>
      <c r="G90" s="52">
        <v>116176.92857142858</v>
      </c>
      <c r="H90" s="118">
        <v>97186.071428571435</v>
      </c>
      <c r="I90" s="52">
        <v>107421.21428571429</v>
      </c>
      <c r="J90" s="52">
        <v>106410.42857142858</v>
      </c>
      <c r="K90" s="52">
        <v>100767.21428571429</v>
      </c>
      <c r="L90" s="52">
        <v>106862.07142857142</v>
      </c>
      <c r="M90" s="52"/>
      <c r="N90" s="52"/>
      <c r="O90" s="52"/>
      <c r="P90" s="478">
        <f t="shared" si="14"/>
        <v>876010.35714285704</v>
      </c>
      <c r="Q90" s="146">
        <f t="shared" si="15"/>
        <v>0.11697065196785916</v>
      </c>
    </row>
    <row r="91" spans="1:17">
      <c r="B91" s="28" t="s">
        <v>158</v>
      </c>
      <c r="C91" s="28"/>
      <c r="D91" s="52">
        <v>2349.7857142857142</v>
      </c>
      <c r="E91" s="52">
        <v>4728.1428571428569</v>
      </c>
      <c r="F91" s="52">
        <v>9206.7857142857138</v>
      </c>
      <c r="G91" s="52">
        <v>12338.642857142857</v>
      </c>
      <c r="H91" s="118">
        <v>9361.4285714285706</v>
      </c>
      <c r="I91" s="52">
        <v>10276.428571428572</v>
      </c>
      <c r="J91" s="52">
        <v>11068.928571428572</v>
      </c>
      <c r="K91" s="52">
        <v>13297.5</v>
      </c>
      <c r="L91" s="129">
        <v>9097.1428571428569</v>
      </c>
      <c r="M91" s="52"/>
      <c r="N91" s="52"/>
      <c r="O91" s="52"/>
      <c r="P91" s="478">
        <f t="shared" si="14"/>
        <v>81724.78571428571</v>
      </c>
      <c r="Q91" s="146">
        <f t="shared" si="15"/>
        <v>1.0912429732123207E-2</v>
      </c>
    </row>
    <row r="92" spans="1:17">
      <c r="D92" s="643">
        <f>SUM(D85:D91)</f>
        <v>752675.78571428498</v>
      </c>
      <c r="E92" s="643">
        <f t="shared" ref="E92:P92" si="16">SUM(E85:E91)</f>
        <v>759519.64285714272</v>
      </c>
      <c r="F92" s="643">
        <f t="shared" si="16"/>
        <v>814898.99999999988</v>
      </c>
      <c r="G92" s="643">
        <f t="shared" si="16"/>
        <v>920224.85714285716</v>
      </c>
      <c r="H92" s="643">
        <f t="shared" si="16"/>
        <v>799524.50000000012</v>
      </c>
      <c r="I92" s="643">
        <f t="shared" si="16"/>
        <v>854290.78571428568</v>
      </c>
      <c r="J92" s="643">
        <f t="shared" si="16"/>
        <v>853406.92857142852</v>
      </c>
      <c r="K92" s="643">
        <f>SUM(K85:K91)</f>
        <v>897729.07142857148</v>
      </c>
      <c r="L92" s="643">
        <f t="shared" si="16"/>
        <v>836876.00000000012</v>
      </c>
      <c r="M92" s="643">
        <f t="shared" si="16"/>
        <v>0</v>
      </c>
      <c r="N92" s="643">
        <f t="shared" si="16"/>
        <v>0</v>
      </c>
      <c r="O92" s="643">
        <f t="shared" si="16"/>
        <v>0</v>
      </c>
      <c r="P92" s="643">
        <f t="shared" si="16"/>
        <v>7489146.5714285709</v>
      </c>
      <c r="Q92" s="605">
        <f t="shared" si="15"/>
        <v>1</v>
      </c>
    </row>
  </sheetData>
  <mergeCells count="26">
    <mergeCell ref="A1:O1"/>
    <mergeCell ref="A3:A4"/>
    <mergeCell ref="B3:B4"/>
    <mergeCell ref="C3:C4"/>
    <mergeCell ref="D3:D4"/>
    <mergeCell ref="E3:N3"/>
    <mergeCell ref="O3:O4"/>
    <mergeCell ref="A49:A50"/>
    <mergeCell ref="B49:B50"/>
    <mergeCell ref="C49:C50"/>
    <mergeCell ref="D49:D50"/>
    <mergeCell ref="E49:E50"/>
    <mergeCell ref="L49:L50"/>
    <mergeCell ref="M49:M50"/>
    <mergeCell ref="P6:P7"/>
    <mergeCell ref="F42:G42"/>
    <mergeCell ref="H42:I42"/>
    <mergeCell ref="F49:F50"/>
    <mergeCell ref="G49:G50"/>
    <mergeCell ref="N49:N50"/>
    <mergeCell ref="P49:P50"/>
    <mergeCell ref="H49:H50"/>
    <mergeCell ref="I49:I50"/>
    <mergeCell ref="J49:J50"/>
    <mergeCell ref="K49:K50"/>
    <mergeCell ref="O49:O50"/>
  </mergeCells>
  <pageMargins left="0.25" right="0.25" top="0.75" bottom="0.75" header="0.3" footer="0.3"/>
  <pageSetup paperSize="9" scale="75" orientation="landscape" r:id="rId1"/>
  <ignoredErrors>
    <ignoredError sqref="E17 B26 B43 E35 E40:E46 E48:E52 E57:E61 E37:E38" formulaRange="1"/>
    <ignoredError sqref="E39 E47 E36" formula="1" formulaRange="1"/>
    <ignoredError sqref="J7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2CCF-2718-47EA-8346-B45184D99F18}">
  <dimension ref="A1:Q92"/>
  <sheetViews>
    <sheetView tabSelected="1" zoomScale="80" zoomScaleNormal="80" workbookViewId="0">
      <pane xSplit="3" ySplit="4" topLeftCell="D27" activePane="bottomRight" state="frozen"/>
      <selection pane="topRight" activeCell="D1" sqref="D1"/>
      <selection pane="bottomLeft" activeCell="A5" sqref="A5"/>
      <selection pane="bottomRight" activeCell="D33" sqref="D33"/>
    </sheetView>
  </sheetViews>
  <sheetFormatPr defaultColWidth="8.5546875" defaultRowHeight="14.4"/>
  <cols>
    <col min="1" max="1" width="30.77734375" style="2" customWidth="1"/>
    <col min="2" max="2" width="13.21875" style="2" customWidth="1"/>
    <col min="3" max="4" width="11.77734375" style="2" bestFit="1" customWidth="1"/>
    <col min="5" max="5" width="10.5546875" style="2" bestFit="1" customWidth="1"/>
    <col min="6" max="6" width="9.77734375" style="2" bestFit="1" customWidth="1"/>
    <col min="7" max="7" width="10.6640625" style="2" bestFit="1" customWidth="1"/>
    <col min="8" max="8" width="9.77734375" style="2" bestFit="1" customWidth="1"/>
    <col min="9" max="9" width="11.109375" style="2" customWidth="1"/>
    <col min="10" max="12" width="9.77734375" style="2" bestFit="1" customWidth="1"/>
    <col min="13" max="13" width="11" style="2" customWidth="1"/>
    <col min="14" max="14" width="9.5546875" style="2" customWidth="1"/>
    <col min="15" max="15" width="8.6640625" style="2" bestFit="1" customWidth="1"/>
    <col min="16" max="16" width="12" style="2" bestFit="1" customWidth="1"/>
    <col min="17" max="17" width="23.44140625" style="2" customWidth="1"/>
    <col min="18" max="16384" width="8.5546875" style="2"/>
  </cols>
  <sheetData>
    <row r="1" spans="1:17" s="1" customFormat="1" ht="26.85" customHeight="1">
      <c r="A1" s="1117" t="s">
        <v>176</v>
      </c>
      <c r="B1" s="1117"/>
      <c r="C1" s="1117"/>
      <c r="D1" s="1117"/>
      <c r="E1" s="1117"/>
      <c r="F1" s="1117"/>
      <c r="G1" s="1117"/>
      <c r="H1" s="1117"/>
      <c r="I1" s="1117"/>
      <c r="J1" s="1117"/>
      <c r="K1" s="1117"/>
      <c r="L1" s="1117"/>
      <c r="M1" s="1117"/>
      <c r="N1" s="1117"/>
      <c r="O1" s="1117"/>
      <c r="P1" s="725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86" t="s">
        <v>1</v>
      </c>
      <c r="B3" s="1088" t="s">
        <v>2</v>
      </c>
      <c r="C3" s="1105" t="s">
        <v>177</v>
      </c>
      <c r="D3" s="1092" t="s">
        <v>178</v>
      </c>
      <c r="E3" s="1118" t="s">
        <v>179</v>
      </c>
      <c r="F3" s="1119"/>
      <c r="G3" s="1119"/>
      <c r="H3" s="1119"/>
      <c r="I3" s="1119"/>
      <c r="J3" s="1119"/>
      <c r="K3" s="1119"/>
      <c r="L3" s="1119"/>
      <c r="M3" s="1119"/>
      <c r="N3" s="1120"/>
      <c r="O3" s="1113" t="s">
        <v>180</v>
      </c>
    </row>
    <row r="4" spans="1:17" ht="29.4" thickBot="1">
      <c r="A4" s="1087"/>
      <c r="B4" s="1089"/>
      <c r="C4" s="1106"/>
      <c r="D4" s="1093"/>
      <c r="E4" s="761" t="s">
        <v>7</v>
      </c>
      <c r="F4" s="588" t="s">
        <v>8</v>
      </c>
      <c r="G4" s="588" t="s">
        <v>9</v>
      </c>
      <c r="H4" s="588" t="s">
        <v>10</v>
      </c>
      <c r="I4" s="588" t="s">
        <v>11</v>
      </c>
      <c r="J4" s="589" t="s">
        <v>12</v>
      </c>
      <c r="K4" s="590" t="s">
        <v>13</v>
      </c>
      <c r="L4" s="590" t="s">
        <v>14</v>
      </c>
      <c r="M4" s="591" t="s">
        <v>15</v>
      </c>
      <c r="N4" s="782" t="s">
        <v>16</v>
      </c>
      <c r="O4" s="1114"/>
    </row>
    <row r="5" spans="1:17">
      <c r="A5" s="206"/>
      <c r="B5" s="207"/>
      <c r="C5" s="209"/>
      <c r="D5" s="208"/>
      <c r="E5" s="810"/>
      <c r="F5" s="209"/>
      <c r="G5" s="209" t="s">
        <v>182</v>
      </c>
      <c r="H5" s="209"/>
      <c r="I5" s="209"/>
      <c r="J5" s="210"/>
      <c r="K5" s="209"/>
      <c r="L5" s="211"/>
      <c r="M5" s="212"/>
      <c r="N5" s="811"/>
      <c r="O5" s="630"/>
    </row>
    <row r="6" spans="1:17">
      <c r="A6" s="683" t="s">
        <v>17</v>
      </c>
      <c r="B6" s="7">
        <f>SUM(B8:B18)</f>
        <v>4518182</v>
      </c>
      <c r="C6" s="709">
        <f>SUM(C7:C18)</f>
        <v>3681739</v>
      </c>
      <c r="D6" s="576">
        <f>SUM(D8:D18)</f>
        <v>4366959</v>
      </c>
      <c r="E6" s="253">
        <f>SUM(E8:E18)</f>
        <v>458583</v>
      </c>
      <c r="F6" s="760">
        <f t="shared" ref="F6:N6" si="0">SUM(F8:F18)</f>
        <v>192776</v>
      </c>
      <c r="G6" s="760">
        <f t="shared" si="0"/>
        <v>183566</v>
      </c>
      <c r="H6" s="760">
        <f t="shared" si="0"/>
        <v>27446</v>
      </c>
      <c r="I6" s="760">
        <f t="shared" si="0"/>
        <v>28765</v>
      </c>
      <c r="J6" s="760">
        <f t="shared" si="0"/>
        <v>0</v>
      </c>
      <c r="K6" s="760">
        <f t="shared" si="0"/>
        <v>54128</v>
      </c>
      <c r="L6" s="760">
        <f t="shared" si="0"/>
        <v>16361</v>
      </c>
      <c r="M6" s="760">
        <f t="shared" si="0"/>
        <v>0</v>
      </c>
      <c r="N6" s="760">
        <f t="shared" si="0"/>
        <v>2256</v>
      </c>
      <c r="O6" s="792">
        <f>+D6/C6</f>
        <v>1.1861131383837908</v>
      </c>
      <c r="P6" s="1014"/>
    </row>
    <row r="7" spans="1:17">
      <c r="A7" s="386" t="s">
        <v>18</v>
      </c>
      <c r="B7" s="387"/>
      <c r="D7" s="557"/>
      <c r="E7" s="11">
        <f>SUM(F7:J7)</f>
        <v>0</v>
      </c>
      <c r="F7" s="12"/>
      <c r="G7" s="12"/>
      <c r="H7" s="12"/>
      <c r="I7" s="12"/>
      <c r="J7" s="12"/>
      <c r="K7" s="28"/>
      <c r="L7" s="28"/>
      <c r="M7" s="28"/>
      <c r="N7" s="116"/>
      <c r="O7" s="793"/>
      <c r="P7" s="1014"/>
    </row>
    <row r="8" spans="1:17">
      <c r="A8" s="388" t="s">
        <v>19</v>
      </c>
      <c r="B8" s="387"/>
      <c r="D8" s="577"/>
      <c r="E8" s="11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515"/>
      <c r="O8" s="793"/>
      <c r="P8" s="3"/>
    </row>
    <row r="9" spans="1:17">
      <c r="A9" s="386" t="s">
        <v>120</v>
      </c>
      <c r="B9" s="14">
        <f>715133+126685+111732+106510+95851+111311</f>
        <v>1267222</v>
      </c>
      <c r="C9" s="675">
        <f>715133+126685+111732+106510</f>
        <v>1060060</v>
      </c>
      <c r="D9" s="557">
        <f>108077+85467+113186+113042+116756+109995+110509+101300+92745+107226</f>
        <v>1058303</v>
      </c>
      <c r="E9" s="11">
        <f t="shared" si="1"/>
        <v>107226</v>
      </c>
      <c r="F9" s="13">
        <v>37949</v>
      </c>
      <c r="G9" s="13">
        <v>41682</v>
      </c>
      <c r="H9" s="13">
        <v>13913</v>
      </c>
      <c r="I9" s="13">
        <v>13682</v>
      </c>
      <c r="J9" s="12"/>
      <c r="K9" s="28"/>
      <c r="L9" s="28"/>
      <c r="M9" s="22"/>
      <c r="N9" s="515"/>
      <c r="O9" s="793">
        <f t="shared" ref="O9:O18" si="2">+D9/C9</f>
        <v>0.99834254664830291</v>
      </c>
      <c r="P9" s="111"/>
      <c r="Q9" s="79"/>
    </row>
    <row r="10" spans="1:17">
      <c r="A10" s="386" t="s">
        <v>20</v>
      </c>
      <c r="B10" s="14">
        <v>1272859</v>
      </c>
      <c r="C10" s="675">
        <f>859650+144198</f>
        <v>1003848</v>
      </c>
      <c r="D10" s="578">
        <f>148719+103732+138638+114388+149772+144287+154524+162231+134683+114242</f>
        <v>1365216</v>
      </c>
      <c r="E10" s="11">
        <f t="shared" si="1"/>
        <v>114242</v>
      </c>
      <c r="F10" s="15">
        <v>62518</v>
      </c>
      <c r="G10" s="15">
        <v>51724</v>
      </c>
      <c r="H10" s="16"/>
      <c r="I10" s="16"/>
      <c r="J10" s="75"/>
      <c r="K10" s="76">
        <f>5895+5699</f>
        <v>11594</v>
      </c>
      <c r="L10" s="76">
        <f>2336+1027</f>
        <v>3363</v>
      </c>
      <c r="M10" s="77"/>
      <c r="N10" s="515"/>
      <c r="O10" s="793">
        <f t="shared" si="2"/>
        <v>1.3599827862385541</v>
      </c>
      <c r="P10" s="79"/>
      <c r="Q10" s="79"/>
    </row>
    <row r="11" spans="1:17">
      <c r="A11" s="386" t="s">
        <v>21</v>
      </c>
      <c r="B11" s="14"/>
      <c r="C11" s="675"/>
      <c r="D11" s="578"/>
      <c r="E11" s="11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515"/>
      <c r="O11" s="793"/>
      <c r="P11" s="79"/>
      <c r="Q11" s="79"/>
    </row>
    <row r="12" spans="1:17">
      <c r="A12" s="386" t="s">
        <v>22</v>
      </c>
      <c r="B12" s="14">
        <v>491959</v>
      </c>
      <c r="C12" s="675">
        <v>410774</v>
      </c>
      <c r="D12" s="578">
        <f>39231+38035+45839+55212+55252+51874+53719+51193+43893+46338</f>
        <v>480586</v>
      </c>
      <c r="E12" s="11">
        <f t="shared" si="1"/>
        <v>46338</v>
      </c>
      <c r="F12" s="13">
        <v>22483</v>
      </c>
      <c r="G12" s="13">
        <v>23182</v>
      </c>
      <c r="H12" s="13">
        <v>262</v>
      </c>
      <c r="I12" s="13">
        <v>411</v>
      </c>
      <c r="J12" s="13"/>
      <c r="K12" s="22">
        <f>5531+3225+2+73</f>
        <v>8831</v>
      </c>
      <c r="L12" s="22">
        <f>62+2631+20+28</f>
        <v>2741</v>
      </c>
      <c r="M12" s="22"/>
      <c r="N12" s="515"/>
      <c r="O12" s="793">
        <f t="shared" si="2"/>
        <v>1.1699523338867601</v>
      </c>
      <c r="P12" s="555"/>
      <c r="Q12" s="79"/>
    </row>
    <row r="13" spans="1:17">
      <c r="A13" s="388" t="s">
        <v>23</v>
      </c>
      <c r="B13" s="14">
        <v>149160</v>
      </c>
      <c r="C13" s="257">
        <v>149160</v>
      </c>
      <c r="D13" s="578">
        <v>0</v>
      </c>
      <c r="E13" s="11"/>
      <c r="F13" s="13"/>
      <c r="G13" s="13"/>
      <c r="H13" s="13"/>
      <c r="I13" s="13"/>
      <c r="J13" s="13"/>
      <c r="K13" s="22"/>
      <c r="L13" s="22"/>
      <c r="M13" s="22"/>
      <c r="N13" s="515"/>
      <c r="O13" s="793">
        <f t="shared" si="2"/>
        <v>0</v>
      </c>
      <c r="P13" s="79"/>
      <c r="Q13" s="79"/>
    </row>
    <row r="14" spans="1:17">
      <c r="A14" s="17" t="s">
        <v>24</v>
      </c>
      <c r="B14" s="14">
        <f>27700+42263+60649+60306+68982+89333+103549+96251+80177+83538+83985+100491</f>
        <v>897224</v>
      </c>
      <c r="C14" s="675">
        <f>27700+42263+60649+60306+68982+89333+103549+96251+80177+83538</f>
        <v>712748</v>
      </c>
      <c r="D14" s="557">
        <f>107401+71667+97692+112321+100543+91682+100061+119410+112186+136804</f>
        <v>1049767</v>
      </c>
      <c r="E14" s="11">
        <f t="shared" si="1"/>
        <v>136804</v>
      </c>
      <c r="F14" s="18">
        <v>69826</v>
      </c>
      <c r="G14" s="18">
        <v>66978</v>
      </c>
      <c r="H14" s="18">
        <v>0</v>
      </c>
      <c r="I14" s="18">
        <v>0</v>
      </c>
      <c r="J14" s="18">
        <v>0</v>
      </c>
      <c r="K14" s="80">
        <f>14515+11927</f>
        <v>26442</v>
      </c>
      <c r="L14" s="80">
        <f>3365+4117</f>
        <v>7482</v>
      </c>
      <c r="M14" s="80"/>
      <c r="N14" s="784">
        <v>2256</v>
      </c>
      <c r="O14" s="793">
        <f t="shared" si="2"/>
        <v>1.4728445397251202</v>
      </c>
      <c r="P14" s="555"/>
      <c r="Q14" s="79"/>
    </row>
    <row r="15" spans="1:17">
      <c r="A15" s="386" t="s">
        <v>25</v>
      </c>
      <c r="B15" s="14">
        <f>6147+7479+7850+9613+8350+10297+8331+8950+9929+9191+7491+7125</f>
        <v>100753</v>
      </c>
      <c r="C15" s="675">
        <f>6147+7479+7850+9613+8350+10297+8331+8950+9929+9191</f>
        <v>86137</v>
      </c>
      <c r="D15" s="557">
        <f>5818+3471+4879+3146+1868+3203+3535+2520+3649+3073</f>
        <v>35162</v>
      </c>
      <c r="E15" s="11">
        <f>SUM(F15:J15)</f>
        <v>3073</v>
      </c>
      <c r="F15" s="13"/>
      <c r="G15" s="13"/>
      <c r="H15" s="13">
        <v>1682</v>
      </c>
      <c r="I15" s="13">
        <v>1391</v>
      </c>
      <c r="J15" s="13"/>
      <c r="K15" s="81">
        <f>373+218</f>
        <v>591</v>
      </c>
      <c r="L15" s="22">
        <f>15+399</f>
        <v>414</v>
      </c>
      <c r="M15" s="22"/>
      <c r="N15" s="515"/>
      <c r="O15" s="793">
        <f t="shared" si="2"/>
        <v>0.40821017681135863</v>
      </c>
      <c r="P15" s="79"/>
      <c r="Q15" s="79"/>
    </row>
    <row r="16" spans="1:17">
      <c r="A16" s="386" t="s">
        <v>26</v>
      </c>
      <c r="B16" s="14">
        <f>540+350</f>
        <v>890</v>
      </c>
      <c r="C16" s="675">
        <v>540</v>
      </c>
      <c r="D16" s="557">
        <f>528</f>
        <v>528</v>
      </c>
      <c r="E16" s="11">
        <v>0</v>
      </c>
      <c r="F16" s="13"/>
      <c r="G16" s="13"/>
      <c r="H16" s="13"/>
      <c r="I16" s="13"/>
      <c r="J16" s="13"/>
      <c r="K16" s="28"/>
      <c r="L16" s="36"/>
      <c r="M16" s="22"/>
      <c r="N16" s="515"/>
      <c r="O16" s="793">
        <f t="shared" si="2"/>
        <v>0.97777777777777775</v>
      </c>
      <c r="P16" s="79"/>
      <c r="Q16" s="79"/>
    </row>
    <row r="17" spans="1:17">
      <c r="A17" s="386" t="s">
        <v>27</v>
      </c>
      <c r="B17" s="391">
        <f>14801+21013+19343+20052+25339+15490+23521+25450+24091+25115+25902+30182</f>
        <v>270299</v>
      </c>
      <c r="C17" s="676">
        <f>14801+21013+19343+20052+25339+15490+23521+25450+24091+25115</f>
        <v>214215</v>
      </c>
      <c r="D17" s="600">
        <f>29509+14652+23209+24242+23009+26529+25218+28150+30612+24870</f>
        <v>250000</v>
      </c>
      <c r="E17" s="11">
        <f t="shared" si="1"/>
        <v>24870</v>
      </c>
      <c r="F17" s="13"/>
      <c r="G17" s="13"/>
      <c r="H17" s="13">
        <v>11589</v>
      </c>
      <c r="I17" s="13">
        <v>13281</v>
      </c>
      <c r="J17" s="13"/>
      <c r="K17" s="22">
        <v>6670</v>
      </c>
      <c r="L17" s="22">
        <f>887+1474</f>
        <v>2361</v>
      </c>
      <c r="M17" s="22"/>
      <c r="N17" s="515"/>
      <c r="O17" s="793">
        <f t="shared" si="2"/>
        <v>1.1670517937586069</v>
      </c>
      <c r="P17" s="555"/>
      <c r="Q17" s="82"/>
    </row>
    <row r="18" spans="1:17" ht="15" thickBot="1">
      <c r="A18" s="402" t="s">
        <v>136</v>
      </c>
      <c r="B18" s="403">
        <v>67816</v>
      </c>
      <c r="C18" s="729">
        <f>31092+13165</f>
        <v>44257</v>
      </c>
      <c r="D18" s="601">
        <v>127397</v>
      </c>
      <c r="E18" s="763">
        <v>26030</v>
      </c>
      <c r="F18" s="202"/>
      <c r="G18" s="202"/>
      <c r="H18" s="202"/>
      <c r="I18" s="202"/>
      <c r="J18" s="202"/>
      <c r="K18" s="203"/>
      <c r="L18" s="203"/>
      <c r="M18" s="203"/>
      <c r="N18" s="785"/>
      <c r="O18" s="699">
        <f t="shared" si="2"/>
        <v>2.8785728811261495</v>
      </c>
      <c r="P18" s="79"/>
      <c r="Q18" s="82"/>
    </row>
    <row r="19" spans="1:17">
      <c r="A19" s="679" t="s">
        <v>29</v>
      </c>
      <c r="B19" s="710">
        <v>633659</v>
      </c>
      <c r="C19" s="728">
        <v>470059</v>
      </c>
      <c r="D19" s="812">
        <v>534688</v>
      </c>
      <c r="E19" s="813">
        <v>43840</v>
      </c>
      <c r="F19" s="715"/>
      <c r="G19" s="715"/>
      <c r="H19" s="715"/>
      <c r="I19" s="715"/>
      <c r="J19" s="715"/>
      <c r="K19" s="194"/>
      <c r="L19" s="194"/>
      <c r="M19" s="194"/>
      <c r="N19" s="786"/>
      <c r="O19" s="794"/>
      <c r="P19" s="79"/>
      <c r="Q19" s="499"/>
    </row>
    <row r="20" spans="1:17">
      <c r="A20" s="386" t="s">
        <v>134</v>
      </c>
      <c r="B20" s="701">
        <v>255481</v>
      </c>
      <c r="C20" s="702">
        <v>189056</v>
      </c>
      <c r="D20" s="814">
        <v>228437</v>
      </c>
      <c r="E20" s="815">
        <v>24351</v>
      </c>
      <c r="F20" s="708"/>
      <c r="G20" s="708"/>
      <c r="H20" s="708"/>
      <c r="I20" s="708"/>
      <c r="J20" s="708"/>
      <c r="K20" s="22"/>
      <c r="L20" s="22"/>
      <c r="M20" s="22"/>
      <c r="N20" s="515"/>
      <c r="O20" s="793"/>
      <c r="P20" s="82"/>
    </row>
    <row r="21" spans="1:17">
      <c r="A21" s="386" t="s">
        <v>31</v>
      </c>
      <c r="B21" s="701">
        <v>92242</v>
      </c>
      <c r="C21" s="702">
        <v>81690</v>
      </c>
      <c r="D21" s="814">
        <v>76626</v>
      </c>
      <c r="E21" s="815">
        <v>4949</v>
      </c>
      <c r="F21" s="708"/>
      <c r="G21" s="708"/>
      <c r="H21" s="708"/>
      <c r="I21" s="708"/>
      <c r="J21" s="708"/>
      <c r="K21" s="22"/>
      <c r="L21" s="22"/>
      <c r="M21" s="22"/>
      <c r="N21" s="515"/>
      <c r="O21" s="793"/>
      <c r="P21" s="508"/>
    </row>
    <row r="22" spans="1:17">
      <c r="A22" s="386" t="s">
        <v>32</v>
      </c>
      <c r="B22" s="701">
        <v>400078</v>
      </c>
      <c r="C22" s="702">
        <v>292113</v>
      </c>
      <c r="D22" s="814">
        <v>383761</v>
      </c>
      <c r="E22" s="815">
        <v>45313</v>
      </c>
      <c r="F22" s="708"/>
      <c r="G22" s="708"/>
      <c r="H22" s="708"/>
      <c r="I22" s="708"/>
      <c r="J22" s="708"/>
      <c r="K22" s="22"/>
      <c r="L22" s="22"/>
      <c r="M22" s="22"/>
      <c r="N22" s="515"/>
      <c r="O22" s="793"/>
      <c r="P22" s="508"/>
    </row>
    <row r="23" spans="1:17">
      <c r="A23" s="386" t="s">
        <v>33</v>
      </c>
      <c r="B23" s="703">
        <v>171077</v>
      </c>
      <c r="C23" s="702">
        <v>122036</v>
      </c>
      <c r="D23" s="814">
        <v>159887</v>
      </c>
      <c r="E23" s="815">
        <v>19471</v>
      </c>
      <c r="F23" s="708"/>
      <c r="G23" s="708"/>
      <c r="H23" s="708"/>
      <c r="I23" s="708"/>
      <c r="J23" s="708"/>
      <c r="K23" s="22"/>
      <c r="L23" s="22"/>
      <c r="M23" s="22"/>
      <c r="N23" s="515"/>
      <c r="O23" s="793"/>
      <c r="P23" s="508"/>
    </row>
    <row r="24" spans="1:17">
      <c r="A24" s="386" t="s">
        <v>34</v>
      </c>
      <c r="B24" s="703">
        <v>270677</v>
      </c>
      <c r="C24" s="704">
        <v>222249</v>
      </c>
      <c r="D24" s="814">
        <v>199276</v>
      </c>
      <c r="E24" s="815">
        <v>34944</v>
      </c>
      <c r="F24" s="708"/>
      <c r="G24" s="708"/>
      <c r="H24" s="718"/>
      <c r="I24" s="708"/>
      <c r="J24" s="708"/>
      <c r="K24" s="22"/>
      <c r="L24" s="22"/>
      <c r="M24" s="22"/>
      <c r="N24" s="515"/>
      <c r="O24" s="793"/>
      <c r="P24" s="508"/>
    </row>
    <row r="25" spans="1:17">
      <c r="A25" s="17" t="s">
        <v>135</v>
      </c>
      <c r="B25" s="705"/>
      <c r="C25" s="706"/>
      <c r="D25" s="814">
        <v>133390</v>
      </c>
      <c r="E25" s="816">
        <v>18161</v>
      </c>
      <c r="F25" s="719"/>
      <c r="G25" s="719"/>
      <c r="H25" s="719"/>
      <c r="I25" s="719"/>
      <c r="J25" s="719"/>
      <c r="K25" s="28"/>
      <c r="L25" s="28"/>
      <c r="M25" s="28"/>
      <c r="N25" s="116"/>
      <c r="O25" s="793"/>
      <c r="P25" s="508"/>
    </row>
    <row r="26" spans="1:17">
      <c r="A26" s="26"/>
      <c r="B26" s="748">
        <f t="shared" ref="B26" si="3">SUM(B19:B25)</f>
        <v>1823214</v>
      </c>
      <c r="C26" s="803">
        <v>1237254</v>
      </c>
      <c r="D26" s="749">
        <f>SUM(D19:D25)</f>
        <v>1716065</v>
      </c>
      <c r="E26" s="749">
        <f>SUM(E19:E25)</f>
        <v>191029</v>
      </c>
      <c r="F26" s="719"/>
      <c r="G26" s="719"/>
      <c r="H26" s="719"/>
      <c r="I26" s="719"/>
      <c r="J26" s="719"/>
      <c r="K26" s="28"/>
      <c r="L26" s="28"/>
      <c r="M26" s="28"/>
      <c r="N26" s="116"/>
      <c r="O26" s="793"/>
      <c r="P26" s="508"/>
    </row>
    <row r="27" spans="1:17">
      <c r="A27" s="26"/>
      <c r="B27" s="664"/>
      <c r="C27" s="22"/>
      <c r="D27" s="720"/>
      <c r="E27" s="767"/>
      <c r="F27" s="719"/>
      <c r="G27" s="719"/>
      <c r="H27" s="719"/>
      <c r="I27" s="719"/>
      <c r="J27" s="719"/>
      <c r="K27" s="28"/>
      <c r="L27" s="28"/>
      <c r="M27" s="28"/>
      <c r="N27" s="116"/>
      <c r="O27" s="793"/>
      <c r="P27" s="508"/>
    </row>
    <row r="28" spans="1:17">
      <c r="A28" s="683" t="s">
        <v>35</v>
      </c>
      <c r="B28" s="7">
        <f>SUM(B29:B32)</f>
        <v>860026</v>
      </c>
      <c r="C28" s="709">
        <f t="shared" ref="C28" si="4">SUM(C29:C32)</f>
        <v>703072</v>
      </c>
      <c r="D28" s="556">
        <f>SUM(D29:D32)</f>
        <v>798605</v>
      </c>
      <c r="E28" s="755">
        <f t="shared" ref="E28:N28" si="5">SUM(E29:E32)</f>
        <v>80774</v>
      </c>
      <c r="F28" s="274">
        <f t="shared" si="5"/>
        <v>29002</v>
      </c>
      <c r="G28" s="274">
        <f t="shared" si="5"/>
        <v>33783</v>
      </c>
      <c r="H28" s="274">
        <f t="shared" si="5"/>
        <v>10388</v>
      </c>
      <c r="I28" s="274">
        <f t="shared" si="5"/>
        <v>7601</v>
      </c>
      <c r="J28" s="274">
        <f t="shared" si="5"/>
        <v>0</v>
      </c>
      <c r="K28" s="274">
        <f t="shared" si="5"/>
        <v>12973</v>
      </c>
      <c r="L28" s="274">
        <f t="shared" si="5"/>
        <v>3563</v>
      </c>
      <c r="M28" s="274">
        <f t="shared" si="5"/>
        <v>0</v>
      </c>
      <c r="N28" s="274">
        <f t="shared" si="5"/>
        <v>0</v>
      </c>
      <c r="O28" s="792">
        <f t="shared" ref="O28:O67" si="6">+D28/C28</f>
        <v>1.1358793978426107</v>
      </c>
      <c r="P28" s="513"/>
    </row>
    <row r="29" spans="1:17">
      <c r="A29" s="386" t="s">
        <v>36</v>
      </c>
      <c r="B29" s="389">
        <f>30481+3346</f>
        <v>33827</v>
      </c>
      <c r="C29" s="22">
        <v>27863</v>
      </c>
      <c r="D29" s="776">
        <f>31848</f>
        <v>31848</v>
      </c>
      <c r="E29" s="11">
        <f t="shared" ref="E29:E30" si="7">SUM(F29:J29)</f>
        <v>2929</v>
      </c>
      <c r="F29" s="13"/>
      <c r="G29" s="13"/>
      <c r="H29" s="13">
        <v>1573</v>
      </c>
      <c r="I29" s="13">
        <v>1356</v>
      </c>
      <c r="J29" s="12"/>
      <c r="K29" s="22">
        <f>497+582</f>
        <v>1079</v>
      </c>
      <c r="L29" s="22">
        <f>244</f>
        <v>244</v>
      </c>
      <c r="M29" s="22"/>
      <c r="N29" s="515"/>
      <c r="O29" s="793">
        <f t="shared" si="6"/>
        <v>1.1430212109248825</v>
      </c>
      <c r="P29" s="513"/>
    </row>
    <row r="30" spans="1:17">
      <c r="A30" s="31" t="s">
        <v>37</v>
      </c>
      <c r="B30" s="389">
        <v>675254</v>
      </c>
      <c r="C30" s="684">
        <v>554721</v>
      </c>
      <c r="D30" s="582">
        <f>64505+48073+62185+62452+59765+64280+67096+71165+61780+66528</f>
        <v>627829</v>
      </c>
      <c r="E30" s="11">
        <f t="shared" si="7"/>
        <v>66528</v>
      </c>
      <c r="F30" s="33">
        <v>26097</v>
      </c>
      <c r="G30" s="33">
        <v>27414</v>
      </c>
      <c r="H30" s="33">
        <v>7107</v>
      </c>
      <c r="I30" s="33">
        <v>5910</v>
      </c>
      <c r="J30" s="41"/>
      <c r="K30" s="87">
        <f>4236+4282+1464+881</f>
        <v>10863</v>
      </c>
      <c r="L30" s="87">
        <f>433+1628+89+721</f>
        <v>2871</v>
      </c>
      <c r="M30" s="81"/>
      <c r="N30" s="787"/>
      <c r="O30" s="793">
        <f t="shared" si="6"/>
        <v>1.1317923785109991</v>
      </c>
    </row>
    <row r="31" spans="1:17">
      <c r="A31" s="31" t="s">
        <v>38</v>
      </c>
      <c r="B31" s="392">
        <f>120488+12239+18218</f>
        <v>150945</v>
      </c>
      <c r="C31" s="87">
        <f>89493+9857+8859+12279</f>
        <v>120488</v>
      </c>
      <c r="D31" s="602">
        <f>22490+11900+19473+16591+12914+13370+11563+9278+10032+11317</f>
        <v>138928</v>
      </c>
      <c r="E31" s="11">
        <f>SUM(F31:J31)</f>
        <v>11317</v>
      </c>
      <c r="F31" s="33">
        <v>2905</v>
      </c>
      <c r="G31" s="33">
        <v>6369</v>
      </c>
      <c r="H31" s="33">
        <v>1708</v>
      </c>
      <c r="I31" s="33">
        <v>335</v>
      </c>
      <c r="J31" s="12"/>
      <c r="K31" s="87">
        <f>263+686+41+41</f>
        <v>1031</v>
      </c>
      <c r="L31" s="87">
        <f>364+1+71+12</f>
        <v>448</v>
      </c>
      <c r="M31" s="22"/>
      <c r="N31" s="515"/>
      <c r="O31" s="793">
        <f t="shared" si="6"/>
        <v>1.1530442865679569</v>
      </c>
    </row>
    <row r="32" spans="1:17">
      <c r="A32" s="31" t="s">
        <v>39</v>
      </c>
      <c r="B32" s="14">
        <v>0</v>
      </c>
      <c r="C32" s="675">
        <v>0</v>
      </c>
      <c r="D32" s="557"/>
      <c r="E32" s="11"/>
      <c r="F32" s="13"/>
      <c r="G32" s="13"/>
      <c r="H32" s="13"/>
      <c r="I32" s="13"/>
      <c r="J32" s="13"/>
      <c r="K32" s="22"/>
      <c r="L32" s="22"/>
      <c r="M32" s="22"/>
      <c r="N32" s="515"/>
      <c r="O32" s="793"/>
    </row>
    <row r="33" spans="1:17">
      <c r="A33" s="31"/>
      <c r="B33" s="387"/>
      <c r="C33" s="675"/>
      <c r="D33" s="19"/>
      <c r="E33" s="768"/>
      <c r="F33" s="36"/>
      <c r="G33" s="36"/>
      <c r="H33" s="36"/>
      <c r="I33" s="36"/>
      <c r="J33" s="36"/>
      <c r="K33" s="36"/>
      <c r="L33" s="36"/>
      <c r="M33" s="36"/>
      <c r="N33" s="423"/>
      <c r="O33" s="793"/>
    </row>
    <row r="34" spans="1:17">
      <c r="A34" s="683" t="s">
        <v>40</v>
      </c>
      <c r="B34" s="7">
        <f>SUM(B35:B45)</f>
        <v>8314054</v>
      </c>
      <c r="C34" s="709">
        <f>SUM(C35:C45)</f>
        <v>6830818</v>
      </c>
      <c r="D34" s="556">
        <f>SUM(D35:D45)</f>
        <v>7545778</v>
      </c>
      <c r="E34" s="253">
        <f t="shared" ref="E34" si="8">SUM(E35:E45)</f>
        <v>791692</v>
      </c>
      <c r="F34" s="9"/>
      <c r="G34" s="9"/>
      <c r="H34" s="755"/>
      <c r="I34" s="9"/>
      <c r="J34" s="755"/>
      <c r="K34" s="9"/>
      <c r="L34" s="755"/>
      <c r="M34" s="9"/>
      <c r="N34" s="253">
        <f>SUM(N35:N45)</f>
        <v>112917</v>
      </c>
      <c r="O34" s="792">
        <f t="shared" si="6"/>
        <v>1.1046668202841885</v>
      </c>
    </row>
    <row r="35" spans="1:17">
      <c r="A35" s="386" t="s">
        <v>41</v>
      </c>
      <c r="B35" s="14">
        <f>439746+58130+61049</f>
        <v>558925</v>
      </c>
      <c r="C35" s="675">
        <f>439746</f>
        <v>439746</v>
      </c>
      <c r="D35" s="557">
        <f>176793+71526+59980+65204+71423+79211+71917+76068</f>
        <v>672122</v>
      </c>
      <c r="E35" s="11">
        <f t="shared" ref="E35:E41" si="9">SUM(F35:J35)</f>
        <v>76068</v>
      </c>
      <c r="F35" s="13"/>
      <c r="G35" s="13"/>
      <c r="H35" s="13">
        <v>20498</v>
      </c>
      <c r="I35" s="13">
        <v>55570</v>
      </c>
      <c r="J35" s="13"/>
      <c r="K35" s="88">
        <v>1506</v>
      </c>
      <c r="L35" s="88">
        <f>236+1254</f>
        <v>1490</v>
      </c>
      <c r="M35" s="88"/>
      <c r="N35" s="788">
        <v>0</v>
      </c>
      <c r="O35" s="793">
        <f t="shared" si="6"/>
        <v>1.528432322295143</v>
      </c>
    </row>
    <row r="36" spans="1:17">
      <c r="A36" s="386" t="s">
        <v>42</v>
      </c>
      <c r="B36" s="14">
        <f>506252+63971</f>
        <v>570223</v>
      </c>
      <c r="C36" s="675">
        <f>32272+30238+40100+48726+47472+48604+50171+52644+46845+52109</f>
        <v>449181</v>
      </c>
      <c r="D36" s="557">
        <f>315296+56739+61665+55007+62647</f>
        <v>551354</v>
      </c>
      <c r="E36" s="11">
        <f>SUM(F36:I36)</f>
        <v>62647</v>
      </c>
      <c r="F36" s="12"/>
      <c r="G36" s="12"/>
      <c r="H36" s="673">
        <v>9771</v>
      </c>
      <c r="I36" s="673">
        <v>52876</v>
      </c>
      <c r="J36" s="13"/>
      <c r="K36" s="88">
        <f>33+1300</f>
        <v>1333</v>
      </c>
      <c r="L36" s="88">
        <f>62+0</f>
        <v>62</v>
      </c>
      <c r="M36" s="88"/>
      <c r="N36" s="788">
        <v>62647</v>
      </c>
      <c r="O36" s="793">
        <f t="shared" si="6"/>
        <v>1.2274650975887227</v>
      </c>
    </row>
    <row r="37" spans="1:17">
      <c r="A37" s="388" t="s">
        <v>43</v>
      </c>
      <c r="B37" s="686">
        <f>42017+51282+45948+47390+55304+49234+45680+47437+43911+34616+30188+41910</f>
        <v>534917</v>
      </c>
      <c r="C37" s="687">
        <f>42017+51282+45948+47390+55304+49234+45680+47437+43911+34616</f>
        <v>462819</v>
      </c>
      <c r="D37" s="821">
        <f>43919+38655+49389+49920+41452+46211+54147+61115+45816+53986</f>
        <v>484610</v>
      </c>
      <c r="E37" s="769">
        <f t="shared" si="9"/>
        <v>53985</v>
      </c>
      <c r="F37" s="13">
        <v>20022</v>
      </c>
      <c r="G37" s="13">
        <v>22012</v>
      </c>
      <c r="H37" s="13">
        <v>5428</v>
      </c>
      <c r="I37" s="291">
        <v>5161</v>
      </c>
      <c r="J37" s="13">
        <v>1362</v>
      </c>
      <c r="K37" s="88">
        <f>3203+6821+1229+1077+41</f>
        <v>12371</v>
      </c>
      <c r="L37" s="2">
        <f>269+25+181+100+389</f>
        <v>964</v>
      </c>
      <c r="M37" s="88"/>
      <c r="N37" s="3">
        <v>48624</v>
      </c>
      <c r="O37" s="793">
        <f t="shared" si="6"/>
        <v>1.0470832009921804</v>
      </c>
      <c r="P37" s="832"/>
      <c r="Q37" s="606"/>
    </row>
    <row r="38" spans="1:17">
      <c r="A38" s="868" t="s">
        <v>44</v>
      </c>
      <c r="B38" s="827">
        <f>154869+18461+17185+18184+22072</f>
        <v>230771</v>
      </c>
      <c r="C38" s="828">
        <f>154869+18461+17185</f>
        <v>190515</v>
      </c>
      <c r="D38" s="869">
        <f>20214+11681+23581+25619+22301+21824+20127+19528+19926+20275</f>
        <v>205076</v>
      </c>
      <c r="E38" s="669">
        <f>SUM(F38:J38)</f>
        <v>20275</v>
      </c>
      <c r="F38" s="673"/>
      <c r="G38" s="673"/>
      <c r="H38" s="673">
        <v>9912</v>
      </c>
      <c r="I38" s="673">
        <v>10363</v>
      </c>
      <c r="J38" s="870"/>
      <c r="K38" s="871">
        <f>1366+1966</f>
        <v>3332</v>
      </c>
      <c r="L38" s="829">
        <f>840+411</f>
        <v>1251</v>
      </c>
      <c r="M38" s="829">
        <v>120</v>
      </c>
      <c r="N38" s="830">
        <v>0</v>
      </c>
      <c r="O38" s="831">
        <f t="shared" si="6"/>
        <v>1.0764296774532189</v>
      </c>
      <c r="P38" s="832"/>
      <c r="Q38" s="606"/>
    </row>
    <row r="39" spans="1:17">
      <c r="A39" s="31" t="s">
        <v>45</v>
      </c>
      <c r="B39" s="394">
        <f>50925+32855+32535+28886+28236+30552+33558+32390+29858+33841+31383</f>
        <v>365019</v>
      </c>
      <c r="C39" s="691">
        <f>50925+32855+32535+28886+28236+30552+33558+32390+29858</f>
        <v>299795</v>
      </c>
      <c r="D39" s="603">
        <f>36191+20920+29070+23929+27875+30427+28473+27605+28149+32945</f>
        <v>285584</v>
      </c>
      <c r="E39" s="11">
        <f>SUM(H39:J39)</f>
        <v>32945</v>
      </c>
      <c r="F39" s="722"/>
      <c r="G39" s="722"/>
      <c r="H39" s="13">
        <v>16241</v>
      </c>
      <c r="I39" s="13">
        <v>16704</v>
      </c>
      <c r="J39" s="12"/>
      <c r="K39" s="22">
        <f>4927+5036</f>
        <v>9963</v>
      </c>
      <c r="L39" s="22">
        <f>74+230</f>
        <v>304</v>
      </c>
      <c r="M39" s="22"/>
      <c r="N39" s="515">
        <v>54</v>
      </c>
      <c r="O39" s="793">
        <f t="shared" si="6"/>
        <v>0.95259760836571661</v>
      </c>
    </row>
    <row r="40" spans="1:17">
      <c r="A40" s="31" t="s">
        <v>46</v>
      </c>
      <c r="B40" s="394">
        <f>5696+3958+5815+9110+7468+13154+12856+16704+16494+13524+11707+13991</f>
        <v>130477</v>
      </c>
      <c r="C40" s="691">
        <f>5696+3958+5815+9110+7468+13154+12856+16704+16494+13524</f>
        <v>104779</v>
      </c>
      <c r="D40" s="603">
        <f>12008+9467+14763+14113+14691+14606+10209+8082+10081+11470</f>
        <v>119490</v>
      </c>
      <c r="E40" s="11">
        <f>SUM(F40:J40)</f>
        <v>11470</v>
      </c>
      <c r="F40" s="13">
        <v>2716</v>
      </c>
      <c r="G40" s="13">
        <v>8484</v>
      </c>
      <c r="H40" s="13"/>
      <c r="I40" s="13"/>
      <c r="J40" s="13">
        <v>270</v>
      </c>
      <c r="K40" s="22"/>
      <c r="L40" s="22"/>
      <c r="M40" s="88"/>
      <c r="N40" s="788"/>
      <c r="O40" s="793">
        <f t="shared" si="6"/>
        <v>1.1404002710466792</v>
      </c>
    </row>
    <row r="41" spans="1:17">
      <c r="A41" s="31" t="s">
        <v>47</v>
      </c>
      <c r="B41" s="394">
        <f>372397+393542+480876+438506+433683+444706+469051+460647+432596+460939+470477+474708</f>
        <v>5332128</v>
      </c>
      <c r="C41" s="691">
        <f>372397+393542+480876+438506+433683+444706+469051+460647+432596+460939</f>
        <v>4386943</v>
      </c>
      <c r="D41" s="603">
        <f>492323+373517+489518+501319+498148+483300+509517+496996+483525+491240</f>
        <v>4819403</v>
      </c>
      <c r="E41" s="11">
        <f t="shared" si="9"/>
        <v>491240</v>
      </c>
      <c r="F41" s="13">
        <v>268802</v>
      </c>
      <c r="G41" s="13">
        <v>222438</v>
      </c>
      <c r="H41" s="13"/>
      <c r="I41" s="12"/>
      <c r="J41" s="13"/>
      <c r="K41" s="87">
        <f>72981+61821</f>
        <v>134802</v>
      </c>
      <c r="L41" s="87">
        <f>3719+11371</f>
        <v>15090</v>
      </c>
      <c r="M41" s="88"/>
      <c r="N41" s="788"/>
      <c r="O41" s="793">
        <f t="shared" si="6"/>
        <v>1.0985788965117622</v>
      </c>
    </row>
    <row r="42" spans="1:17">
      <c r="A42" s="31" t="s">
        <v>48</v>
      </c>
      <c r="B42" s="394">
        <f>32440+39588+48102+43548+41412+40968+51704+51435+55440+57617+45700+41689</f>
        <v>549643</v>
      </c>
      <c r="C42" s="691">
        <f>32440+39588+48102+43548+41412+40968+51704+51435+55440+57617</f>
        <v>462254</v>
      </c>
      <c r="D42" s="603">
        <f>41444+27037+39698+37856+42480+38521+41958+41846+36877+41203</f>
        <v>388920</v>
      </c>
      <c r="E42" s="11">
        <f>SUM(F42:J42)</f>
        <v>41203</v>
      </c>
      <c r="F42" s="1035">
        <v>5293</v>
      </c>
      <c r="G42" s="1035"/>
      <c r="H42" s="1035">
        <v>35910</v>
      </c>
      <c r="I42" s="1035"/>
      <c r="J42" s="13"/>
      <c r="K42" s="88"/>
      <c r="L42" s="88"/>
      <c r="M42" s="88"/>
      <c r="N42" s="788"/>
      <c r="O42" s="793">
        <f t="shared" si="6"/>
        <v>0.84135561833970074</v>
      </c>
    </row>
    <row r="43" spans="1:17">
      <c r="A43" s="31" t="s">
        <v>49</v>
      </c>
      <c r="B43" s="389">
        <f>SUM(D43:G43)</f>
        <v>0</v>
      </c>
      <c r="C43" s="22">
        <f>SUM(D43:H43)</f>
        <v>0</v>
      </c>
      <c r="D43" s="582"/>
      <c r="E43" s="11"/>
      <c r="F43" s="13"/>
      <c r="G43" s="13"/>
      <c r="H43" s="13"/>
      <c r="I43" s="13"/>
      <c r="J43" s="13"/>
      <c r="K43" s="88"/>
      <c r="L43" s="88"/>
      <c r="M43" s="88"/>
      <c r="N43" s="788"/>
      <c r="O43" s="793"/>
    </row>
    <row r="44" spans="1:17">
      <c r="A44" s="31" t="s">
        <v>50</v>
      </c>
      <c r="B44" s="395">
        <f>2388+2166+2181+2143+2735+2159+2232+3124+2401+2891+2264+3229</f>
        <v>29913</v>
      </c>
      <c r="C44" s="36">
        <f>2388+2166+2181+2143+2735+2159+2232+3124+2401+2891</f>
        <v>24420</v>
      </c>
      <c r="D44" s="604">
        <f>1591+185+300+228+282+250+254+222+245+289</f>
        <v>3846</v>
      </c>
      <c r="E44" s="11">
        <f>SUM(F44:J44)</f>
        <v>289</v>
      </c>
      <c r="F44" s="13">
        <v>129</v>
      </c>
      <c r="G44" s="13">
        <v>160</v>
      </c>
      <c r="H44" s="13"/>
      <c r="I44" s="13"/>
      <c r="J44" s="13"/>
      <c r="K44" s="88"/>
      <c r="L44" s="88">
        <f>129</f>
        <v>129</v>
      </c>
      <c r="M44" s="88"/>
      <c r="N44" s="788">
        <v>22</v>
      </c>
      <c r="O44" s="793">
        <f t="shared" si="6"/>
        <v>0.1574938574938575</v>
      </c>
    </row>
    <row r="45" spans="1:17">
      <c r="A45" s="31" t="s">
        <v>51</v>
      </c>
      <c r="B45" s="395">
        <v>12038</v>
      </c>
      <c r="C45" s="36">
        <f>856+1105+998+1097+762+1006+924+1624+967+1027</f>
        <v>10366</v>
      </c>
      <c r="D45" s="604">
        <f>5554+2707+1759+1797+950+1036+1570</f>
        <v>15373</v>
      </c>
      <c r="E45" s="11">
        <f>SUM(F45:F45:J45)</f>
        <v>1570</v>
      </c>
      <c r="F45" s="13">
        <v>525</v>
      </c>
      <c r="G45" s="13">
        <v>1045</v>
      </c>
      <c r="H45" s="13"/>
      <c r="I45" s="13"/>
      <c r="J45" s="91"/>
      <c r="K45" s="90">
        <f>52+316</f>
        <v>368</v>
      </c>
      <c r="L45" s="88">
        <f>21+1</f>
        <v>22</v>
      </c>
      <c r="M45" s="88"/>
      <c r="N45" s="788">
        <v>1570</v>
      </c>
      <c r="O45" s="793">
        <f t="shared" si="6"/>
        <v>1.4830214161682422</v>
      </c>
    </row>
    <row r="46" spans="1:17" ht="17.100000000000001" customHeight="1">
      <c r="A46" s="31"/>
      <c r="B46" s="419"/>
      <c r="C46" s="36"/>
      <c r="D46" s="558"/>
      <c r="E46" s="770"/>
      <c r="F46" s="44"/>
      <c r="G46" s="44"/>
      <c r="H46" s="44"/>
      <c r="I46" s="44"/>
      <c r="J46" s="44"/>
      <c r="K46" s="44"/>
      <c r="L46" s="44"/>
      <c r="M46" s="44"/>
      <c r="N46" s="789"/>
      <c r="O46" s="793"/>
    </row>
    <row r="47" spans="1:17">
      <c r="A47" s="683" t="s">
        <v>52</v>
      </c>
      <c r="B47" s="928">
        <f>SUM(B48:B55)</f>
        <v>4797590</v>
      </c>
      <c r="C47" s="928">
        <f>SUM(C48:C55)</f>
        <v>3916644</v>
      </c>
      <c r="D47" s="949">
        <f>SUM(D48:D55)</f>
        <v>5258644</v>
      </c>
      <c r="E47" s="957">
        <f>SUM(E48:E54)</f>
        <v>565559</v>
      </c>
      <c r="F47" s="925">
        <f t="shared" ref="F47:N47" si="10">SUM(F48:F55)</f>
        <v>242657</v>
      </c>
      <c r="G47" s="925">
        <f t="shared" si="10"/>
        <v>277291</v>
      </c>
      <c r="H47" s="9">
        <f t="shared" si="10"/>
        <v>6505</v>
      </c>
      <c r="I47" s="9">
        <f t="shared" si="10"/>
        <v>6087</v>
      </c>
      <c r="J47" s="9">
        <f t="shared" si="10"/>
        <v>33019</v>
      </c>
      <c r="K47" s="72">
        <f t="shared" si="10"/>
        <v>40297</v>
      </c>
      <c r="L47" s="72">
        <f t="shared" si="10"/>
        <v>59477</v>
      </c>
      <c r="M47" s="72">
        <f t="shared" si="10"/>
        <v>1312</v>
      </c>
      <c r="N47" s="522">
        <f t="shared" si="10"/>
        <v>61964</v>
      </c>
      <c r="O47" s="792">
        <f t="shared" si="6"/>
        <v>1.3426402808118378</v>
      </c>
    </row>
    <row r="48" spans="1:17">
      <c r="A48" s="31" t="s">
        <v>53</v>
      </c>
      <c r="B48" s="14">
        <v>0</v>
      </c>
      <c r="C48" s="675">
        <v>0</v>
      </c>
      <c r="D48" s="557"/>
      <c r="E48" s="11">
        <f t="shared" ref="E48:E53" si="11">SUM(F48:J48)</f>
        <v>0</v>
      </c>
      <c r="F48" s="13"/>
      <c r="G48" s="13"/>
      <c r="H48" s="13"/>
      <c r="I48" s="13"/>
      <c r="J48" s="13"/>
      <c r="K48" s="36"/>
      <c r="L48" s="36"/>
      <c r="M48" s="36"/>
      <c r="N48" s="423"/>
      <c r="O48" s="793"/>
    </row>
    <row r="49" spans="1:17">
      <c r="A49" s="1075" t="s">
        <v>54</v>
      </c>
      <c r="B49" s="1057">
        <f>127394+89400+147995+127434+174236+176428+189135+187087+174544+192913+163797+135579</f>
        <v>1885942</v>
      </c>
      <c r="C49" s="1115">
        <f>127394+89400+147995+127434+174236+176428+189135+187087+174544+192913</f>
        <v>1586566</v>
      </c>
      <c r="D49" s="1103">
        <f>152617+131920+130997+153389+149066+196349+174625+189556+159615+174414</f>
        <v>1612548</v>
      </c>
      <c r="E49" s="1109">
        <f t="shared" si="11"/>
        <v>174414</v>
      </c>
      <c r="F49" s="1016">
        <v>75820</v>
      </c>
      <c r="G49" s="1016">
        <v>80954</v>
      </c>
      <c r="H49" s="1016">
        <v>6505</v>
      </c>
      <c r="I49" s="1016">
        <v>6087</v>
      </c>
      <c r="J49" s="1016">
        <v>5048</v>
      </c>
      <c r="K49" s="1017">
        <f>2800+6977+1275+392+182</f>
        <v>11626</v>
      </c>
      <c r="L49" s="1017">
        <f>3886+305+299+40</f>
        <v>4530</v>
      </c>
      <c r="M49" s="1017"/>
      <c r="N49" s="1077"/>
      <c r="O49" s="1084">
        <f t="shared" si="6"/>
        <v>1.0163762490813493</v>
      </c>
      <c r="P49" s="1015"/>
    </row>
    <row r="50" spans="1:17">
      <c r="A50" s="1076"/>
      <c r="B50" s="1058"/>
      <c r="C50" s="1116"/>
      <c r="D50" s="1104"/>
      <c r="E50" s="1110"/>
      <c r="F50" s="1016"/>
      <c r="G50" s="1016"/>
      <c r="H50" s="1016"/>
      <c r="I50" s="1016"/>
      <c r="J50" s="1016"/>
      <c r="K50" s="1017"/>
      <c r="L50" s="1017"/>
      <c r="M50" s="1017"/>
      <c r="N50" s="1077"/>
      <c r="O50" s="1085"/>
      <c r="P50" s="1015"/>
    </row>
    <row r="51" spans="1:17">
      <c r="A51" s="31" t="s">
        <v>56</v>
      </c>
      <c r="B51" s="397">
        <f>47356+52560+79724+85499+66734+68133+73487+69407+60723+61109+72181+84025</f>
        <v>820938</v>
      </c>
      <c r="C51" s="36">
        <f>47356+52560+79724+85499+66734+68133+73487+69407+60723+61109</f>
        <v>664732</v>
      </c>
      <c r="D51" s="637">
        <f>97537+55586+99611+80866+84077+87464+89817+110297+103108+86858</f>
        <v>895221</v>
      </c>
      <c r="E51" s="11">
        <f t="shared" si="11"/>
        <v>86858</v>
      </c>
      <c r="F51" s="45">
        <v>41357</v>
      </c>
      <c r="G51" s="33">
        <v>40218</v>
      </c>
      <c r="H51" s="46"/>
      <c r="I51" s="12"/>
      <c r="J51" s="33">
        <v>5283</v>
      </c>
      <c r="K51" s="87">
        <f>718+3303+1147</f>
        <v>5168</v>
      </c>
      <c r="L51" s="81"/>
      <c r="M51" s="36"/>
      <c r="N51" s="423"/>
      <c r="O51" s="793">
        <f t="shared" si="6"/>
        <v>1.3467397387217706</v>
      </c>
    </row>
    <row r="52" spans="1:17">
      <c r="A52" s="17" t="s">
        <v>57</v>
      </c>
      <c r="B52" s="395">
        <f>38855+42860+48337+46082+47751+44611+75076+55809+60576+63502+55882+64932</f>
        <v>644273</v>
      </c>
      <c r="C52" s="36">
        <f>38855+42860+48337+46082+47751+44611+75076+55809+60576+63502</f>
        <v>523459</v>
      </c>
      <c r="D52" s="604">
        <f>59734+65037+69566+76869+85180+98871+84349+95878+74900+91720</f>
        <v>802104</v>
      </c>
      <c r="E52" s="11">
        <f t="shared" si="11"/>
        <v>91720</v>
      </c>
      <c r="F52" s="13">
        <v>30545</v>
      </c>
      <c r="G52" s="13">
        <v>43453</v>
      </c>
      <c r="H52" s="13"/>
      <c r="I52" s="92"/>
      <c r="J52" s="13">
        <v>17722</v>
      </c>
      <c r="K52" s="22">
        <v>13968</v>
      </c>
      <c r="L52" s="22">
        <f>23395+353+4355</f>
        <v>28103</v>
      </c>
      <c r="M52" s="36"/>
      <c r="N52" s="423"/>
      <c r="O52" s="793">
        <f t="shared" si="6"/>
        <v>1.5323148517839984</v>
      </c>
    </row>
    <row r="53" spans="1:17">
      <c r="A53" s="17" t="s">
        <v>58</v>
      </c>
      <c r="B53" s="395">
        <f>38927+25455+65397+44769+34250+34453+44944+60275+38990+46527+28707+33843</f>
        <v>496537</v>
      </c>
      <c r="C53" s="36">
        <f>38927+25455+65397+44769+34250+34453+44944+60275+38990+46527</f>
        <v>433987</v>
      </c>
      <c r="D53" s="604">
        <f>47624+41548+39771+61527+61540+40461+59109+75205+60419+66567</f>
        <v>553771</v>
      </c>
      <c r="E53" s="11">
        <f t="shared" si="11"/>
        <v>66567</v>
      </c>
      <c r="F53" s="13">
        <v>27908</v>
      </c>
      <c r="G53" s="13">
        <v>33693</v>
      </c>
      <c r="H53" s="13"/>
      <c r="I53" s="13"/>
      <c r="J53" s="13">
        <v>4966</v>
      </c>
      <c r="K53" s="88">
        <v>9535</v>
      </c>
      <c r="L53" s="88">
        <f>24030+6+2808</f>
        <v>26844</v>
      </c>
      <c r="M53" s="88">
        <v>1312</v>
      </c>
      <c r="N53" s="788">
        <v>61964</v>
      </c>
      <c r="O53" s="793">
        <f t="shared" si="6"/>
        <v>1.276008267528751</v>
      </c>
      <c r="P53" s="129"/>
    </row>
    <row r="54" spans="1:17">
      <c r="A54" s="47" t="s">
        <v>59</v>
      </c>
      <c r="B54" s="905">
        <v>949900</v>
      </c>
      <c r="C54" s="911">
        <v>707900</v>
      </c>
      <c r="D54" s="907">
        <v>1395000</v>
      </c>
      <c r="E54" s="669">
        <f>SUM(F54:J54)</f>
        <v>146000</v>
      </c>
      <c r="F54" s="908">
        <v>67027</v>
      </c>
      <c r="G54" s="908">
        <v>78973</v>
      </c>
      <c r="H54" s="13"/>
      <c r="I54" s="93"/>
      <c r="J54" s="94"/>
      <c r="K54" s="95"/>
      <c r="L54" s="95"/>
      <c r="M54" s="95"/>
      <c r="N54" s="790"/>
      <c r="O54" s="793">
        <f t="shared" si="6"/>
        <v>1.9706173188303433</v>
      </c>
      <c r="P54" s="640"/>
    </row>
    <row r="55" spans="1:17">
      <c r="A55" s="17" t="s">
        <v>60</v>
      </c>
      <c r="B55" s="382"/>
      <c r="C55" s="52"/>
      <c r="D55" s="583"/>
      <c r="E55" s="768"/>
      <c r="F55" s="51"/>
      <c r="G55" s="51"/>
      <c r="H55" s="52"/>
      <c r="I55" s="799"/>
      <c r="J55" s="51"/>
      <c r="K55" s="36"/>
      <c r="L55" s="36"/>
      <c r="M55" s="36"/>
      <c r="N55" s="423"/>
      <c r="O55" s="793"/>
      <c r="P55" s="129"/>
      <c r="Q55" s="641"/>
    </row>
    <row r="56" spans="1:17">
      <c r="A56" s="17"/>
      <c r="B56" s="382"/>
      <c r="C56" s="682"/>
      <c r="D56" s="583"/>
      <c r="E56" s="768"/>
      <c r="F56" s="809"/>
      <c r="G56" s="51"/>
      <c r="H56" s="52"/>
      <c r="I56" s="514"/>
      <c r="J56" s="51"/>
      <c r="K56" s="36"/>
      <c r="L56" s="36"/>
      <c r="M56" s="36"/>
      <c r="N56" s="423"/>
      <c r="O56" s="793"/>
      <c r="P56" s="129"/>
      <c r="Q56" s="641"/>
    </row>
    <row r="57" spans="1:17">
      <c r="A57" s="693" t="s">
        <v>61</v>
      </c>
      <c r="B57" s="218">
        <f>SUM(B58:B65)</f>
        <v>71421</v>
      </c>
      <c r="C57" s="723">
        <f>SUM(C58:C65)-C64</f>
        <v>60480</v>
      </c>
      <c r="D57" s="773">
        <f>SUM(D58:D65)</f>
        <v>46258</v>
      </c>
      <c r="E57" s="753">
        <f t="shared" ref="E57" si="12">SUM(E58:E65)</f>
        <v>6109</v>
      </c>
      <c r="F57" s="695"/>
      <c r="G57" s="695"/>
      <c r="H57" s="753">
        <f t="shared" ref="H57:N57" si="13">SUM(H58:H65)</f>
        <v>3156</v>
      </c>
      <c r="I57" s="753">
        <f t="shared" si="13"/>
        <v>2953</v>
      </c>
      <c r="J57" s="695"/>
      <c r="K57" s="753">
        <f t="shared" si="13"/>
        <v>1930</v>
      </c>
      <c r="L57" s="753">
        <f t="shared" si="13"/>
        <v>1725</v>
      </c>
      <c r="M57" s="753">
        <f t="shared" si="13"/>
        <v>0</v>
      </c>
      <c r="N57" s="753">
        <f t="shared" si="13"/>
        <v>3241</v>
      </c>
      <c r="O57" s="792">
        <f t="shared" si="6"/>
        <v>0.76484788359788358</v>
      </c>
    </row>
    <row r="58" spans="1:17">
      <c r="A58" s="17" t="s">
        <v>62</v>
      </c>
      <c r="B58" s="395">
        <f>122+557+792+366+499+468+393+769+628+559+497+230</f>
        <v>5880</v>
      </c>
      <c r="C58" s="36">
        <f>122+557+792+366+499+468+393+769+628+559</f>
        <v>5153</v>
      </c>
      <c r="D58" s="774">
        <f>335+74+675+1816+624+522+232+273+655+1600</f>
        <v>6806</v>
      </c>
      <c r="E58" s="11">
        <f>SUM(F58:J58)</f>
        <v>1600</v>
      </c>
      <c r="F58" s="291"/>
      <c r="G58" s="13"/>
      <c r="H58" s="57">
        <v>764</v>
      </c>
      <c r="I58" s="13">
        <v>836</v>
      </c>
      <c r="J58" s="13"/>
      <c r="K58" s="36">
        <f>382+60</f>
        <v>442</v>
      </c>
      <c r="L58" s="36">
        <f>358</f>
        <v>358</v>
      </c>
      <c r="M58" s="36"/>
      <c r="N58" s="423"/>
      <c r="O58" s="793">
        <f t="shared" si="6"/>
        <v>1.3207840093149621</v>
      </c>
      <c r="P58" s="385"/>
    </row>
    <row r="59" spans="1:17">
      <c r="A59" s="17" t="s">
        <v>63</v>
      </c>
      <c r="B59" s="14"/>
      <c r="C59" s="675"/>
      <c r="D59" s="775"/>
      <c r="E59" s="11">
        <f t="shared" ref="E59:E65" si="14">SUM(F59:J59)</f>
        <v>0</v>
      </c>
      <c r="F59" s="58"/>
      <c r="G59" s="11"/>
      <c r="H59" s="13"/>
      <c r="I59" s="13"/>
      <c r="J59" s="13"/>
      <c r="K59" s="36"/>
      <c r="L59" s="36"/>
      <c r="M59" s="36"/>
      <c r="N59" s="423"/>
      <c r="O59" s="793"/>
    </row>
    <row r="60" spans="1:17">
      <c r="A60" s="17" t="s">
        <v>64</v>
      </c>
      <c r="B60" s="395">
        <f>774+884+1093+1806+989+1127+1587+1317+1182+1138+1729+1456</f>
        <v>15082</v>
      </c>
      <c r="C60" s="36">
        <f>774+884+1093+1806+989+1127+1587+1317+1182+1138</f>
        <v>11897</v>
      </c>
      <c r="D60" s="774">
        <f>1670+1062+1129+1350+1391+1439+1192+1252+1332+1078</f>
        <v>12895</v>
      </c>
      <c r="E60" s="11">
        <f t="shared" si="14"/>
        <v>1078</v>
      </c>
      <c r="F60" s="57"/>
      <c r="G60" s="11"/>
      <c r="H60" s="13">
        <v>473</v>
      </c>
      <c r="I60" s="13">
        <v>605</v>
      </c>
      <c r="J60" s="13"/>
      <c r="K60" s="36">
        <f>204+257</f>
        <v>461</v>
      </c>
      <c r="L60" s="36">
        <f>185+264</f>
        <v>449</v>
      </c>
      <c r="M60" s="36"/>
      <c r="N60" s="423"/>
      <c r="O60" s="793">
        <f t="shared" si="6"/>
        <v>1.0838866941245693</v>
      </c>
    </row>
    <row r="61" spans="1:17">
      <c r="A61" s="17" t="s">
        <v>65</v>
      </c>
      <c r="B61" s="14">
        <f>19101+1605+2057+920+1082</f>
        <v>24765</v>
      </c>
      <c r="C61" s="675">
        <f>19101+1605+2057</f>
        <v>22763</v>
      </c>
      <c r="D61" s="775">
        <f>1089+517+1381+2546+1336+1503+1713+1785+1646+1436</f>
        <v>14952</v>
      </c>
      <c r="E61" s="11">
        <f t="shared" si="14"/>
        <v>1436</v>
      </c>
      <c r="F61" s="58"/>
      <c r="G61" s="11"/>
      <c r="H61" s="13">
        <v>700</v>
      </c>
      <c r="I61" s="13">
        <v>736</v>
      </c>
      <c r="J61" s="13">
        <v>0</v>
      </c>
      <c r="K61" s="22">
        <f>2+632</f>
        <v>634</v>
      </c>
      <c r="L61" s="22">
        <f>602+10</f>
        <v>612</v>
      </c>
      <c r="M61" s="36"/>
      <c r="N61" s="423">
        <v>1246</v>
      </c>
      <c r="O61" s="793">
        <f t="shared" si="6"/>
        <v>0.65685542327461233</v>
      </c>
    </row>
    <row r="62" spans="1:17">
      <c r="A62" s="398" t="s">
        <v>66</v>
      </c>
      <c r="B62" s="389">
        <f>SUM(D62:G62)</f>
        <v>0</v>
      </c>
      <c r="C62" s="22">
        <f>SUM(D62:H62)</f>
        <v>0</v>
      </c>
      <c r="D62" s="776"/>
      <c r="E62" s="11">
        <f t="shared" si="14"/>
        <v>0</v>
      </c>
      <c r="F62" s="476"/>
      <c r="G62" s="11"/>
      <c r="H62" s="13"/>
      <c r="I62" s="13"/>
      <c r="J62" s="13"/>
      <c r="K62" s="36"/>
      <c r="L62" s="36"/>
      <c r="M62" s="36"/>
      <c r="N62" s="423"/>
      <c r="O62" s="793"/>
    </row>
    <row r="63" spans="1:17">
      <c r="A63" s="17" t="s">
        <v>67</v>
      </c>
      <c r="B63" s="14">
        <v>19597</v>
      </c>
      <c r="C63" s="675">
        <f>2223+1720+1475+1550+1228+2090+2007+1788+1702</f>
        <v>15783</v>
      </c>
      <c r="D63" s="777">
        <f>949+632+800+680+378+254+120+150+155+159</f>
        <v>4277</v>
      </c>
      <c r="E63" s="11">
        <f t="shared" si="14"/>
        <v>159</v>
      </c>
      <c r="F63" s="58"/>
      <c r="G63" s="11"/>
      <c r="H63" s="13">
        <v>80</v>
      </c>
      <c r="I63" s="13">
        <v>79</v>
      </c>
      <c r="J63" s="13"/>
      <c r="K63" s="22">
        <v>159</v>
      </c>
      <c r="L63" s="22">
        <f>80</f>
        <v>80</v>
      </c>
      <c r="M63" s="36"/>
      <c r="N63" s="423">
        <v>159</v>
      </c>
      <c r="O63" s="793">
        <f t="shared" si="6"/>
        <v>0.27098777165304444</v>
      </c>
    </row>
    <row r="64" spans="1:17">
      <c r="A64" s="399" t="s">
        <v>68</v>
      </c>
      <c r="B64" s="390"/>
      <c r="C64" s="698"/>
      <c r="D64" s="774"/>
      <c r="E64" s="11">
        <f t="shared" si="14"/>
        <v>0</v>
      </c>
      <c r="F64" s="57"/>
      <c r="G64" s="62"/>
      <c r="H64" s="12"/>
      <c r="I64" s="12"/>
      <c r="J64" s="12"/>
      <c r="K64" s="28"/>
      <c r="L64" s="28"/>
      <c r="M64" s="28"/>
      <c r="N64" s="116"/>
      <c r="O64" s="793"/>
    </row>
    <row r="65" spans="1:17">
      <c r="A65" s="17" t="s">
        <v>69</v>
      </c>
      <c r="B65" s="395">
        <f>3284+527+85+247+741+628+585</f>
        <v>6097</v>
      </c>
      <c r="C65" s="36">
        <f>3284+527+85+247+741</f>
        <v>4884</v>
      </c>
      <c r="D65" s="774">
        <f>703+210+509+267+526+508+670+637+1462+1836</f>
        <v>7328</v>
      </c>
      <c r="E65" s="11">
        <f t="shared" si="14"/>
        <v>1836</v>
      </c>
      <c r="F65" s="13"/>
      <c r="G65" s="13"/>
      <c r="H65" s="13">
        <v>1139</v>
      </c>
      <c r="I65" s="13">
        <v>697</v>
      </c>
      <c r="J65" s="13"/>
      <c r="K65" s="22">
        <f>225+9</f>
        <v>234</v>
      </c>
      <c r="L65" s="22">
        <f>226</f>
        <v>226</v>
      </c>
      <c r="M65" s="22"/>
      <c r="N65" s="515">
        <v>1836</v>
      </c>
      <c r="O65" s="793">
        <f t="shared" si="6"/>
        <v>1.5004095004095004</v>
      </c>
      <c r="Q65" s="499"/>
    </row>
    <row r="66" spans="1:17" ht="15" thickBot="1">
      <c r="A66" s="778"/>
      <c r="B66" s="779"/>
      <c r="C66" s="780"/>
      <c r="D66" s="781"/>
      <c r="E66" s="771"/>
      <c r="F66" s="66"/>
      <c r="G66" s="178"/>
      <c r="H66" s="66"/>
      <c r="I66" s="66"/>
      <c r="J66" s="66"/>
      <c r="K66" s="66"/>
      <c r="L66" s="66"/>
      <c r="M66" s="66"/>
      <c r="N66" s="791"/>
      <c r="O66" s="793"/>
    </row>
    <row r="67" spans="1:17" s="1" customFormat="1" ht="20.100000000000001" customHeight="1" thickBot="1">
      <c r="A67" s="840" t="s">
        <v>70</v>
      </c>
      <c r="B67" s="958">
        <f>B6+B28+B34+B47+B57</f>
        <v>18561273</v>
      </c>
      <c r="C67" s="959">
        <f>C6+C28+C34+C47+C57</f>
        <v>15192753</v>
      </c>
      <c r="D67" s="960">
        <f>D6+D28+D34+D47+D57</f>
        <v>18016244</v>
      </c>
      <c r="E67" s="961">
        <f>E6+E28+E34+E47+E57</f>
        <v>1902717</v>
      </c>
      <c r="F67" s="934">
        <f>F6+F28+F34+F47+F57</f>
        <v>464435</v>
      </c>
      <c r="G67" s="935">
        <f t="shared" ref="G67:N67" si="15">G6+G28+F34+G47+G57</f>
        <v>494640</v>
      </c>
      <c r="H67" s="102">
        <f t="shared" si="15"/>
        <v>47495</v>
      </c>
      <c r="I67" s="102">
        <f t="shared" si="15"/>
        <v>45406</v>
      </c>
      <c r="J67" s="102">
        <f t="shared" si="15"/>
        <v>33019</v>
      </c>
      <c r="K67" s="127">
        <f t="shared" si="15"/>
        <v>109328</v>
      </c>
      <c r="L67" s="127">
        <f t="shared" si="15"/>
        <v>81126</v>
      </c>
      <c r="M67" s="127">
        <f t="shared" si="15"/>
        <v>1312</v>
      </c>
      <c r="N67" s="797">
        <f t="shared" si="15"/>
        <v>67461</v>
      </c>
      <c r="O67" s="798">
        <f t="shared" si="6"/>
        <v>1.1858445931425332</v>
      </c>
    </row>
    <row r="68" spans="1:17" s="1" customFormat="1" ht="19.649999999999999" customHeight="1" thickBot="1">
      <c r="A68" s="735" t="s">
        <v>160</v>
      </c>
      <c r="B68" s="711">
        <f>B67+B26</f>
        <v>20384487</v>
      </c>
      <c r="C68" s="737">
        <f>C67+C26</f>
        <v>16430007</v>
      </c>
      <c r="D68" s="737">
        <f>D67+D26</f>
        <v>19732309</v>
      </c>
      <c r="E68" s="736">
        <f>E67+E26</f>
        <v>2093746</v>
      </c>
      <c r="F68" s="724"/>
      <c r="G68" s="724"/>
      <c r="H68" s="725"/>
      <c r="I68" s="725"/>
      <c r="J68" s="725"/>
      <c r="K68" s="725"/>
      <c r="L68" s="724"/>
      <c r="N68" s="724"/>
      <c r="O68" s="726"/>
    </row>
    <row r="69" spans="1:17">
      <c r="A69" s="3"/>
      <c r="B69" s="700"/>
      <c r="C69" s="700"/>
      <c r="D69" s="700"/>
      <c r="E69" s="700"/>
      <c r="F69" s="68"/>
      <c r="G69" s="68"/>
      <c r="H69" s="3"/>
      <c r="I69" s="3"/>
      <c r="J69" s="3"/>
      <c r="K69" s="3"/>
      <c r="L69" s="68"/>
      <c r="M69" s="68" t="s">
        <v>181</v>
      </c>
      <c r="N69" s="68"/>
      <c r="O69" s="3"/>
    </row>
    <row r="70" spans="1:17">
      <c r="B70" s="3"/>
      <c r="C70" s="3"/>
      <c r="D70" s="68"/>
      <c r="E70" s="3"/>
      <c r="F70" s="68"/>
      <c r="G70" s="3"/>
      <c r="H70" s="3"/>
      <c r="I70" s="3"/>
      <c r="J70" s="3"/>
      <c r="K70" s="3"/>
      <c r="L70" s="68"/>
      <c r="M70" s="68"/>
      <c r="N70" s="68"/>
      <c r="O70" s="3"/>
    </row>
    <row r="71" spans="1:17" ht="15" thickBot="1">
      <c r="B71" s="3"/>
      <c r="C71" s="3"/>
      <c r="D71" s="104" t="s">
        <v>71</v>
      </c>
      <c r="E71" s="104" t="s">
        <v>72</v>
      </c>
      <c r="F71" s="104" t="s">
        <v>73</v>
      </c>
      <c r="G71" s="104" t="s">
        <v>74</v>
      </c>
      <c r="H71" s="104" t="s">
        <v>75</v>
      </c>
      <c r="I71" s="104" t="s">
        <v>76</v>
      </c>
      <c r="J71" s="104" t="s">
        <v>77</v>
      </c>
      <c r="K71" s="104" t="s">
        <v>78</v>
      </c>
      <c r="L71" s="104" t="s">
        <v>79</v>
      </c>
      <c r="M71" s="104" t="s">
        <v>80</v>
      </c>
      <c r="N71" s="104" t="s">
        <v>81</v>
      </c>
      <c r="O71" s="104" t="s">
        <v>82</v>
      </c>
      <c r="P71" s="104" t="s">
        <v>83</v>
      </c>
    </row>
    <row r="72" spans="1:17" ht="15" thickBot="1">
      <c r="B72" s="105" t="s">
        <v>84</v>
      </c>
      <c r="C72" s="105"/>
      <c r="D72" s="22">
        <v>1845076</v>
      </c>
      <c r="E72" s="22">
        <v>1453853.1301010782</v>
      </c>
      <c r="F72" s="804">
        <v>1812571.4812098993</v>
      </c>
      <c r="G72" s="22">
        <v>1892251.3322744532</v>
      </c>
      <c r="H72" s="22">
        <v>1870176</v>
      </c>
      <c r="I72" s="129">
        <v>1911539</v>
      </c>
      <c r="J72" s="22">
        <v>1961723</v>
      </c>
      <c r="K72" s="131">
        <v>2029897.8285490959</v>
      </c>
      <c r="L72" s="22">
        <v>1839034.7712819837</v>
      </c>
      <c r="M72" s="131">
        <v>1959770</v>
      </c>
      <c r="N72" s="111"/>
      <c r="O72" s="131"/>
      <c r="P72" s="132">
        <f>SUM(D72:O72)</f>
        <v>18575892.543416511</v>
      </c>
    </row>
    <row r="73" spans="1:17">
      <c r="A73" s="3"/>
      <c r="B73" s="107" t="s">
        <v>85</v>
      </c>
      <c r="C73" s="107"/>
      <c r="D73" s="108"/>
      <c r="E73" s="109">
        <f>IF(D72&gt;0,E72/D72,0)*100</f>
        <v>78.796381834736252</v>
      </c>
      <c r="F73" s="109">
        <f>IF(E72&gt;0,F72/E72,0)*100</f>
        <v>124.67363062208914</v>
      </c>
      <c r="G73" s="109">
        <f>IF(F72&gt;0,G72/F72,0)*100</f>
        <v>104.39595634658045</v>
      </c>
      <c r="H73" s="109">
        <f>IF(G72&gt;0,H72/G72,0)*100</f>
        <v>98.833382653882495</v>
      </c>
      <c r="I73" s="109">
        <f>IF(H72&gt;0,I72/H72,0)*100</f>
        <v>102.21171697209246</v>
      </c>
      <c r="J73" s="109">
        <f>IF(H72&gt;0,J72/H72,0)*100</f>
        <v>104.89510078195849</v>
      </c>
      <c r="K73" s="109">
        <f>IF(J72&gt;0,K72/J72,0)*100</f>
        <v>103.47525254835142</v>
      </c>
      <c r="L73" s="109">
        <f>IF(K72&gt;0,L72/K72,0)*100</f>
        <v>90.597405712605024</v>
      </c>
      <c r="M73" s="109">
        <f>IF(L72&gt;0,M72/L72,0)*100</f>
        <v>106.56514116010175</v>
      </c>
      <c r="N73" s="109">
        <f>IF(M72&gt;0,N72/M72,0)*100</f>
        <v>0</v>
      </c>
      <c r="O73" s="109">
        <f>IF(N72&gt;0,O72/N72,0)*100</f>
        <v>0</v>
      </c>
      <c r="P73" s="109"/>
    </row>
    <row r="74" spans="1:17">
      <c r="A74" s="3"/>
      <c r="B74" s="110"/>
      <c r="C74" s="110"/>
      <c r="D74" s="110"/>
      <c r="E74" s="111"/>
      <c r="F74" s="110"/>
      <c r="G74" s="3"/>
      <c r="H74" s="3"/>
      <c r="I74" s="3"/>
      <c r="J74" s="3"/>
      <c r="K74" s="3"/>
      <c r="L74" s="3"/>
      <c r="M74" s="68"/>
      <c r="N74" s="68"/>
      <c r="O74" s="68"/>
      <c r="P74" s="3"/>
    </row>
    <row r="75" spans="1:17">
      <c r="A75" s="148" t="s">
        <v>86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3" t="s">
        <v>87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8" t="s">
        <v>88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2"/>
    </row>
    <row r="78" spans="1:17">
      <c r="A78" s="149" t="s">
        <v>89</v>
      </c>
      <c r="B78" s="68"/>
      <c r="C78" s="68"/>
      <c r="D78" s="68"/>
      <c r="E78" s="68"/>
      <c r="F78" s="3"/>
      <c r="G78" s="3"/>
      <c r="H78" s="3"/>
      <c r="I78" s="3"/>
      <c r="J78" s="3"/>
      <c r="K78" s="3"/>
      <c r="L78" s="3"/>
      <c r="M78" s="68"/>
      <c r="N78" s="68"/>
      <c r="O78" s="68"/>
      <c r="P78" s="3"/>
      <c r="Q78" s="144"/>
    </row>
    <row r="79" spans="1:17">
      <c r="A79" s="3" t="s">
        <v>90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68"/>
      <c r="P79" s="3"/>
    </row>
    <row r="80" spans="1:17">
      <c r="A80" s="3" t="s">
        <v>91</v>
      </c>
      <c r="B80" s="3"/>
      <c r="C80" s="3"/>
      <c r="D80" s="3"/>
      <c r="E80" s="3"/>
      <c r="F80" s="3"/>
      <c r="G80" s="3"/>
      <c r="H80" s="3"/>
      <c r="I80" s="3"/>
      <c r="K80" s="3"/>
      <c r="M80" s="68"/>
      <c r="N80" s="68"/>
      <c r="O80" s="135"/>
      <c r="P80" s="3"/>
    </row>
    <row r="81" spans="1:17">
      <c r="A81" s="3" t="s">
        <v>92</v>
      </c>
      <c r="B81" s="3"/>
      <c r="C81" s="3"/>
      <c r="D81" s="3"/>
      <c r="E81" s="3"/>
      <c r="F81" s="3"/>
      <c r="G81" s="3"/>
      <c r="H81" s="3"/>
      <c r="I81" s="3"/>
      <c r="K81" s="3"/>
      <c r="L81" s="3"/>
      <c r="M81" s="68"/>
      <c r="N81" s="68"/>
      <c r="O81" s="68"/>
      <c r="P81" s="3"/>
    </row>
    <row r="83" spans="1:17">
      <c r="B83" s="606" t="s">
        <v>159</v>
      </c>
    </row>
    <row r="84" spans="1:17">
      <c r="B84" s="738" t="s">
        <v>93</v>
      </c>
      <c r="C84" s="738"/>
      <c r="D84" s="740" t="s">
        <v>94</v>
      </c>
      <c r="E84" s="740" t="s">
        <v>95</v>
      </c>
      <c r="F84" s="740" t="s">
        <v>96</v>
      </c>
      <c r="G84" s="740" t="s">
        <v>97</v>
      </c>
      <c r="H84" s="740" t="s">
        <v>98</v>
      </c>
      <c r="I84" s="741" t="s">
        <v>99</v>
      </c>
      <c r="J84" s="740" t="s">
        <v>100</v>
      </c>
      <c r="K84" s="740" t="s">
        <v>101</v>
      </c>
      <c r="L84" s="740" t="s">
        <v>102</v>
      </c>
      <c r="M84" s="740" t="s">
        <v>103</v>
      </c>
      <c r="N84" s="740" t="s">
        <v>104</v>
      </c>
      <c r="O84" s="740" t="s">
        <v>105</v>
      </c>
      <c r="P84" s="740" t="s">
        <v>83</v>
      </c>
      <c r="Q84" s="742" t="s">
        <v>107</v>
      </c>
    </row>
    <row r="85" spans="1:17">
      <c r="B85" s="116" t="s">
        <v>108</v>
      </c>
      <c r="C85" s="116"/>
      <c r="D85" s="52">
        <v>250647.57142857101</v>
      </c>
      <c r="E85" s="52">
        <v>303326.78571428568</v>
      </c>
      <c r="F85" s="52">
        <v>278308.28571428568</v>
      </c>
      <c r="G85" s="52">
        <v>329534.92857142858</v>
      </c>
      <c r="H85" s="118">
        <v>264136.85714285716</v>
      </c>
      <c r="I85" s="52">
        <v>280939.92857142852</v>
      </c>
      <c r="J85" s="52">
        <v>288262.21428571426</v>
      </c>
      <c r="K85" s="137">
        <v>271802.21428571432</v>
      </c>
      <c r="L85" s="138">
        <v>268024.71428571432</v>
      </c>
      <c r="M85" s="52">
        <v>273538.35714285716</v>
      </c>
      <c r="N85" s="52"/>
      <c r="O85" s="52"/>
      <c r="P85" s="478">
        <f t="shared" ref="P85:P91" si="16">SUM(D85:O85)</f>
        <v>2808521.8571428573</v>
      </c>
      <c r="Q85" s="146">
        <f t="shared" ref="Q85:Q92" si="17">P85/$P$92</f>
        <v>0.33674163793749612</v>
      </c>
    </row>
    <row r="86" spans="1:17">
      <c r="B86" s="119" t="s">
        <v>109</v>
      </c>
      <c r="C86" s="119"/>
      <c r="D86" s="121">
        <v>51557.785714285703</v>
      </c>
      <c r="E86" s="122">
        <v>38594.857142857145</v>
      </c>
      <c r="F86" s="122">
        <v>40995.357142857145</v>
      </c>
      <c r="G86" s="122">
        <v>33533.714285714283</v>
      </c>
      <c r="H86" s="123">
        <v>15954.785714285714</v>
      </c>
      <c r="I86" s="122">
        <v>52129.78571428571</v>
      </c>
      <c r="J86" s="122">
        <v>43316.857142857145</v>
      </c>
      <c r="K86" s="122">
        <v>16896.428571428572</v>
      </c>
      <c r="L86" s="122">
        <v>11983.357142857143</v>
      </c>
      <c r="M86" s="122">
        <v>36116.357142857145</v>
      </c>
      <c r="N86" s="122"/>
      <c r="O86" s="122"/>
      <c r="P86" s="479">
        <f t="shared" si="16"/>
        <v>341079.28571428574</v>
      </c>
      <c r="Q86" s="147">
        <f t="shared" si="17"/>
        <v>4.0895390237348471E-2</v>
      </c>
    </row>
    <row r="87" spans="1:17">
      <c r="B87" s="119" t="s">
        <v>110</v>
      </c>
      <c r="C87" s="119"/>
      <c r="D87" s="121">
        <v>157521.85714285701</v>
      </c>
      <c r="E87" s="122">
        <v>160543.85714285713</v>
      </c>
      <c r="F87" s="122">
        <v>156602.71428571426</v>
      </c>
      <c r="G87" s="122">
        <v>190080.78571428574</v>
      </c>
      <c r="H87" s="123">
        <v>199613.78571428571</v>
      </c>
      <c r="I87" s="122">
        <v>200030.57142857142</v>
      </c>
      <c r="J87" s="122">
        <v>179224.21428571429</v>
      </c>
      <c r="K87" s="122">
        <v>212064</v>
      </c>
      <c r="L87" s="122">
        <v>216576.85714285716</v>
      </c>
      <c r="M87" s="122">
        <v>197261.57142857142</v>
      </c>
      <c r="N87" s="122"/>
      <c r="O87" s="122"/>
      <c r="P87" s="479">
        <f t="shared" si="16"/>
        <v>1869520.2142857141</v>
      </c>
      <c r="Q87" s="147">
        <f t="shared" si="17"/>
        <v>0.22415538533720866</v>
      </c>
    </row>
    <row r="88" spans="1:17">
      <c r="B88" s="124" t="s">
        <v>111</v>
      </c>
      <c r="C88" s="124"/>
      <c r="D88" s="52">
        <v>129327.714285714</v>
      </c>
      <c r="E88" s="52">
        <v>98880.78571428571</v>
      </c>
      <c r="F88" s="52">
        <v>142655.5</v>
      </c>
      <c r="G88" s="52">
        <v>133507.35714285716</v>
      </c>
      <c r="H88" s="118">
        <v>117586.21428571429</v>
      </c>
      <c r="I88" s="52">
        <v>102160.14285714286</v>
      </c>
      <c r="J88" s="52">
        <v>115071.28571428571</v>
      </c>
      <c r="K88" s="52">
        <v>125627.07142857143</v>
      </c>
      <c r="L88" s="52">
        <v>117220.21428571429</v>
      </c>
      <c r="M88" s="52">
        <v>109571.57142857142</v>
      </c>
      <c r="N88" s="52"/>
      <c r="O88" s="52"/>
      <c r="P88" s="478">
        <f t="shared" si="16"/>
        <v>1191607.8571428568</v>
      </c>
      <c r="Q88" s="146">
        <f t="shared" si="17"/>
        <v>0.14287372575468793</v>
      </c>
    </row>
    <row r="89" spans="1:17">
      <c r="B89" s="124" t="s">
        <v>112</v>
      </c>
      <c r="C89" s="124"/>
      <c r="D89" s="52">
        <v>81303.642857142899</v>
      </c>
      <c r="E89" s="52">
        <v>79785.57142857142</v>
      </c>
      <c r="F89" s="52">
        <v>99571</v>
      </c>
      <c r="G89" s="52">
        <v>105052.5</v>
      </c>
      <c r="H89" s="118">
        <v>95685.357142857145</v>
      </c>
      <c r="I89" s="52">
        <v>101332.71428571429</v>
      </c>
      <c r="J89" s="52">
        <v>110053</v>
      </c>
      <c r="K89" s="52">
        <v>157274.64285714284</v>
      </c>
      <c r="L89" s="52">
        <v>107111.64285714286</v>
      </c>
      <c r="M89" s="52">
        <v>113778.57142857142</v>
      </c>
      <c r="N89" s="52"/>
      <c r="O89" s="52"/>
      <c r="P89" s="478">
        <f t="shared" si="16"/>
        <v>1050948.642857143</v>
      </c>
      <c r="Q89" s="146">
        <f t="shared" si="17"/>
        <v>0.12600869260954506</v>
      </c>
    </row>
    <row r="90" spans="1:17">
      <c r="B90" s="116" t="s">
        <v>57</v>
      </c>
      <c r="C90" s="116"/>
      <c r="D90" s="52">
        <v>79967.428571428594</v>
      </c>
      <c r="E90" s="52">
        <v>73659.642857142855</v>
      </c>
      <c r="F90" s="52">
        <v>87559.357142857145</v>
      </c>
      <c r="G90" s="52">
        <v>116176.92857142858</v>
      </c>
      <c r="H90" s="118">
        <v>97186.071428571435</v>
      </c>
      <c r="I90" s="52">
        <v>107421.21428571429</v>
      </c>
      <c r="J90" s="52">
        <v>106410.42857142858</v>
      </c>
      <c r="K90" s="52">
        <v>100767.21428571429</v>
      </c>
      <c r="L90" s="52">
        <v>106862.07142857142</v>
      </c>
      <c r="M90" s="52">
        <v>108471.5</v>
      </c>
      <c r="N90" s="52"/>
      <c r="O90" s="52"/>
      <c r="P90" s="478">
        <f t="shared" si="16"/>
        <v>984481.85714285704</v>
      </c>
      <c r="Q90" s="146">
        <f t="shared" si="17"/>
        <v>0.11803932814369796</v>
      </c>
    </row>
    <row r="91" spans="1:17">
      <c r="B91" s="28" t="s">
        <v>158</v>
      </c>
      <c r="C91" s="28"/>
      <c r="D91" s="52">
        <v>2349.7857142857142</v>
      </c>
      <c r="E91" s="52">
        <v>4728.1428571428569</v>
      </c>
      <c r="F91" s="52">
        <v>9206.7857142857138</v>
      </c>
      <c r="G91" s="52">
        <v>12338.642857142857</v>
      </c>
      <c r="H91" s="118">
        <v>9361.4285714285706</v>
      </c>
      <c r="I91" s="52">
        <v>10276.428571428572</v>
      </c>
      <c r="J91" s="52">
        <v>11068.928571428572</v>
      </c>
      <c r="K91" s="52">
        <v>13297.5</v>
      </c>
      <c r="L91" s="129">
        <v>9097.1428571428569</v>
      </c>
      <c r="M91" s="52">
        <v>12402.357142857143</v>
      </c>
      <c r="N91" s="52"/>
      <c r="O91" s="52"/>
      <c r="P91" s="478">
        <f t="shared" si="16"/>
        <v>94127.142857142855</v>
      </c>
      <c r="Q91" s="146">
        <f t="shared" si="17"/>
        <v>1.128583998001576E-2</v>
      </c>
    </row>
    <row r="92" spans="1:17">
      <c r="D92" s="643">
        <f>SUM(D85:D91)</f>
        <v>752675.78571428498</v>
      </c>
      <c r="E92" s="643">
        <f t="shared" ref="E92:P92" si="18">SUM(E85:E91)</f>
        <v>759519.64285714272</v>
      </c>
      <c r="F92" s="643">
        <f t="shared" si="18"/>
        <v>814898.99999999988</v>
      </c>
      <c r="G92" s="643">
        <f t="shared" si="18"/>
        <v>920224.85714285716</v>
      </c>
      <c r="H92" s="643">
        <f t="shared" si="18"/>
        <v>799524.50000000012</v>
      </c>
      <c r="I92" s="643">
        <f t="shared" si="18"/>
        <v>854290.78571428568</v>
      </c>
      <c r="J92" s="643">
        <f t="shared" si="18"/>
        <v>853406.92857142852</v>
      </c>
      <c r="K92" s="643">
        <f>SUM(K85:K91)</f>
        <v>897729.07142857148</v>
      </c>
      <c r="L92" s="643">
        <f t="shared" si="18"/>
        <v>836876.00000000012</v>
      </c>
      <c r="M92" s="643">
        <f t="shared" si="18"/>
        <v>851140.2857142858</v>
      </c>
      <c r="N92" s="643">
        <f t="shared" si="18"/>
        <v>0</v>
      </c>
      <c r="O92" s="643">
        <f t="shared" si="18"/>
        <v>0</v>
      </c>
      <c r="P92" s="643">
        <f t="shared" si="18"/>
        <v>8340286.8571428573</v>
      </c>
      <c r="Q92" s="605">
        <f t="shared" si="17"/>
        <v>1</v>
      </c>
    </row>
  </sheetData>
  <mergeCells count="26">
    <mergeCell ref="A1:O1"/>
    <mergeCell ref="A3:A4"/>
    <mergeCell ref="B3:B4"/>
    <mergeCell ref="C3:C4"/>
    <mergeCell ref="D3:D4"/>
    <mergeCell ref="E3:N3"/>
    <mergeCell ref="O3:O4"/>
    <mergeCell ref="A49:A50"/>
    <mergeCell ref="B49:B50"/>
    <mergeCell ref="C49:C50"/>
    <mergeCell ref="D49:D50"/>
    <mergeCell ref="E49:E50"/>
    <mergeCell ref="K49:K50"/>
    <mergeCell ref="L49:L50"/>
    <mergeCell ref="M49:M50"/>
    <mergeCell ref="P6:P7"/>
    <mergeCell ref="F42:G42"/>
    <mergeCell ref="H42:I42"/>
    <mergeCell ref="F49:F50"/>
    <mergeCell ref="G49:G50"/>
    <mergeCell ref="N49:N50"/>
    <mergeCell ref="O49:O50"/>
    <mergeCell ref="P49:P50"/>
    <mergeCell ref="H49:H50"/>
    <mergeCell ref="I49:I50"/>
    <mergeCell ref="J49:J50"/>
  </mergeCells>
  <pageMargins left="0.25" right="0.25" top="0.75" bottom="0.75" header="0.3" footer="0.3"/>
  <pageSetup paperSize="9" scale="75" orientation="landscape" r:id="rId1"/>
  <ignoredErrors>
    <ignoredError sqref="E17 B26 E35 E63 D26:E26" formulaRange="1"/>
    <ignoredError sqref="C6 E39 E47:E51 J73 E36" formula="1"/>
    <ignoredError sqref="E52:E53" formula="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CDF4-4890-4A63-8702-19015A9A529B}">
  <dimension ref="A1:Q92"/>
  <sheetViews>
    <sheetView zoomScale="80" zoomScaleNormal="80"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E54" sqref="E54"/>
    </sheetView>
  </sheetViews>
  <sheetFormatPr defaultColWidth="8.5546875" defaultRowHeight="14.4"/>
  <cols>
    <col min="1" max="1" width="28.33203125" style="2" customWidth="1"/>
    <col min="2" max="2" width="13.21875" style="2" customWidth="1"/>
    <col min="3" max="3" width="11.77734375" style="2" bestFit="1" customWidth="1"/>
    <col min="4" max="4" width="12" style="2" bestFit="1" customWidth="1"/>
    <col min="5" max="5" width="10.6640625" style="2" bestFit="1" customWidth="1"/>
    <col min="6" max="6" width="11.77734375" style="2" customWidth="1"/>
    <col min="7" max="7" width="10.77734375" style="2" bestFit="1" customWidth="1"/>
    <col min="8" max="8" width="10.21875" style="2" bestFit="1" customWidth="1"/>
    <col min="9" max="9" width="11.109375" style="2" customWidth="1"/>
    <col min="10" max="12" width="10.21875" style="2" bestFit="1" customWidth="1"/>
    <col min="13" max="13" width="11" style="2" customWidth="1"/>
    <col min="14" max="14" width="10.21875" style="2" bestFit="1" customWidth="1"/>
    <col min="15" max="15" width="10.33203125" style="2" customWidth="1"/>
    <col min="16" max="16" width="12.109375" style="2" bestFit="1" customWidth="1"/>
    <col min="17" max="17" width="9.5546875" style="2" customWidth="1"/>
    <col min="18" max="16384" width="8.5546875" style="2"/>
  </cols>
  <sheetData>
    <row r="1" spans="1:17" s="1" customFormat="1" ht="26.85" customHeight="1">
      <c r="A1" s="1121" t="s">
        <v>183</v>
      </c>
      <c r="B1" s="1121"/>
      <c r="C1" s="1121"/>
      <c r="D1" s="1121"/>
      <c r="E1" s="1121"/>
      <c r="F1" s="1121"/>
      <c r="G1" s="1121"/>
      <c r="H1" s="1121"/>
      <c r="I1" s="1121"/>
      <c r="J1" s="1121"/>
      <c r="K1" s="1121"/>
      <c r="L1" s="1121"/>
      <c r="M1" s="1121"/>
      <c r="N1" s="1121"/>
      <c r="O1" s="1121"/>
      <c r="P1" s="725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86" t="s">
        <v>1</v>
      </c>
      <c r="B3" s="1088" t="s">
        <v>2</v>
      </c>
      <c r="C3" s="1105" t="s">
        <v>184</v>
      </c>
      <c r="D3" s="1092" t="s">
        <v>185</v>
      </c>
      <c r="E3" s="1118" t="s">
        <v>186</v>
      </c>
      <c r="F3" s="1119"/>
      <c r="G3" s="1119"/>
      <c r="H3" s="1119"/>
      <c r="I3" s="1119"/>
      <c r="J3" s="1119"/>
      <c r="K3" s="1119"/>
      <c r="L3" s="1119"/>
      <c r="M3" s="1119"/>
      <c r="N3" s="1120"/>
      <c r="O3" s="1113" t="s">
        <v>187</v>
      </c>
      <c r="P3" s="823"/>
    </row>
    <row r="4" spans="1:17" ht="29.4" thickBot="1">
      <c r="A4" s="1087"/>
      <c r="B4" s="1089"/>
      <c r="C4" s="1106"/>
      <c r="D4" s="1093"/>
      <c r="E4" s="761" t="s">
        <v>7</v>
      </c>
      <c r="F4" s="588" t="s">
        <v>8</v>
      </c>
      <c r="G4" s="588" t="s">
        <v>9</v>
      </c>
      <c r="H4" s="588" t="s">
        <v>10</v>
      </c>
      <c r="I4" s="588" t="s">
        <v>11</v>
      </c>
      <c r="J4" s="589" t="s">
        <v>12</v>
      </c>
      <c r="K4" s="590" t="s">
        <v>13</v>
      </c>
      <c r="L4" s="590" t="s">
        <v>14</v>
      </c>
      <c r="M4" s="591" t="s">
        <v>15</v>
      </c>
      <c r="N4" s="782" t="s">
        <v>16</v>
      </c>
      <c r="O4" s="1114"/>
      <c r="P4" s="823"/>
    </row>
    <row r="5" spans="1:17" ht="15.6">
      <c r="A5" s="206"/>
      <c r="B5" s="207"/>
      <c r="C5" s="209"/>
      <c r="D5" s="208"/>
      <c r="E5" s="810"/>
      <c r="F5" s="209"/>
      <c r="G5" s="209"/>
      <c r="H5" s="209"/>
      <c r="I5" s="209"/>
      <c r="J5" s="210"/>
      <c r="K5" s="209"/>
      <c r="L5" s="211"/>
      <c r="M5" s="212"/>
      <c r="N5" s="811"/>
      <c r="O5" s="630"/>
      <c r="P5" s="823"/>
    </row>
    <row r="6" spans="1:17">
      <c r="A6" s="683" t="s">
        <v>17</v>
      </c>
      <c r="B6" s="841">
        <f>SUM(B8:B18)</f>
        <v>4518182</v>
      </c>
      <c r="C6" s="845">
        <v>4083293</v>
      </c>
      <c r="D6" s="585">
        <f>SUM(D8:D18)</f>
        <v>4801641</v>
      </c>
      <c r="E6" s="56">
        <f>SUM(E8:E18)</f>
        <v>434682</v>
      </c>
      <c r="F6" s="325">
        <f t="shared" ref="F6:N6" si="0">SUM(F8:F18)</f>
        <v>186590</v>
      </c>
      <c r="G6" s="325">
        <f t="shared" si="0"/>
        <v>183847</v>
      </c>
      <c r="H6" s="325">
        <f t="shared" si="0"/>
        <v>25615</v>
      </c>
      <c r="I6" s="325">
        <f t="shared" si="0"/>
        <v>26988</v>
      </c>
      <c r="J6" s="325">
        <f t="shared" si="0"/>
        <v>0</v>
      </c>
      <c r="K6" s="389">
        <f t="shared" si="0"/>
        <v>67265</v>
      </c>
      <c r="L6" s="389">
        <f t="shared" si="0"/>
        <v>61278</v>
      </c>
      <c r="M6" s="389">
        <f t="shared" si="0"/>
        <v>7917</v>
      </c>
      <c r="N6" s="389">
        <f t="shared" si="0"/>
        <v>3983</v>
      </c>
      <c r="O6" s="793">
        <f>+D6/C6</f>
        <v>1.175923696878965</v>
      </c>
      <c r="P6" s="1124"/>
    </row>
    <row r="7" spans="1:17">
      <c r="A7" s="386" t="s">
        <v>18</v>
      </c>
      <c r="B7" s="387"/>
      <c r="C7" s="817"/>
      <c r="D7" s="557"/>
      <c r="E7" s="11">
        <f>SUM(F7:J7)</f>
        <v>0</v>
      </c>
      <c r="F7" s="12"/>
      <c r="G7" s="12"/>
      <c r="H7" s="12"/>
      <c r="I7" s="12"/>
      <c r="J7" s="12"/>
      <c r="K7" s="28"/>
      <c r="L7" s="28"/>
      <c r="M7" s="28"/>
      <c r="N7" s="116"/>
      <c r="O7" s="793"/>
      <c r="P7" s="1124"/>
    </row>
    <row r="8" spans="1:17" ht="15.6">
      <c r="A8" s="388" t="s">
        <v>19</v>
      </c>
      <c r="B8" s="387"/>
      <c r="C8" s="817"/>
      <c r="D8" s="577"/>
      <c r="E8" s="11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515"/>
      <c r="O8" s="793"/>
      <c r="P8" s="823"/>
    </row>
    <row r="9" spans="1:17" ht="15">
      <c r="A9" s="386" t="s">
        <v>120</v>
      </c>
      <c r="B9" s="14">
        <f>715133+126685+111732+106510+95851+111311</f>
        <v>1267222</v>
      </c>
      <c r="C9" s="817">
        <v>1155911</v>
      </c>
      <c r="D9" s="557">
        <f>108077+85467+113186+113042+116756+109995+110509+101300+92745+107226+101895</f>
        <v>1160198</v>
      </c>
      <c r="E9" s="11">
        <f t="shared" si="1"/>
        <v>101895</v>
      </c>
      <c r="F9" s="13">
        <v>35979</v>
      </c>
      <c r="G9" s="13">
        <v>38256</v>
      </c>
      <c r="H9" s="13">
        <v>13713</v>
      </c>
      <c r="I9" s="13">
        <v>13947</v>
      </c>
      <c r="J9" s="12"/>
      <c r="K9" s="28"/>
      <c r="L9" s="28"/>
      <c r="M9" s="22"/>
      <c r="N9" s="515"/>
      <c r="O9" s="793">
        <f t="shared" ref="O9:O18" si="2">+D9/C9</f>
        <v>1.0037087630449057</v>
      </c>
      <c r="P9" s="842"/>
      <c r="Q9" s="79"/>
    </row>
    <row r="10" spans="1:17" ht="15">
      <c r="A10" s="386" t="s">
        <v>20</v>
      </c>
      <c r="B10" s="14">
        <v>1272859</v>
      </c>
      <c r="C10" s="817">
        <v>1141430</v>
      </c>
      <c r="D10" s="578">
        <f>148719+103732+138638+114388+149772+144287+154524+162231+134683+114242+101779</f>
        <v>1466995</v>
      </c>
      <c r="E10" s="11">
        <f t="shared" si="1"/>
        <v>101779</v>
      </c>
      <c r="F10" s="15">
        <v>54903</v>
      </c>
      <c r="G10" s="15">
        <v>46876</v>
      </c>
      <c r="H10" s="16"/>
      <c r="I10" s="16"/>
      <c r="J10" s="75"/>
      <c r="K10" s="76">
        <v>15005</v>
      </c>
      <c r="L10" s="76">
        <f>25843+2067</f>
        <v>27910</v>
      </c>
      <c r="M10" s="77"/>
      <c r="N10" s="515"/>
      <c r="O10" s="793">
        <f t="shared" si="2"/>
        <v>1.2852255504060697</v>
      </c>
      <c r="P10" s="843"/>
      <c r="Q10" s="79"/>
    </row>
    <row r="11" spans="1:17" ht="15">
      <c r="A11" s="386" t="s">
        <v>21</v>
      </c>
      <c r="B11" s="14"/>
      <c r="C11" s="817"/>
      <c r="D11" s="578"/>
      <c r="E11" s="11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515"/>
      <c r="O11" s="793"/>
      <c r="P11" s="844"/>
      <c r="Q11" s="79"/>
    </row>
    <row r="12" spans="1:17" ht="15">
      <c r="A12" s="386" t="s">
        <v>22</v>
      </c>
      <c r="B12" s="14">
        <v>491959</v>
      </c>
      <c r="C12" s="817">
        <v>452540</v>
      </c>
      <c r="D12" s="578">
        <f>39231+38035+45839+55212+55252+51874+53719+51193+43893+46338+47055</f>
        <v>527641</v>
      </c>
      <c r="E12" s="11">
        <f t="shared" si="1"/>
        <v>47055</v>
      </c>
      <c r="F12" s="13">
        <v>23974</v>
      </c>
      <c r="G12" s="13">
        <v>22281</v>
      </c>
      <c r="H12" s="13">
        <v>368</v>
      </c>
      <c r="I12" s="13">
        <v>432</v>
      </c>
      <c r="J12" s="13"/>
      <c r="K12" s="22">
        <f>6769+3050+1+13</f>
        <v>9833</v>
      </c>
      <c r="L12" s="22">
        <f>69+3637+51+15</f>
        <v>3772</v>
      </c>
      <c r="M12" s="22"/>
      <c r="N12" s="515"/>
      <c r="O12" s="793">
        <f t="shared" si="2"/>
        <v>1.1659543907720864</v>
      </c>
      <c r="P12" s="843"/>
      <c r="Q12" s="79"/>
    </row>
    <row r="13" spans="1:17" ht="15">
      <c r="A13" s="388" t="s">
        <v>23</v>
      </c>
      <c r="B13" s="14">
        <v>149160</v>
      </c>
      <c r="C13" s="818">
        <v>149160</v>
      </c>
      <c r="D13" s="578">
        <v>0</v>
      </c>
      <c r="E13" s="11"/>
      <c r="F13" s="13"/>
      <c r="G13" s="13"/>
      <c r="H13" s="13"/>
      <c r="I13" s="13"/>
      <c r="J13" s="13"/>
      <c r="K13" s="22"/>
      <c r="L13" s="22"/>
      <c r="M13" s="22"/>
      <c r="N13" s="515"/>
      <c r="O13" s="793">
        <f t="shared" si="2"/>
        <v>0</v>
      </c>
      <c r="P13" s="844"/>
      <c r="Q13" s="79"/>
    </row>
    <row r="14" spans="1:17" ht="15">
      <c r="A14" s="17" t="s">
        <v>24</v>
      </c>
      <c r="B14" s="14">
        <f>27700+42263+60649+60306+68982+89333+103549+96251+80177+83538+83985+100491</f>
        <v>897224</v>
      </c>
      <c r="C14" s="817">
        <v>796733</v>
      </c>
      <c r="D14" s="557">
        <f>107401+71667+97692+112321+100543+91682+100061+119410+112186+136804+148168</f>
        <v>1197935</v>
      </c>
      <c r="E14" s="11">
        <f t="shared" si="1"/>
        <v>148168</v>
      </c>
      <c r="F14" s="18">
        <v>71734</v>
      </c>
      <c r="G14" s="18">
        <v>76434</v>
      </c>
      <c r="H14" s="18"/>
      <c r="I14" s="18"/>
      <c r="J14" s="18"/>
      <c r="K14" s="80">
        <v>36060</v>
      </c>
      <c r="L14" s="80">
        <f>17026+10845</f>
        <v>27871</v>
      </c>
      <c r="M14" s="80">
        <v>7917</v>
      </c>
      <c r="N14" s="784">
        <v>988</v>
      </c>
      <c r="O14" s="793">
        <f t="shared" si="2"/>
        <v>1.5035589086933765</v>
      </c>
      <c r="P14" s="843"/>
      <c r="Q14" s="79"/>
    </row>
    <row r="15" spans="1:17" ht="15">
      <c r="A15" s="386" t="s">
        <v>25</v>
      </c>
      <c r="B15" s="14">
        <f>6147+7479+7850+9613+8350+10297+8331+8950+9929+9191+7491+7125</f>
        <v>100753</v>
      </c>
      <c r="C15" s="817">
        <v>93628</v>
      </c>
      <c r="D15" s="557">
        <f>5818+3471+4879+3146+1868+3203+3535+2520+3649+3073+2995</f>
        <v>38157</v>
      </c>
      <c r="E15" s="11">
        <f>SUM(F15:J15)</f>
        <v>2995</v>
      </c>
      <c r="F15" s="13"/>
      <c r="G15" s="13"/>
      <c r="H15" s="13">
        <v>1432</v>
      </c>
      <c r="I15" s="13">
        <v>1563</v>
      </c>
      <c r="J15" s="13"/>
      <c r="K15" s="81">
        <f>274+227</f>
        <v>501</v>
      </c>
      <c r="L15" s="22">
        <f>12+38</f>
        <v>50</v>
      </c>
      <c r="M15" s="22"/>
      <c r="N15" s="515">
        <v>2995</v>
      </c>
      <c r="O15" s="793">
        <f t="shared" si="2"/>
        <v>0.40753834323065752</v>
      </c>
      <c r="P15" s="843"/>
      <c r="Q15" s="79"/>
    </row>
    <row r="16" spans="1:17" ht="15">
      <c r="A16" s="386" t="s">
        <v>26</v>
      </c>
      <c r="B16" s="14">
        <f>540+350</f>
        <v>890</v>
      </c>
      <c r="C16" s="817">
        <v>540</v>
      </c>
      <c r="D16" s="557">
        <f>528</f>
        <v>528</v>
      </c>
      <c r="E16" s="11">
        <v>0</v>
      </c>
      <c r="F16" s="13"/>
      <c r="G16" s="13"/>
      <c r="H16" s="13"/>
      <c r="I16" s="13"/>
      <c r="J16" s="13"/>
      <c r="K16" s="28"/>
      <c r="L16" s="36"/>
      <c r="M16" s="22"/>
      <c r="N16" s="515"/>
      <c r="O16" s="793">
        <f t="shared" si="2"/>
        <v>0.97777777777777775</v>
      </c>
      <c r="P16" s="844"/>
      <c r="Q16" s="79"/>
    </row>
    <row r="17" spans="1:17" ht="15">
      <c r="A17" s="386" t="s">
        <v>27</v>
      </c>
      <c r="B17" s="391">
        <f>14801+21013+19343+20052+25339+15490+23521+25450+24091+25115+25902+30182</f>
        <v>270299</v>
      </c>
      <c r="C17" s="833">
        <v>240117</v>
      </c>
      <c r="D17" s="600">
        <f>29509+14652+23209+24242+23009+26529+25218+28150+30612+24870+21148</f>
        <v>271148</v>
      </c>
      <c r="E17" s="11">
        <f t="shared" si="1"/>
        <v>21148</v>
      </c>
      <c r="F17" s="13"/>
      <c r="G17" s="13"/>
      <c r="H17" s="13">
        <v>10102</v>
      </c>
      <c r="I17" s="13">
        <v>11046</v>
      </c>
      <c r="J17" s="13"/>
      <c r="K17" s="22">
        <v>5866</v>
      </c>
      <c r="L17" s="22">
        <f>479+1196</f>
        <v>1675</v>
      </c>
      <c r="M17" s="22"/>
      <c r="N17" s="515"/>
      <c r="O17" s="793">
        <f t="shared" si="2"/>
        <v>1.1292328323275735</v>
      </c>
      <c r="P17" s="843"/>
      <c r="Q17" s="82"/>
    </row>
    <row r="18" spans="1:17" ht="16.2" thickBot="1">
      <c r="A18" s="402" t="s">
        <v>136</v>
      </c>
      <c r="B18" s="403">
        <v>67816</v>
      </c>
      <c r="C18" s="729">
        <v>53234</v>
      </c>
      <c r="D18" s="877">
        <f>127397+11642</f>
        <v>139039</v>
      </c>
      <c r="E18" s="878">
        <v>11642</v>
      </c>
      <c r="F18" s="202"/>
      <c r="G18" s="202"/>
      <c r="H18" s="202"/>
      <c r="I18" s="202"/>
      <c r="J18" s="202"/>
      <c r="K18" s="203"/>
      <c r="L18" s="203"/>
      <c r="M18" s="203"/>
      <c r="N18" s="785"/>
      <c r="O18" s="793">
        <f t="shared" si="2"/>
        <v>2.6118458128263891</v>
      </c>
      <c r="P18" s="1126"/>
      <c r="Q18" s="1126"/>
    </row>
    <row r="19" spans="1:17" ht="15.6">
      <c r="A19" s="862" t="s">
        <v>29</v>
      </c>
      <c r="B19" s="710">
        <v>633659</v>
      </c>
      <c r="C19" s="728">
        <v>578112</v>
      </c>
      <c r="D19" s="873">
        <f>534688+54911</f>
        <v>589599</v>
      </c>
      <c r="E19" s="874">
        <v>54911</v>
      </c>
      <c r="F19" s="715"/>
      <c r="G19" s="715"/>
      <c r="H19" s="715"/>
      <c r="I19" s="715"/>
      <c r="J19" s="715"/>
      <c r="K19" s="194"/>
      <c r="L19" s="194"/>
      <c r="M19" s="194"/>
      <c r="N19" s="786"/>
      <c r="O19" s="794"/>
      <c r="P19" s="834"/>
      <c r="Q19" s="499"/>
    </row>
    <row r="20" spans="1:17" ht="15.6">
      <c r="A20" s="388" t="s">
        <v>134</v>
      </c>
      <c r="B20" s="701">
        <v>255481</v>
      </c>
      <c r="C20" s="702">
        <v>232536</v>
      </c>
      <c r="D20" s="880">
        <f>228437+18717</f>
        <v>247154</v>
      </c>
      <c r="E20" s="881">
        <v>18717</v>
      </c>
      <c r="F20" s="708"/>
      <c r="G20" s="708"/>
      <c r="H20" s="708"/>
      <c r="I20" s="708"/>
      <c r="J20" s="708"/>
      <c r="K20" s="22"/>
      <c r="L20" s="22"/>
      <c r="M20" s="22"/>
      <c r="N20" s="515"/>
      <c r="O20" s="793"/>
      <c r="P20" s="835"/>
    </row>
    <row r="21" spans="1:17" ht="15.6">
      <c r="A21" s="388" t="s">
        <v>31</v>
      </c>
      <c r="B21" s="701">
        <v>92242</v>
      </c>
      <c r="C21" s="702">
        <v>88624</v>
      </c>
      <c r="D21" s="880">
        <f>76626+5290</f>
        <v>81916</v>
      </c>
      <c r="E21" s="881">
        <v>5290</v>
      </c>
      <c r="F21" s="708"/>
      <c r="G21" s="708"/>
      <c r="H21" s="708"/>
      <c r="I21" s="708"/>
      <c r="J21" s="708"/>
      <c r="K21" s="22"/>
      <c r="L21" s="22"/>
      <c r="M21" s="22"/>
      <c r="N21" s="515"/>
      <c r="O21" s="793"/>
      <c r="P21" s="835"/>
    </row>
    <row r="22" spans="1:17" ht="15.6">
      <c r="A22" s="388" t="s">
        <v>32</v>
      </c>
      <c r="B22" s="701">
        <v>400078</v>
      </c>
      <c r="C22" s="702">
        <v>363152</v>
      </c>
      <c r="D22" s="880">
        <f>383761+42517</f>
        <v>426278</v>
      </c>
      <c r="E22" s="881">
        <v>42517</v>
      </c>
      <c r="F22" s="708"/>
      <c r="G22" s="708"/>
      <c r="H22" s="708"/>
      <c r="I22" s="708"/>
      <c r="J22" s="708"/>
      <c r="K22" s="22"/>
      <c r="L22" s="22"/>
      <c r="M22" s="22"/>
      <c r="N22" s="515"/>
      <c r="O22" s="793"/>
      <c r="P22" s="835"/>
    </row>
    <row r="23" spans="1:17" ht="15.6">
      <c r="A23" s="388" t="s">
        <v>33</v>
      </c>
      <c r="B23" s="703">
        <v>171077</v>
      </c>
      <c r="C23" s="702">
        <v>155294</v>
      </c>
      <c r="D23" s="880">
        <f>159887+13631</f>
        <v>173518</v>
      </c>
      <c r="E23" s="881">
        <v>13631</v>
      </c>
      <c r="F23" s="708"/>
      <c r="G23" s="708"/>
      <c r="H23" s="708"/>
      <c r="I23" s="708"/>
      <c r="J23" s="708"/>
      <c r="K23" s="22"/>
      <c r="L23" s="22"/>
      <c r="M23" s="22"/>
      <c r="N23" s="515"/>
      <c r="O23" s="793"/>
      <c r="P23" s="835"/>
    </row>
    <row r="24" spans="1:17" ht="15.6">
      <c r="A24" s="388" t="s">
        <v>34</v>
      </c>
      <c r="B24" s="703">
        <v>270677</v>
      </c>
      <c r="C24" s="704">
        <v>253329</v>
      </c>
      <c r="D24" s="880">
        <f>199276+27729</f>
        <v>227005</v>
      </c>
      <c r="E24" s="881">
        <v>27729</v>
      </c>
      <c r="F24" s="708"/>
      <c r="G24" s="708"/>
      <c r="H24" s="718"/>
      <c r="I24" s="708"/>
      <c r="J24" s="708"/>
      <c r="K24" s="22"/>
      <c r="L24" s="22"/>
      <c r="M24" s="22"/>
      <c r="N24" s="515"/>
      <c r="O24" s="793"/>
      <c r="P24" s="835"/>
    </row>
    <row r="25" spans="1:17" ht="15.6">
      <c r="A25" s="399" t="s">
        <v>189</v>
      </c>
      <c r="B25" s="705"/>
      <c r="C25" s="706"/>
      <c r="D25" s="882">
        <v>133390</v>
      </c>
      <c r="E25" s="883">
        <v>18161</v>
      </c>
      <c r="F25" s="719"/>
      <c r="G25" s="719"/>
      <c r="H25" s="719"/>
      <c r="I25" s="719"/>
      <c r="J25" s="719"/>
      <c r="K25" s="28"/>
      <c r="L25" s="28"/>
      <c r="M25" s="28"/>
      <c r="N25" s="116"/>
      <c r="O25" s="793"/>
      <c r="P25" s="835"/>
    </row>
    <row r="26" spans="1:17" ht="15.6">
      <c r="A26" s="26"/>
      <c r="B26" s="875">
        <f t="shared" ref="B26" si="3">SUM(B19:B25)</f>
        <v>1823214</v>
      </c>
      <c r="C26" s="458">
        <v>1237254</v>
      </c>
      <c r="D26" s="876">
        <f>SUM(D19:D25)</f>
        <v>1878860</v>
      </c>
      <c r="E26" s="879">
        <f>SUM(E19:E25)</f>
        <v>180956</v>
      </c>
      <c r="F26" s="719"/>
      <c r="G26" s="719"/>
      <c r="H26" s="719"/>
      <c r="I26" s="719"/>
      <c r="J26" s="719"/>
      <c r="K26" s="28"/>
      <c r="L26" s="28"/>
      <c r="M26" s="28"/>
      <c r="N26" s="116"/>
      <c r="O26" s="793"/>
      <c r="P26" s="835"/>
    </row>
    <row r="27" spans="1:17" ht="15.6">
      <c r="A27" s="26"/>
      <c r="B27" s="664"/>
      <c r="C27" s="22"/>
      <c r="D27" s="720"/>
      <c r="E27" s="767"/>
      <c r="F27" s="719"/>
      <c r="G27" s="719"/>
      <c r="H27" s="719"/>
      <c r="I27" s="719"/>
      <c r="J27" s="719"/>
      <c r="K27" s="28"/>
      <c r="L27" s="28"/>
      <c r="M27" s="28"/>
      <c r="N27" s="116"/>
      <c r="O27" s="793"/>
      <c r="P27" s="835"/>
    </row>
    <row r="28" spans="1:17" ht="15.6">
      <c r="A28" s="683" t="s">
        <v>35</v>
      </c>
      <c r="B28" s="841">
        <f>SUM(B29:B32)</f>
        <v>860026</v>
      </c>
      <c r="C28" s="845">
        <v>774414</v>
      </c>
      <c r="D28" s="582">
        <f>SUM(D29:D32)</f>
        <v>880515</v>
      </c>
      <c r="E28" s="56">
        <f t="shared" ref="E28:N28" si="4">SUM(E29:E32)</f>
        <v>81910</v>
      </c>
      <c r="F28" s="858">
        <f t="shared" si="4"/>
        <v>31503</v>
      </c>
      <c r="G28" s="858">
        <f t="shared" si="4"/>
        <v>36080</v>
      </c>
      <c r="H28" s="858">
        <f t="shared" si="4"/>
        <v>8571</v>
      </c>
      <c r="I28" s="858">
        <f t="shared" si="4"/>
        <v>5756</v>
      </c>
      <c r="J28" s="857">
        <f t="shared" si="4"/>
        <v>0</v>
      </c>
      <c r="K28" s="389">
        <f t="shared" si="4"/>
        <v>13433</v>
      </c>
      <c r="L28" s="523">
        <f t="shared" si="4"/>
        <v>2195</v>
      </c>
      <c r="M28" s="523">
        <f t="shared" si="4"/>
        <v>0</v>
      </c>
      <c r="N28" s="685">
        <f t="shared" si="4"/>
        <v>0</v>
      </c>
      <c r="O28" s="793">
        <f t="shared" ref="O28:O67" si="5">+D28/C28</f>
        <v>1.137008111940125</v>
      </c>
      <c r="P28" s="834"/>
    </row>
    <row r="29" spans="1:17" ht="15">
      <c r="A29" s="386" t="s">
        <v>36</v>
      </c>
      <c r="B29" s="389">
        <f>30481+3346</f>
        <v>33827</v>
      </c>
      <c r="C29" s="684">
        <v>30481</v>
      </c>
      <c r="D29" s="776">
        <f>31848+3560</f>
        <v>35408</v>
      </c>
      <c r="E29" s="11">
        <f t="shared" ref="E29:E30" si="6">SUM(F29:J29)</f>
        <v>3560</v>
      </c>
      <c r="F29" s="13">
        <v>1720</v>
      </c>
      <c r="G29" s="13">
        <v>1840</v>
      </c>
      <c r="H29" s="13"/>
      <c r="I29" s="13"/>
      <c r="J29" s="12"/>
      <c r="K29" s="22">
        <f>577+760</f>
        <v>1337</v>
      </c>
      <c r="L29" s="22">
        <f>137</f>
        <v>137</v>
      </c>
      <c r="M29" s="22"/>
      <c r="N29" s="515"/>
      <c r="O29" s="793">
        <f t="shared" si="5"/>
        <v>1.161641678422624</v>
      </c>
      <c r="P29" s="843"/>
    </row>
    <row r="30" spans="1:17" ht="15.6">
      <c r="A30" s="31" t="s">
        <v>37</v>
      </c>
      <c r="B30" s="389">
        <v>675254</v>
      </c>
      <c r="C30" s="684">
        <v>611206</v>
      </c>
      <c r="D30" s="582">
        <f>64505+48073+62185+62452+59765+64280+67096+71165+61780+66528+63320</f>
        <v>691149</v>
      </c>
      <c r="E30" s="11">
        <f t="shared" si="6"/>
        <v>63320</v>
      </c>
      <c r="F30" s="33">
        <v>24809</v>
      </c>
      <c r="G30" s="33">
        <v>26491</v>
      </c>
      <c r="H30" s="33">
        <v>6343</v>
      </c>
      <c r="I30" s="33">
        <v>5677</v>
      </c>
      <c r="J30" s="41"/>
      <c r="K30" s="87">
        <f>4406+4486+1505+748</f>
        <v>11145</v>
      </c>
      <c r="L30" s="87">
        <f>457+405+298+665</f>
        <v>1825</v>
      </c>
      <c r="M30" s="81"/>
      <c r="N30" s="787"/>
      <c r="O30" s="793">
        <f t="shared" si="5"/>
        <v>1.1307955092063886</v>
      </c>
      <c r="P30" s="823"/>
    </row>
    <row r="31" spans="1:17" ht="15.6">
      <c r="A31" s="31" t="s">
        <v>38</v>
      </c>
      <c r="B31" s="392">
        <f>120488+12239+18218</f>
        <v>150945</v>
      </c>
      <c r="C31" s="836">
        <v>132727</v>
      </c>
      <c r="D31" s="602">
        <f>22490+11900+19473+16591+12914+13370+11563+9278+10032+11317+15030</f>
        <v>153958</v>
      </c>
      <c r="E31" s="11">
        <f>SUM(F31:J31)</f>
        <v>15030</v>
      </c>
      <c r="F31" s="33">
        <v>4974</v>
      </c>
      <c r="G31" s="33">
        <v>7749</v>
      </c>
      <c r="H31" s="33">
        <v>2228</v>
      </c>
      <c r="I31" s="33">
        <v>79</v>
      </c>
      <c r="J31" s="12"/>
      <c r="K31" s="87">
        <f>195+621+94+41</f>
        <v>951</v>
      </c>
      <c r="L31" s="87">
        <f>155+4+64+10</f>
        <v>233</v>
      </c>
      <c r="M31" s="22"/>
      <c r="N31" s="515"/>
      <c r="O31" s="793">
        <f t="shared" si="5"/>
        <v>1.1599599177258584</v>
      </c>
      <c r="P31" s="823"/>
    </row>
    <row r="32" spans="1:17" ht="15.6">
      <c r="A32" s="31" t="s">
        <v>39</v>
      </c>
      <c r="B32" s="14">
        <v>0</v>
      </c>
      <c r="C32" s="817"/>
      <c r="D32" s="557"/>
      <c r="E32" s="11"/>
      <c r="F32" s="13"/>
      <c r="G32" s="13"/>
      <c r="H32" s="13"/>
      <c r="I32" s="13"/>
      <c r="J32" s="13"/>
      <c r="K32" s="22"/>
      <c r="L32" s="22"/>
      <c r="M32" s="22"/>
      <c r="N32" s="515"/>
      <c r="O32" s="793"/>
      <c r="P32" s="823"/>
    </row>
    <row r="33" spans="1:17" ht="15.6">
      <c r="A33" s="31"/>
      <c r="B33" s="387"/>
      <c r="C33" s="675"/>
      <c r="D33" s="19"/>
      <c r="E33" s="768"/>
      <c r="F33" s="36"/>
      <c r="G33" s="36"/>
      <c r="H33" s="36"/>
      <c r="I33" s="36"/>
      <c r="J33" s="36"/>
      <c r="K33" s="863"/>
      <c r="L33" s="863"/>
      <c r="M33" s="863"/>
      <c r="N33" s="864"/>
      <c r="O33" s="793"/>
      <c r="P33" s="823"/>
    </row>
    <row r="34" spans="1:17" ht="15.6">
      <c r="A34" s="683" t="s">
        <v>40</v>
      </c>
      <c r="B34" s="841">
        <f>SUM(B35:B45)</f>
        <v>8314054</v>
      </c>
      <c r="C34" s="845">
        <v>7559174</v>
      </c>
      <c r="D34" s="582">
        <f>SUM(D35:D45)</f>
        <v>8343417</v>
      </c>
      <c r="E34" s="56">
        <f t="shared" ref="E34" si="7">SUM(E35:E45)</f>
        <v>797640</v>
      </c>
      <c r="F34" s="858"/>
      <c r="G34" s="858"/>
      <c r="H34" s="858"/>
      <c r="I34" s="858"/>
      <c r="J34" s="858"/>
      <c r="K34" s="22"/>
      <c r="L34" s="22"/>
      <c r="M34" s="22"/>
      <c r="N34" s="515"/>
      <c r="O34" s="793">
        <f t="shared" si="5"/>
        <v>1.1037471819010913</v>
      </c>
      <c r="P34" s="823"/>
    </row>
    <row r="35" spans="1:17" ht="15.6">
      <c r="A35" s="386" t="s">
        <v>41</v>
      </c>
      <c r="B35" s="14">
        <f>439746+58130+61049</f>
        <v>558925</v>
      </c>
      <c r="C35" s="817">
        <v>497876</v>
      </c>
      <c r="D35" s="557">
        <f>176793+71526+59980+65204+71423+79211+71917+76068+84439</f>
        <v>756561</v>
      </c>
      <c r="E35" s="11">
        <f t="shared" ref="E35:E41" si="8">SUM(F35:J35)</f>
        <v>84439</v>
      </c>
      <c r="F35" s="13"/>
      <c r="G35" s="13"/>
      <c r="H35" s="13">
        <v>25652</v>
      </c>
      <c r="I35" s="13">
        <v>58787</v>
      </c>
      <c r="J35" s="13"/>
      <c r="K35" s="865">
        <f>109+1545</f>
        <v>1654</v>
      </c>
      <c r="L35" s="865">
        <f>95</f>
        <v>95</v>
      </c>
      <c r="M35" s="865"/>
      <c r="N35" s="866"/>
      <c r="O35" s="793">
        <f t="shared" si="5"/>
        <v>1.5195771637917874</v>
      </c>
      <c r="P35" s="823"/>
    </row>
    <row r="36" spans="1:17" ht="15.6">
      <c r="A36" s="386" t="s">
        <v>42</v>
      </c>
      <c r="B36" s="14">
        <f>506252+63971</f>
        <v>570223</v>
      </c>
      <c r="C36" s="817">
        <v>506252</v>
      </c>
      <c r="D36" s="557">
        <f>315296+56739+61665+55007+62647+65661</f>
        <v>617015</v>
      </c>
      <c r="E36" s="11">
        <f t="shared" si="8"/>
        <v>65661</v>
      </c>
      <c r="F36" s="12"/>
      <c r="G36" s="12"/>
      <c r="H36" s="13">
        <v>10458</v>
      </c>
      <c r="I36" s="13">
        <v>55203</v>
      </c>
      <c r="J36" s="13"/>
      <c r="K36" s="88">
        <f>89+1211</f>
        <v>1300</v>
      </c>
      <c r="L36" s="88">
        <f>91</f>
        <v>91</v>
      </c>
      <c r="M36" s="88">
        <v>65661</v>
      </c>
      <c r="N36" s="788"/>
      <c r="O36" s="793">
        <f t="shared" si="5"/>
        <v>1.2187902467545808</v>
      </c>
      <c r="P36" s="823"/>
    </row>
    <row r="37" spans="1:17" ht="15.6">
      <c r="A37" s="388" t="s">
        <v>43</v>
      </c>
      <c r="B37" s="686">
        <f>42017+51282+45948+47390+55304+49234+45680+47437+43911+34616+30188+41910</f>
        <v>534917</v>
      </c>
      <c r="C37" s="837">
        <v>493007</v>
      </c>
      <c r="D37" s="688">
        <f>43919+38655+49389+49920+41452+46211+54147+61115+45816+53985+53251</f>
        <v>537860</v>
      </c>
      <c r="E37" s="769">
        <f t="shared" si="8"/>
        <v>53251</v>
      </c>
      <c r="F37" s="13">
        <v>20638</v>
      </c>
      <c r="G37" s="13">
        <v>22101</v>
      </c>
      <c r="H37" s="13">
        <v>5088</v>
      </c>
      <c r="I37" s="822">
        <v>4370</v>
      </c>
      <c r="J37" s="13">
        <v>1054</v>
      </c>
      <c r="K37" s="88">
        <f>3428+6625+1199+1102+191</f>
        <v>12545</v>
      </c>
      <c r="L37" s="2">
        <f>430+106+119+0+93</f>
        <v>748</v>
      </c>
      <c r="M37" s="88">
        <v>2387</v>
      </c>
      <c r="N37" s="3"/>
      <c r="O37" s="793">
        <f t="shared" si="5"/>
        <v>1.0909784242414409</v>
      </c>
      <c r="P37" s="856"/>
      <c r="Q37" s="385"/>
    </row>
    <row r="38" spans="1:17" ht="15.6">
      <c r="A38" s="31" t="s">
        <v>44</v>
      </c>
      <c r="B38" s="393">
        <f>154869+18461+17185+18184+22072</f>
        <v>230771</v>
      </c>
      <c r="C38" s="838">
        <v>208699</v>
      </c>
      <c r="D38" s="636">
        <f>20214+11681+23581+25619+22301+21824+20127+19528+19926+20275+23052</f>
        <v>228128</v>
      </c>
      <c r="E38" s="11">
        <f>SUM(F38:J38)</f>
        <v>23052</v>
      </c>
      <c r="F38" s="13"/>
      <c r="G38" s="13"/>
      <c r="H38" s="13">
        <v>11226</v>
      </c>
      <c r="I38" s="13">
        <v>11826</v>
      </c>
      <c r="J38" s="89"/>
      <c r="K38" s="90">
        <f>2456+2876</f>
        <v>5332</v>
      </c>
      <c r="L38" s="88">
        <f>464+176</f>
        <v>640</v>
      </c>
      <c r="M38" s="88">
        <v>192</v>
      </c>
      <c r="N38" s="788"/>
      <c r="O38" s="793">
        <f t="shared" si="5"/>
        <v>1.093095798254903</v>
      </c>
      <c r="P38" s="856"/>
      <c r="Q38" s="385"/>
    </row>
    <row r="39" spans="1:17" ht="15.6">
      <c r="A39" s="31" t="s">
        <v>45</v>
      </c>
      <c r="B39" s="394">
        <f>50925+32855+32535+28886+28236+30552+33558+32390+29858+33841+31383</f>
        <v>365019</v>
      </c>
      <c r="C39" s="819">
        <v>333636</v>
      </c>
      <c r="D39" s="603">
        <f>36191+20920+29070+23929+27875+30427+28473+27605+28149+32945+33352</f>
        <v>318936</v>
      </c>
      <c r="E39" s="11">
        <f>SUM(H39:J39)</f>
        <v>33352</v>
      </c>
      <c r="F39" s="722"/>
      <c r="G39" s="719"/>
      <c r="H39" s="13">
        <v>16783</v>
      </c>
      <c r="I39" s="13">
        <v>16569</v>
      </c>
      <c r="J39" s="12"/>
      <c r="K39" s="22">
        <f>4917+5304</f>
        <v>10221</v>
      </c>
      <c r="L39" s="22">
        <f>206+295</f>
        <v>501</v>
      </c>
      <c r="M39" s="22"/>
      <c r="N39" s="515"/>
      <c r="O39" s="793">
        <f t="shared" si="5"/>
        <v>0.95594000647412147</v>
      </c>
      <c r="P39" s="823"/>
    </row>
    <row r="40" spans="1:17" ht="15.6">
      <c r="A40" s="31" t="s">
        <v>46</v>
      </c>
      <c r="B40" s="394">
        <f>5696+3958+5815+9110+7468+13154+12856+16704+16494+13524+11707+13991</f>
        <v>130477</v>
      </c>
      <c r="C40" s="819">
        <v>116486</v>
      </c>
      <c r="D40" s="603">
        <f>12008+9467+14763+14113+14691+14606+10209+8082+10081+11470+13518</f>
        <v>133008</v>
      </c>
      <c r="E40" s="11">
        <f>SUM(F40:J40)</f>
        <v>13518</v>
      </c>
      <c r="F40" s="13">
        <v>3269</v>
      </c>
      <c r="G40" s="13">
        <v>10242</v>
      </c>
      <c r="H40" s="13"/>
      <c r="I40" s="13"/>
      <c r="J40" s="13">
        <v>7</v>
      </c>
      <c r="K40" s="22">
        <f>1017+1341</f>
        <v>2358</v>
      </c>
      <c r="L40" s="22">
        <f>22+2139</f>
        <v>2161</v>
      </c>
      <c r="M40" s="88"/>
      <c r="N40" s="788">
        <v>30</v>
      </c>
      <c r="O40" s="793">
        <f t="shared" si="5"/>
        <v>1.1418367872534039</v>
      </c>
      <c r="P40" s="823"/>
    </row>
    <row r="41" spans="1:17" ht="15.6">
      <c r="A41" s="31" t="s">
        <v>47</v>
      </c>
      <c r="B41" s="394">
        <f>372397+393542+480876+438506+433683+444706+469051+460647+432596+460939+470477+474708</f>
        <v>5332128</v>
      </c>
      <c r="C41" s="819">
        <v>4857420</v>
      </c>
      <c r="D41" s="603">
        <f>492323+373517+489518+501319+498148+483300+509517+496996+483525+491240+487179</f>
        <v>5306582</v>
      </c>
      <c r="E41" s="11">
        <f t="shared" si="8"/>
        <v>487179</v>
      </c>
      <c r="F41" s="13">
        <v>277578</v>
      </c>
      <c r="G41" s="13">
        <v>209601</v>
      </c>
      <c r="H41" s="13"/>
      <c r="I41" s="12"/>
      <c r="J41" s="13"/>
      <c r="K41" s="87">
        <f>75093+61714</f>
        <v>136807</v>
      </c>
      <c r="L41" s="87">
        <f>4653+8993</f>
        <v>13646</v>
      </c>
      <c r="M41" s="88"/>
      <c r="N41" s="788"/>
      <c r="O41" s="793">
        <f t="shared" si="5"/>
        <v>1.0924692532249631</v>
      </c>
      <c r="P41" s="823"/>
    </row>
    <row r="42" spans="1:17" ht="15.6">
      <c r="A42" s="31" t="s">
        <v>48</v>
      </c>
      <c r="B42" s="394">
        <f>32440+39588+48102+43548+41412+40968+51704+51435+55440+57617+45700+41689</f>
        <v>549643</v>
      </c>
      <c r="C42" s="819">
        <v>507954</v>
      </c>
      <c r="D42" s="603">
        <f>41444+27037+39698+37856+42480+38521+41958+41846+36877+41203+36023</f>
        <v>424943</v>
      </c>
      <c r="E42" s="11">
        <f>SUM(F42:J42)</f>
        <v>36023</v>
      </c>
      <c r="F42" s="1035">
        <v>3149</v>
      </c>
      <c r="G42" s="1035"/>
      <c r="H42" s="1035">
        <v>32874</v>
      </c>
      <c r="I42" s="1035"/>
      <c r="J42" s="13"/>
      <c r="K42" s="88"/>
      <c r="L42" s="88"/>
      <c r="M42" s="88"/>
      <c r="N42" s="788"/>
      <c r="O42" s="793">
        <f t="shared" si="5"/>
        <v>0.83657772160471222</v>
      </c>
      <c r="P42" s="823"/>
    </row>
    <row r="43" spans="1:17" ht="15.6">
      <c r="A43" s="31" t="s">
        <v>49</v>
      </c>
      <c r="B43" s="389">
        <f>SUM(D43:G43)</f>
        <v>0</v>
      </c>
      <c r="C43" s="819">
        <v>0</v>
      </c>
      <c r="D43" s="582"/>
      <c r="E43" s="11"/>
      <c r="F43" s="13"/>
      <c r="G43" s="13"/>
      <c r="H43" s="13"/>
      <c r="I43" s="13"/>
      <c r="J43" s="13"/>
      <c r="K43" s="88"/>
      <c r="L43" s="88"/>
      <c r="M43" s="88"/>
      <c r="N43" s="788"/>
      <c r="O43" s="793"/>
      <c r="P43" s="839"/>
    </row>
    <row r="44" spans="1:17" ht="15.6">
      <c r="A44" s="31" t="s">
        <v>50</v>
      </c>
      <c r="B44" s="395">
        <f>2388+2166+2181+2143+2735+2159+2232+3124+2401+2891+2264+3229</f>
        <v>29913</v>
      </c>
      <c r="C44" s="696">
        <v>26684</v>
      </c>
      <c r="D44" s="604">
        <f>1591+185+300+228+282+250+254+222+245+289+277</f>
        <v>4123</v>
      </c>
      <c r="E44" s="11">
        <f>SUM(F44:J44)</f>
        <v>277</v>
      </c>
      <c r="F44" s="13">
        <v>125</v>
      </c>
      <c r="G44" s="13">
        <v>152</v>
      </c>
      <c r="H44" s="13"/>
      <c r="I44" s="13"/>
      <c r="J44" s="13"/>
      <c r="K44" s="88">
        <v>152</v>
      </c>
      <c r="L44" s="88">
        <v>125</v>
      </c>
      <c r="M44" s="88">
        <v>40</v>
      </c>
      <c r="N44" s="788"/>
      <c r="O44" s="793">
        <f t="shared" si="5"/>
        <v>0.15451206715634838</v>
      </c>
      <c r="P44" s="823"/>
    </row>
    <row r="45" spans="1:17" ht="15.6">
      <c r="A45" s="31" t="s">
        <v>51</v>
      </c>
      <c r="B45" s="395">
        <v>12038</v>
      </c>
      <c r="C45" s="696">
        <v>11160</v>
      </c>
      <c r="D45" s="604">
        <f>5554+2707+1759+1797+950+1036+1570+888</f>
        <v>16261</v>
      </c>
      <c r="E45" s="11">
        <f>SUM(F45:F45:J45)</f>
        <v>888</v>
      </c>
      <c r="F45" s="13">
        <v>331</v>
      </c>
      <c r="G45" s="13">
        <v>557</v>
      </c>
      <c r="H45" s="13"/>
      <c r="I45" s="13"/>
      <c r="J45" s="91"/>
      <c r="K45" s="90">
        <f>45+63</f>
        <v>108</v>
      </c>
      <c r="L45" s="88">
        <f>142</f>
        <v>142</v>
      </c>
      <c r="M45" s="88">
        <v>888</v>
      </c>
      <c r="N45" s="788"/>
      <c r="O45" s="793">
        <f t="shared" si="5"/>
        <v>1.457078853046595</v>
      </c>
      <c r="P45" s="823"/>
    </row>
    <row r="46" spans="1:17" ht="17.100000000000001" customHeight="1">
      <c r="A46" s="31"/>
      <c r="B46" s="419"/>
      <c r="C46" s="36"/>
      <c r="D46" s="558"/>
      <c r="E46" s="770"/>
      <c r="F46" s="44"/>
      <c r="G46" s="44"/>
      <c r="H46" s="44"/>
      <c r="I46" s="44"/>
      <c r="J46" s="44"/>
      <c r="K46" s="44"/>
      <c r="L46" s="44"/>
      <c r="M46" s="44"/>
      <c r="N46" s="789"/>
      <c r="O46" s="793"/>
      <c r="P46" s="823"/>
    </row>
    <row r="47" spans="1:17" ht="15.6">
      <c r="A47" s="683" t="s">
        <v>52</v>
      </c>
      <c r="B47" s="912">
        <f>SUM(B48:B55)</f>
        <v>4797590</v>
      </c>
      <c r="C47" s="913">
        <v>4952010</v>
      </c>
      <c r="D47" s="914">
        <f>SUM(D48:D55)</f>
        <v>5830425</v>
      </c>
      <c r="E47" s="669">
        <f>SUM(E48:E54)</f>
        <v>571781</v>
      </c>
      <c r="F47" s="673">
        <f t="shared" ref="F47:N47" si="9">SUM(F48:F55)</f>
        <v>256426</v>
      </c>
      <c r="G47" s="673">
        <f t="shared" si="9"/>
        <v>273624</v>
      </c>
      <c r="H47" s="13">
        <f t="shared" si="9"/>
        <v>5853</v>
      </c>
      <c r="I47" s="13">
        <f t="shared" si="9"/>
        <v>4244</v>
      </c>
      <c r="J47" s="13">
        <f t="shared" si="9"/>
        <v>31634</v>
      </c>
      <c r="K47" s="684">
        <f t="shared" si="9"/>
        <v>41827</v>
      </c>
      <c r="L47" s="684">
        <f t="shared" si="9"/>
        <v>107017</v>
      </c>
      <c r="M47" s="684">
        <f t="shared" si="9"/>
        <v>1936</v>
      </c>
      <c r="N47" s="523">
        <f t="shared" si="9"/>
        <v>60724</v>
      </c>
      <c r="O47" s="793">
        <f t="shared" si="5"/>
        <v>1.1773855464750678</v>
      </c>
      <c r="P47" s="823"/>
    </row>
    <row r="48" spans="1:17" ht="15.6">
      <c r="A48" s="31" t="s">
        <v>53</v>
      </c>
      <c r="B48" s="14">
        <v>0</v>
      </c>
      <c r="C48" s="817"/>
      <c r="D48" s="557"/>
      <c r="E48" s="11">
        <f t="shared" ref="E48:E54" si="10">SUM(F48:J48)</f>
        <v>0</v>
      </c>
      <c r="F48" s="13"/>
      <c r="G48" s="13"/>
      <c r="H48" s="13"/>
      <c r="I48" s="13"/>
      <c r="J48" s="13"/>
      <c r="K48" s="36"/>
      <c r="L48" s="36"/>
      <c r="M48" s="36"/>
      <c r="N48" s="423"/>
      <c r="O48" s="793"/>
      <c r="P48" s="823"/>
    </row>
    <row r="49" spans="1:17">
      <c r="A49" s="1075" t="s">
        <v>54</v>
      </c>
      <c r="B49" s="1057">
        <f>127394+89400+147995+127434+174236+176428+189135+187087+174544+192913+163797+135579</f>
        <v>1885942</v>
      </c>
      <c r="C49" s="1122">
        <v>1750268</v>
      </c>
      <c r="D49" s="1103">
        <f>152617+131920+130997+153389+149066+196349+174625+189556+159615+174414+174638</f>
        <v>1787186</v>
      </c>
      <c r="E49" s="1109">
        <f t="shared" si="10"/>
        <v>174638</v>
      </c>
      <c r="F49" s="1016">
        <v>78284</v>
      </c>
      <c r="G49" s="1016">
        <v>79795</v>
      </c>
      <c r="H49" s="1016">
        <v>5853</v>
      </c>
      <c r="I49" s="1016">
        <v>4244</v>
      </c>
      <c r="J49" s="1016">
        <v>6462</v>
      </c>
      <c r="K49" s="1017">
        <v>15410</v>
      </c>
      <c r="L49" s="1017">
        <f>53817+1032+785+1973+1766</f>
        <v>59373</v>
      </c>
      <c r="M49" s="1017"/>
      <c r="N49" s="1077"/>
      <c r="O49" s="1084">
        <f t="shared" si="5"/>
        <v>1.0210927697929688</v>
      </c>
      <c r="P49" s="1125"/>
    </row>
    <row r="50" spans="1:17">
      <c r="A50" s="1076"/>
      <c r="B50" s="1058"/>
      <c r="C50" s="1123">
        <v>0</v>
      </c>
      <c r="D50" s="1104"/>
      <c r="E50" s="1110"/>
      <c r="F50" s="1016"/>
      <c r="G50" s="1016"/>
      <c r="H50" s="1016"/>
      <c r="I50" s="1016"/>
      <c r="J50" s="1016"/>
      <c r="K50" s="1017"/>
      <c r="L50" s="1017"/>
      <c r="M50" s="1017"/>
      <c r="N50" s="1077"/>
      <c r="O50" s="1085"/>
      <c r="P50" s="1125"/>
    </row>
    <row r="51" spans="1:17" ht="15.6">
      <c r="A51" s="31" t="s">
        <v>56</v>
      </c>
      <c r="B51" s="397">
        <f>47356+52560+79724+85499+66734+68133+73487+69407+60723+61109+72181+84025</f>
        <v>820938</v>
      </c>
      <c r="C51" s="696">
        <v>736913</v>
      </c>
      <c r="D51" s="637">
        <f>97537+55586+99611+80866+84077+87464+89817+110297+103108+86858+89238</f>
        <v>984459</v>
      </c>
      <c r="E51" s="11">
        <f t="shared" si="10"/>
        <v>89238</v>
      </c>
      <c r="F51" s="45">
        <v>46001</v>
      </c>
      <c r="G51" s="33">
        <v>36933</v>
      </c>
      <c r="H51" s="46"/>
      <c r="I51" s="12"/>
      <c r="J51" s="33">
        <v>6304</v>
      </c>
      <c r="K51" s="87">
        <f>1302+3836+1462</f>
        <v>6600</v>
      </c>
      <c r="L51" s="81">
        <f>1299+53+116</f>
        <v>1468</v>
      </c>
      <c r="M51" s="36"/>
      <c r="N51" s="423"/>
      <c r="O51" s="793">
        <f t="shared" si="5"/>
        <v>1.3359229651261411</v>
      </c>
      <c r="P51" s="825"/>
    </row>
    <row r="52" spans="1:17" ht="15.6">
      <c r="A52" s="17" t="s">
        <v>57</v>
      </c>
      <c r="B52" s="395">
        <f>38855+42860+48337+46082+47751+44611+75076+55809+60576+63502+55882+64932</f>
        <v>644273</v>
      </c>
      <c r="C52" s="696">
        <v>579341</v>
      </c>
      <c r="D52" s="604">
        <f>59734+65037+69566+76869+85180+98871+84349+95878+74900+91720+96454</f>
        <v>898558</v>
      </c>
      <c r="E52" s="11">
        <f t="shared" si="10"/>
        <v>96454</v>
      </c>
      <c r="F52" s="13">
        <v>34478</v>
      </c>
      <c r="G52" s="13">
        <v>46406</v>
      </c>
      <c r="H52" s="13"/>
      <c r="I52" s="92"/>
      <c r="J52" s="13">
        <v>15570</v>
      </c>
      <c r="K52" s="22">
        <v>12088</v>
      </c>
      <c r="L52" s="22">
        <f>20307+20+288</f>
        <v>20615</v>
      </c>
      <c r="M52" s="36"/>
      <c r="N52" s="423"/>
      <c r="O52" s="793">
        <f t="shared" si="5"/>
        <v>1.5510001881448059</v>
      </c>
      <c r="P52" s="823"/>
    </row>
    <row r="53" spans="1:17" ht="15.6">
      <c r="A53" s="17" t="s">
        <v>58</v>
      </c>
      <c r="B53" s="395">
        <f>38927+25455+65397+44769+34250+34453+44944+60275+38990+46527+28707+33843</f>
        <v>496537</v>
      </c>
      <c r="C53" s="696">
        <v>462694</v>
      </c>
      <c r="D53" s="604">
        <f>47624+41548+39771+61527+61540+40461+59109+75205+60419+66567+64451</f>
        <v>618222</v>
      </c>
      <c r="E53" s="11">
        <f t="shared" si="10"/>
        <v>64451</v>
      </c>
      <c r="F53" s="13">
        <v>26993</v>
      </c>
      <c r="G53" s="13">
        <v>34160</v>
      </c>
      <c r="H53" s="13"/>
      <c r="I53" s="13"/>
      <c r="J53" s="13">
        <v>3298</v>
      </c>
      <c r="K53" s="88">
        <v>7729</v>
      </c>
      <c r="L53" s="88">
        <f>23412+29+2120</f>
        <v>25561</v>
      </c>
      <c r="M53" s="88">
        <v>1936</v>
      </c>
      <c r="N53" s="788">
        <v>60724</v>
      </c>
      <c r="O53" s="793">
        <f t="shared" si="5"/>
        <v>1.3361357614319616</v>
      </c>
      <c r="P53" s="823"/>
    </row>
    <row r="54" spans="1:17" ht="15.6">
      <c r="A54" s="894" t="s">
        <v>59</v>
      </c>
      <c r="B54" s="905">
        <v>949900</v>
      </c>
      <c r="C54" s="906">
        <v>808900</v>
      </c>
      <c r="D54" s="907">
        <v>1542000</v>
      </c>
      <c r="E54" s="669">
        <f t="shared" si="10"/>
        <v>147000</v>
      </c>
      <c r="F54" s="908">
        <v>70670</v>
      </c>
      <c r="G54" s="909">
        <v>76330</v>
      </c>
      <c r="H54" s="910"/>
      <c r="I54" s="93"/>
      <c r="J54" s="94"/>
      <c r="K54" s="95"/>
      <c r="L54" s="95"/>
      <c r="M54" s="95"/>
      <c r="N54" s="790"/>
      <c r="O54" s="793">
        <f t="shared" si="5"/>
        <v>1.9062924959821981</v>
      </c>
      <c r="P54" s="825"/>
    </row>
    <row r="55" spans="1:17" ht="15.6">
      <c r="A55" s="17" t="s">
        <v>60</v>
      </c>
      <c r="B55" s="382"/>
      <c r="C55" s="52"/>
      <c r="D55" s="583"/>
      <c r="E55" s="768"/>
      <c r="F55" s="51"/>
      <c r="G55" s="51"/>
      <c r="H55" s="52"/>
      <c r="I55" s="799"/>
      <c r="J55" s="51"/>
      <c r="K55" s="36"/>
      <c r="L55" s="36"/>
      <c r="M55" s="36"/>
      <c r="N55" s="423"/>
      <c r="O55" s="793"/>
      <c r="P55" s="824"/>
      <c r="Q55" s="641"/>
    </row>
    <row r="56" spans="1:17" ht="15.6">
      <c r="A56" s="17"/>
      <c r="B56" s="382"/>
      <c r="C56" s="682"/>
      <c r="D56" s="583"/>
      <c r="E56" s="768"/>
      <c r="F56" s="514"/>
      <c r="G56" s="799"/>
      <c r="H56" s="52"/>
      <c r="I56" s="514"/>
      <c r="J56" s="51"/>
      <c r="K56" s="36"/>
      <c r="L56" s="36"/>
      <c r="M56" s="36"/>
      <c r="N56" s="423"/>
      <c r="O56" s="793"/>
      <c r="P56" s="824"/>
      <c r="Q56" s="641"/>
    </row>
    <row r="57" spans="1:17" ht="15.6">
      <c r="A57" s="693" t="s">
        <v>61</v>
      </c>
      <c r="B57" s="694">
        <f>SUM(B58:B65)</f>
        <v>71421</v>
      </c>
      <c r="C57" s="846">
        <v>66072</v>
      </c>
      <c r="D57" s="847">
        <f>SUM(D58:D65)</f>
        <v>50779</v>
      </c>
      <c r="E57" s="848">
        <f t="shared" ref="E57" si="11">SUM(E58:E65)</f>
        <v>4521</v>
      </c>
      <c r="F57" s="695"/>
      <c r="G57" s="695"/>
      <c r="H57" s="848">
        <f t="shared" ref="H57:N57" si="12">SUM(H58:H65)</f>
        <v>2402</v>
      </c>
      <c r="I57" s="848">
        <f t="shared" si="12"/>
        <v>2119</v>
      </c>
      <c r="J57" s="695"/>
      <c r="K57" s="350">
        <f t="shared" si="12"/>
        <v>1367</v>
      </c>
      <c r="L57" s="350">
        <f t="shared" si="12"/>
        <v>1113</v>
      </c>
      <c r="M57" s="350">
        <f t="shared" si="12"/>
        <v>749</v>
      </c>
      <c r="N57" s="350">
        <f t="shared" si="12"/>
        <v>2132</v>
      </c>
      <c r="O57" s="793">
        <f t="shared" si="5"/>
        <v>0.76854038019130644</v>
      </c>
      <c r="P57" s="823"/>
    </row>
    <row r="58" spans="1:17" ht="15.6">
      <c r="A58" s="17" t="s">
        <v>62</v>
      </c>
      <c r="B58" s="395">
        <f>122+557+792+366+499+468+393+769+628+559+497+230</f>
        <v>5880</v>
      </c>
      <c r="C58" s="696">
        <v>5650</v>
      </c>
      <c r="D58" s="774">
        <f>335+74+675+1816+624+522+232+273+655+1600+1480</f>
        <v>8286</v>
      </c>
      <c r="E58" s="11">
        <f>SUM(F58:J58)</f>
        <v>1480</v>
      </c>
      <c r="F58" s="291"/>
      <c r="G58" s="13"/>
      <c r="H58" s="57">
        <v>826</v>
      </c>
      <c r="I58" s="13">
        <v>654</v>
      </c>
      <c r="J58" s="13"/>
      <c r="K58" s="36">
        <f>2</f>
        <v>2</v>
      </c>
      <c r="L58" s="36">
        <v>2</v>
      </c>
      <c r="M58" s="36"/>
      <c r="N58" s="423"/>
      <c r="O58" s="793">
        <f t="shared" si="5"/>
        <v>1.4665486725663717</v>
      </c>
      <c r="P58" s="823"/>
    </row>
    <row r="59" spans="1:17" ht="15.6">
      <c r="A59" s="17" t="s">
        <v>63</v>
      </c>
      <c r="B59" s="14"/>
      <c r="C59" s="817"/>
      <c r="D59" s="775"/>
      <c r="E59" s="11">
        <f t="shared" ref="E59:E65" si="13">SUM(F59:J59)</f>
        <v>0</v>
      </c>
      <c r="F59" s="58"/>
      <c r="G59" s="11"/>
      <c r="H59" s="13"/>
      <c r="I59" s="13"/>
      <c r="J59" s="13"/>
      <c r="K59" s="36"/>
      <c r="L59" s="36"/>
      <c r="M59" s="36"/>
      <c r="N59" s="423"/>
      <c r="O59" s="793"/>
      <c r="P59" s="823"/>
    </row>
    <row r="60" spans="1:17" ht="15.6">
      <c r="A60" s="17" t="s">
        <v>64</v>
      </c>
      <c r="B60" s="395">
        <f>774+884+1093+1806+989+1127+1587+1317+1182+1138+1729+1456</f>
        <v>15082</v>
      </c>
      <c r="C60" s="696">
        <v>13626</v>
      </c>
      <c r="D60" s="774">
        <f>1670+1062+1129+1350+1391+1439+1192+1252+1332+1078+1196</f>
        <v>14091</v>
      </c>
      <c r="E60" s="11">
        <f t="shared" si="13"/>
        <v>1196</v>
      </c>
      <c r="F60" s="57"/>
      <c r="G60" s="11"/>
      <c r="H60" s="13">
        <v>633</v>
      </c>
      <c r="I60" s="13">
        <v>563</v>
      </c>
      <c r="J60" s="13"/>
      <c r="K60" s="36">
        <f>368+192</f>
        <v>560</v>
      </c>
      <c r="L60" s="36">
        <f>161+255</f>
        <v>416</v>
      </c>
      <c r="M60" s="36"/>
      <c r="N60" s="423">
        <v>1196</v>
      </c>
      <c r="O60" s="793">
        <f t="shared" si="5"/>
        <v>1.0341259357111405</v>
      </c>
      <c r="P60" s="823"/>
    </row>
    <row r="61" spans="1:17" ht="15.6">
      <c r="A61" s="17" t="s">
        <v>65</v>
      </c>
      <c r="B61" s="14">
        <f>19101+1605+2057+920+1082</f>
        <v>24765</v>
      </c>
      <c r="C61" s="817">
        <v>23683</v>
      </c>
      <c r="D61" s="775">
        <f>1089+517+1381+2546+1336+1503+1713+1785+1646+1436+909</f>
        <v>15861</v>
      </c>
      <c r="E61" s="11">
        <f t="shared" si="13"/>
        <v>909</v>
      </c>
      <c r="F61" s="58"/>
      <c r="G61" s="11"/>
      <c r="H61" s="13">
        <v>437</v>
      </c>
      <c r="I61" s="13">
        <v>472</v>
      </c>
      <c r="J61" s="13"/>
      <c r="K61" s="22">
        <f>2+369</f>
        <v>371</v>
      </c>
      <c r="L61" s="22">
        <f>355+23</f>
        <v>378</v>
      </c>
      <c r="M61" s="36">
        <v>749</v>
      </c>
      <c r="N61" s="423"/>
      <c r="O61" s="793">
        <f t="shared" si="5"/>
        <v>0.6697208968458388</v>
      </c>
      <c r="P61" s="823"/>
    </row>
    <row r="62" spans="1:17" ht="15.6">
      <c r="A62" s="398" t="s">
        <v>66</v>
      </c>
      <c r="B62" s="389">
        <f>SUM(D62:G62)</f>
        <v>0</v>
      </c>
      <c r="C62" s="817">
        <v>0</v>
      </c>
      <c r="D62" s="776"/>
      <c r="E62" s="11">
        <f t="shared" si="13"/>
        <v>0</v>
      </c>
      <c r="F62" s="476"/>
      <c r="G62" s="11"/>
      <c r="H62" s="13"/>
      <c r="I62" s="13"/>
      <c r="J62" s="13"/>
      <c r="K62" s="36"/>
      <c r="L62" s="36"/>
      <c r="M62" s="36"/>
      <c r="N62" s="423"/>
      <c r="O62" s="793"/>
      <c r="P62" s="823"/>
    </row>
    <row r="63" spans="1:17" ht="15.6">
      <c r="A63" s="17" t="s">
        <v>67</v>
      </c>
      <c r="B63" s="14">
        <v>19597</v>
      </c>
      <c r="C63" s="817">
        <v>17601</v>
      </c>
      <c r="D63" s="777">
        <f>949+632+800+680+378+254+120+150+155+159+135</f>
        <v>4412</v>
      </c>
      <c r="E63" s="11">
        <f t="shared" si="13"/>
        <v>135</v>
      </c>
      <c r="F63" s="58"/>
      <c r="G63" s="11"/>
      <c r="H63" s="13">
        <v>73</v>
      </c>
      <c r="I63" s="13">
        <v>62</v>
      </c>
      <c r="J63" s="13"/>
      <c r="K63" s="22">
        <v>135</v>
      </c>
      <c r="L63" s="22">
        <f>73</f>
        <v>73</v>
      </c>
      <c r="M63" s="36"/>
      <c r="N63" s="423">
        <v>135</v>
      </c>
      <c r="O63" s="793">
        <f t="shared" si="5"/>
        <v>0.25066757570592579</v>
      </c>
      <c r="P63" s="823"/>
    </row>
    <row r="64" spans="1:17" ht="15.6">
      <c r="A64" s="399" t="s">
        <v>68</v>
      </c>
      <c r="B64" s="390"/>
      <c r="C64" s="820"/>
      <c r="D64" s="774"/>
      <c r="E64" s="11">
        <f t="shared" si="13"/>
        <v>0</v>
      </c>
      <c r="F64" s="57"/>
      <c r="G64" s="62"/>
      <c r="H64" s="12"/>
      <c r="I64" s="12"/>
      <c r="J64" s="12"/>
      <c r="K64" s="28"/>
      <c r="L64" s="28"/>
      <c r="M64" s="28"/>
      <c r="N64" s="116"/>
      <c r="O64" s="793"/>
      <c r="P64" s="823"/>
    </row>
    <row r="65" spans="1:17" ht="15.6">
      <c r="A65" s="17" t="s">
        <v>69</v>
      </c>
      <c r="B65" s="395">
        <f>3284+527+85+247+741+628+585</f>
        <v>6097</v>
      </c>
      <c r="C65" s="696">
        <v>5512</v>
      </c>
      <c r="D65" s="774">
        <f>703+210+509+267+526+508+670+637+1462+1836+801</f>
        <v>8129</v>
      </c>
      <c r="E65" s="11">
        <f t="shared" si="13"/>
        <v>801</v>
      </c>
      <c r="F65" s="13"/>
      <c r="G65" s="13"/>
      <c r="H65" s="13">
        <v>433</v>
      </c>
      <c r="I65" s="13">
        <v>368</v>
      </c>
      <c r="J65" s="13"/>
      <c r="K65" s="22">
        <f>265+34</f>
        <v>299</v>
      </c>
      <c r="L65" s="22">
        <f>244</f>
        <v>244</v>
      </c>
      <c r="M65" s="22"/>
      <c r="N65" s="515">
        <v>801</v>
      </c>
      <c r="O65" s="793">
        <f t="shared" si="5"/>
        <v>1.4747822931785195</v>
      </c>
      <c r="P65" s="823"/>
      <c r="Q65" s="499"/>
    </row>
    <row r="66" spans="1:17" ht="16.2" thickBot="1">
      <c r="A66" s="477"/>
      <c r="B66" s="222"/>
      <c r="C66" s="131"/>
      <c r="D66" s="561"/>
      <c r="E66" s="771"/>
      <c r="F66" s="66"/>
      <c r="G66" s="178"/>
      <c r="H66" s="66"/>
      <c r="I66" s="66"/>
      <c r="J66" s="66"/>
      <c r="K66" s="66"/>
      <c r="L66" s="66"/>
      <c r="M66" s="66"/>
      <c r="N66" s="791"/>
      <c r="O66" s="859"/>
      <c r="P66" s="823"/>
    </row>
    <row r="67" spans="1:17" s="1" customFormat="1" ht="20.100000000000001" customHeight="1" thickBot="1">
      <c r="A67" s="860" t="s">
        <v>70</v>
      </c>
      <c r="B67" s="962">
        <f>B6+B28+B34+B47+B57</f>
        <v>18561273</v>
      </c>
      <c r="C67" s="963">
        <f>C6+C28+C34+C47+C57</f>
        <v>17434963</v>
      </c>
      <c r="D67" s="964">
        <f>D6+D28+D34+D47+D57</f>
        <v>19906777</v>
      </c>
      <c r="E67" s="900">
        <f>E6+E28+E34+E47+E57</f>
        <v>1890534</v>
      </c>
      <c r="F67" s="965">
        <f>F6+F28+F34+F47+F57</f>
        <v>474519</v>
      </c>
      <c r="G67" s="966">
        <f t="shared" ref="G67:N67" si="14">G6+G28+F34+G47+G57</f>
        <v>493551</v>
      </c>
      <c r="H67" s="850">
        <f t="shared" si="14"/>
        <v>42441</v>
      </c>
      <c r="I67" s="850">
        <f t="shared" si="14"/>
        <v>39107</v>
      </c>
      <c r="J67" s="850">
        <f t="shared" si="14"/>
        <v>31634</v>
      </c>
      <c r="K67" s="851">
        <f t="shared" si="14"/>
        <v>123892</v>
      </c>
      <c r="L67" s="851">
        <f t="shared" si="14"/>
        <v>171603</v>
      </c>
      <c r="M67" s="851">
        <f t="shared" si="14"/>
        <v>10602</v>
      </c>
      <c r="N67" s="852">
        <f t="shared" si="14"/>
        <v>66839</v>
      </c>
      <c r="O67" s="861">
        <f t="shared" si="5"/>
        <v>1.141773400953016</v>
      </c>
      <c r="P67" s="826"/>
    </row>
    <row r="68" spans="1:17" s="1" customFormat="1" ht="19.649999999999999" customHeight="1" thickBot="1">
      <c r="A68" s="853" t="s">
        <v>160</v>
      </c>
      <c r="B68" s="982">
        <f>B67+B26</f>
        <v>20384487</v>
      </c>
      <c r="C68" s="984">
        <f>C67+C26</f>
        <v>18672217</v>
      </c>
      <c r="D68" s="884">
        <f>D67+D26</f>
        <v>21785637</v>
      </c>
      <c r="E68" s="885">
        <f>E67+E26</f>
        <v>2071490</v>
      </c>
      <c r="F68" s="724"/>
      <c r="G68" s="724"/>
      <c r="H68" s="725"/>
      <c r="I68" s="725"/>
      <c r="J68" s="725"/>
      <c r="K68" s="725"/>
      <c r="L68" s="724"/>
      <c r="N68" s="724"/>
      <c r="O68" s="726"/>
    </row>
    <row r="69" spans="1:17">
      <c r="A69" s="3"/>
      <c r="B69" s="700"/>
      <c r="C69" s="700"/>
      <c r="D69" s="700"/>
      <c r="E69" s="700"/>
      <c r="F69" s="68"/>
      <c r="G69" s="68"/>
      <c r="H69" s="3"/>
      <c r="I69" s="3"/>
      <c r="J69" s="3"/>
      <c r="K69" s="3"/>
      <c r="L69" s="68"/>
      <c r="M69" s="68" t="s">
        <v>188</v>
      </c>
      <c r="N69" s="68"/>
      <c r="O69" s="3"/>
    </row>
    <row r="70" spans="1:17">
      <c r="B70" s="3"/>
      <c r="C70" s="3"/>
      <c r="D70" s="68"/>
      <c r="E70" s="3"/>
      <c r="F70" s="68"/>
      <c r="G70" s="3"/>
      <c r="H70" s="3"/>
      <c r="I70" s="3"/>
      <c r="J70" s="3"/>
      <c r="K70" s="3"/>
      <c r="L70" s="68"/>
      <c r="M70" s="68"/>
      <c r="N70" s="68"/>
      <c r="O70" s="3"/>
    </row>
    <row r="71" spans="1:17" ht="15" thickBot="1">
      <c r="B71" s="3"/>
      <c r="C71" s="3"/>
      <c r="D71" s="104" t="s">
        <v>71</v>
      </c>
      <c r="E71" s="104" t="s">
        <v>72</v>
      </c>
      <c r="F71" s="104" t="s">
        <v>73</v>
      </c>
      <c r="G71" s="104" t="s">
        <v>74</v>
      </c>
      <c r="H71" s="104" t="s">
        <v>75</v>
      </c>
      <c r="I71" s="104" t="s">
        <v>76</v>
      </c>
      <c r="J71" s="104" t="s">
        <v>77</v>
      </c>
      <c r="K71" s="104" t="s">
        <v>78</v>
      </c>
      <c r="L71" s="104" t="s">
        <v>79</v>
      </c>
      <c r="M71" s="104" t="s">
        <v>80</v>
      </c>
      <c r="N71" s="104" t="s">
        <v>81</v>
      </c>
      <c r="O71" s="104" t="s">
        <v>82</v>
      </c>
      <c r="P71" s="104" t="s">
        <v>83</v>
      </c>
    </row>
    <row r="72" spans="1:17" ht="15" thickBot="1">
      <c r="B72" s="105" t="s">
        <v>84</v>
      </c>
      <c r="C72" s="105"/>
      <c r="D72" s="22">
        <v>1845076</v>
      </c>
      <c r="E72" s="22">
        <v>1453853.1301010782</v>
      </c>
      <c r="F72" s="804">
        <v>1812571.4812098993</v>
      </c>
      <c r="G72" s="22">
        <v>1892251.3322744532</v>
      </c>
      <c r="H72" s="22">
        <v>1870176</v>
      </c>
      <c r="I72" s="129">
        <v>1911539</v>
      </c>
      <c r="J72" s="22">
        <v>1961723</v>
      </c>
      <c r="K72" s="131">
        <v>2029897.8285490959</v>
      </c>
      <c r="L72" s="22">
        <v>1839034.7712819837</v>
      </c>
      <c r="M72" s="131">
        <v>1965535</v>
      </c>
      <c r="N72" s="901">
        <v>1947059</v>
      </c>
      <c r="O72" s="131"/>
      <c r="P72" s="854">
        <f>SUM(D72:O72)</f>
        <v>20528716.543416511</v>
      </c>
    </row>
    <row r="73" spans="1:17">
      <c r="A73" s="3"/>
      <c r="B73" s="107" t="s">
        <v>85</v>
      </c>
      <c r="C73" s="107"/>
      <c r="D73" s="108"/>
      <c r="E73" s="109">
        <f>IF(D72&gt;0,E72/D72,0)*100</f>
        <v>78.796381834736252</v>
      </c>
      <c r="F73" s="109">
        <f>IF(E72&gt;0,F72/E72,0)*100</f>
        <v>124.67363062208914</v>
      </c>
      <c r="G73" s="109">
        <f>IF(F72&gt;0,G72/F72,0)*100</f>
        <v>104.39595634658045</v>
      </c>
      <c r="H73" s="109">
        <f>IF(G72&gt;0,H72/G72,0)*100</f>
        <v>98.833382653882495</v>
      </c>
      <c r="I73" s="109">
        <f>IF(H72&gt;0,I72/H72,0)*100</f>
        <v>102.21171697209246</v>
      </c>
      <c r="J73" s="109">
        <f>IF(H72&gt;0,J72/H72,0)*100</f>
        <v>104.89510078195849</v>
      </c>
      <c r="K73" s="109">
        <f>IF(J72&gt;0,K72/J72,0)*100</f>
        <v>103.47525254835142</v>
      </c>
      <c r="L73" s="109">
        <f>IF(K72&gt;0,L72/K72,0)*100</f>
        <v>90.597405712605024</v>
      </c>
      <c r="M73" s="109">
        <f>IF(L72&gt;0,M72/L72,0)*100</f>
        <v>106.87862082291318</v>
      </c>
      <c r="N73" s="109">
        <f>IF(M72&gt;0,N72/M72,0)*100</f>
        <v>99.060001475425267</v>
      </c>
      <c r="O73" s="109">
        <f>IF(N72&gt;0,O72/N72,0)*100</f>
        <v>0</v>
      </c>
      <c r="P73" s="109"/>
    </row>
    <row r="74" spans="1:17">
      <c r="A74" s="3"/>
      <c r="B74" s="110"/>
      <c r="C74" s="110"/>
      <c r="D74" s="110"/>
      <c r="E74" s="111"/>
      <c r="F74" s="110"/>
      <c r="G74" s="3"/>
      <c r="H74" s="3"/>
      <c r="I74" s="3"/>
      <c r="J74" s="3"/>
      <c r="K74" s="3"/>
      <c r="L74" s="3"/>
      <c r="M74" s="68"/>
      <c r="N74" s="68"/>
      <c r="O74" s="68"/>
      <c r="P74" s="3"/>
    </row>
    <row r="75" spans="1:17">
      <c r="A75" s="148" t="s">
        <v>86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17">
      <c r="A76" s="3" t="s">
        <v>87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17">
      <c r="A77" s="148" t="s">
        <v>88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2"/>
    </row>
    <row r="78" spans="1:17">
      <c r="A78" s="149" t="s">
        <v>89</v>
      </c>
      <c r="B78" s="68"/>
      <c r="C78" s="68"/>
      <c r="D78" s="68"/>
      <c r="E78" s="68"/>
      <c r="F78" s="3"/>
      <c r="G78" s="3"/>
      <c r="H78" s="3"/>
      <c r="I78" s="3"/>
      <c r="J78" s="3"/>
      <c r="K78" s="3"/>
      <c r="L78" s="3"/>
      <c r="M78" s="68"/>
      <c r="N78" s="68"/>
      <c r="O78" s="68"/>
      <c r="P78" s="3"/>
      <c r="Q78" s="144"/>
    </row>
    <row r="79" spans="1:17">
      <c r="A79" s="3" t="s">
        <v>90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68"/>
      <c r="P79" s="3"/>
    </row>
    <row r="80" spans="1:17">
      <c r="A80" s="3" t="s">
        <v>91</v>
      </c>
      <c r="B80" s="3"/>
      <c r="C80" s="3"/>
      <c r="D80" s="3"/>
      <c r="E80" s="3"/>
      <c r="F80" s="3"/>
      <c r="G80" s="3"/>
      <c r="H80" s="3"/>
      <c r="I80" s="3"/>
      <c r="K80" s="3"/>
      <c r="M80" s="68"/>
      <c r="N80" s="68"/>
      <c r="O80" s="135"/>
      <c r="P80" s="3"/>
    </row>
    <row r="81" spans="1:17">
      <c r="A81" s="3" t="s">
        <v>92</v>
      </c>
      <c r="B81" s="3"/>
      <c r="C81" s="3"/>
      <c r="D81" s="3"/>
      <c r="E81" s="3"/>
      <c r="F81" s="3"/>
      <c r="G81" s="3"/>
      <c r="H81" s="3"/>
      <c r="I81" s="3"/>
      <c r="K81" s="3"/>
      <c r="L81" s="3"/>
      <c r="M81" s="68"/>
      <c r="N81" s="68"/>
      <c r="O81" s="68"/>
      <c r="P81" s="3"/>
    </row>
    <row r="83" spans="1:17">
      <c r="B83" s="2" t="s">
        <v>159</v>
      </c>
    </row>
    <row r="84" spans="1:17">
      <c r="B84" s="738" t="s">
        <v>93</v>
      </c>
      <c r="C84" s="738"/>
      <c r="D84" s="740" t="s">
        <v>94</v>
      </c>
      <c r="E84" s="740" t="s">
        <v>95</v>
      </c>
      <c r="F84" s="740" t="s">
        <v>96</v>
      </c>
      <c r="G84" s="740" t="s">
        <v>97</v>
      </c>
      <c r="H84" s="740" t="s">
        <v>98</v>
      </c>
      <c r="I84" s="741" t="s">
        <v>99</v>
      </c>
      <c r="J84" s="740" t="s">
        <v>100</v>
      </c>
      <c r="K84" s="740" t="s">
        <v>101</v>
      </c>
      <c r="L84" s="740" t="s">
        <v>102</v>
      </c>
      <c r="M84" s="740" t="s">
        <v>103</v>
      </c>
      <c r="N84" s="740" t="s">
        <v>104</v>
      </c>
      <c r="O84" s="740" t="s">
        <v>105</v>
      </c>
      <c r="P84" s="740" t="s">
        <v>83</v>
      </c>
      <c r="Q84" s="145" t="s">
        <v>107</v>
      </c>
    </row>
    <row r="85" spans="1:17">
      <c r="B85" s="116" t="s">
        <v>108</v>
      </c>
      <c r="C85" s="116"/>
      <c r="D85" s="52">
        <v>250647.57142857101</v>
      </c>
      <c r="E85" s="52">
        <v>303326.78571428568</v>
      </c>
      <c r="F85" s="52">
        <v>278308.28571428568</v>
      </c>
      <c r="G85" s="52">
        <v>329534.92857142858</v>
      </c>
      <c r="H85" s="118">
        <v>264136.85714285716</v>
      </c>
      <c r="I85" s="52">
        <v>280939.92857142852</v>
      </c>
      <c r="J85" s="52">
        <v>288262.21428571426</v>
      </c>
      <c r="K85" s="137">
        <v>271802.21428571432</v>
      </c>
      <c r="L85" s="138">
        <v>268024.71428571432</v>
      </c>
      <c r="M85" s="52">
        <v>273538.35714285716</v>
      </c>
      <c r="N85" s="52">
        <v>280962.92857142858</v>
      </c>
      <c r="O85" s="52"/>
      <c r="P85" s="141">
        <f t="shared" ref="P85:P91" si="15">SUM(D85:O85)</f>
        <v>3089484.7857142859</v>
      </c>
      <c r="Q85" s="146">
        <f t="shared" ref="Q85:Q92" si="16">P85/$P$92</f>
        <v>0.33554572366928442</v>
      </c>
    </row>
    <row r="86" spans="1:17">
      <c r="B86" s="119" t="s">
        <v>109</v>
      </c>
      <c r="C86" s="119"/>
      <c r="D86" s="121">
        <v>51557.785714285703</v>
      </c>
      <c r="E86" s="122">
        <v>38594.857142857145</v>
      </c>
      <c r="F86" s="122">
        <v>40995.357142857145</v>
      </c>
      <c r="G86" s="122">
        <v>33533.714285714283</v>
      </c>
      <c r="H86" s="123">
        <v>15954.785714285714</v>
      </c>
      <c r="I86" s="122">
        <v>52129.78571428571</v>
      </c>
      <c r="J86" s="122">
        <v>43316.857142857145</v>
      </c>
      <c r="K86" s="122">
        <v>16896.428571428572</v>
      </c>
      <c r="L86" s="122">
        <v>11983.357142857143</v>
      </c>
      <c r="M86" s="122">
        <v>36116.357142857145</v>
      </c>
      <c r="N86" s="122">
        <v>35962.642857142855</v>
      </c>
      <c r="O86" s="122"/>
      <c r="P86" s="872">
        <f t="shared" si="15"/>
        <v>377041.92857142858</v>
      </c>
      <c r="Q86" s="147">
        <f t="shared" si="16"/>
        <v>4.095013102545917E-2</v>
      </c>
    </row>
    <row r="87" spans="1:17">
      <c r="B87" s="119" t="s">
        <v>110</v>
      </c>
      <c r="C87" s="119"/>
      <c r="D87" s="121">
        <v>157521.85714285701</v>
      </c>
      <c r="E87" s="122">
        <v>160543.85714285713</v>
      </c>
      <c r="F87" s="122">
        <v>156602.71428571426</v>
      </c>
      <c r="G87" s="122">
        <v>190080.78571428574</v>
      </c>
      <c r="H87" s="123">
        <v>199613.78571428571</v>
      </c>
      <c r="I87" s="122">
        <v>200030.57142857142</v>
      </c>
      <c r="J87" s="122">
        <v>179224.21428571429</v>
      </c>
      <c r="K87" s="122">
        <v>212064</v>
      </c>
      <c r="L87" s="122">
        <v>216576.85714285716</v>
      </c>
      <c r="M87" s="122">
        <v>197261.57142857142</v>
      </c>
      <c r="N87" s="122">
        <v>176496.57142857142</v>
      </c>
      <c r="O87" s="122"/>
      <c r="P87" s="872">
        <f t="shared" si="15"/>
        <v>2046016.7857142854</v>
      </c>
      <c r="Q87" s="147">
        <f t="shared" si="16"/>
        <v>0.22221575136945612</v>
      </c>
    </row>
    <row r="88" spans="1:17">
      <c r="B88" s="124" t="s">
        <v>111</v>
      </c>
      <c r="C88" s="124"/>
      <c r="D88" s="52">
        <v>129327.714285714</v>
      </c>
      <c r="E88" s="52">
        <v>98880.78571428571</v>
      </c>
      <c r="F88" s="52">
        <v>142655.5</v>
      </c>
      <c r="G88" s="52">
        <v>133507.35714285716</v>
      </c>
      <c r="H88" s="118">
        <v>117586.21428571429</v>
      </c>
      <c r="I88" s="52">
        <v>102160.14285714286</v>
      </c>
      <c r="J88" s="52">
        <v>115071.28571428571</v>
      </c>
      <c r="K88" s="52">
        <v>125627.07142857143</v>
      </c>
      <c r="L88" s="52">
        <v>117220.21428571429</v>
      </c>
      <c r="M88" s="52">
        <v>109571.57142857142</v>
      </c>
      <c r="N88" s="52">
        <v>117013.21428571429</v>
      </c>
      <c r="O88" s="52"/>
      <c r="P88" s="141">
        <f t="shared" si="15"/>
        <v>1308621.0714285711</v>
      </c>
      <c r="Q88" s="146">
        <f t="shared" si="16"/>
        <v>0.14212797112702216</v>
      </c>
    </row>
    <row r="89" spans="1:17">
      <c r="B89" s="124" t="s">
        <v>112</v>
      </c>
      <c r="C89" s="124"/>
      <c r="D89" s="52">
        <v>81303.642857142899</v>
      </c>
      <c r="E89" s="52">
        <v>79785.57142857142</v>
      </c>
      <c r="F89" s="52">
        <v>99571</v>
      </c>
      <c r="G89" s="52">
        <v>105052.5</v>
      </c>
      <c r="H89" s="118">
        <v>95685.357142857145</v>
      </c>
      <c r="I89" s="52">
        <v>101332.71428571429</v>
      </c>
      <c r="J89" s="52">
        <v>110053</v>
      </c>
      <c r="K89" s="52">
        <v>157274.64285714284</v>
      </c>
      <c r="L89" s="52">
        <v>107111.64285714286</v>
      </c>
      <c r="M89" s="52">
        <v>113778.57142857142</v>
      </c>
      <c r="N89" s="52">
        <v>126239.71428571429</v>
      </c>
      <c r="O89" s="52"/>
      <c r="P89" s="141">
        <f t="shared" si="15"/>
        <v>1177188.3571428573</v>
      </c>
      <c r="Q89" s="146">
        <f t="shared" si="16"/>
        <v>0.12785320096704486</v>
      </c>
    </row>
    <row r="90" spans="1:17">
      <c r="B90" s="116" t="s">
        <v>57</v>
      </c>
      <c r="C90" s="116"/>
      <c r="D90" s="52">
        <v>79967.428571428594</v>
      </c>
      <c r="E90" s="52">
        <v>73659.642857142855</v>
      </c>
      <c r="F90" s="52">
        <v>87559.357142857145</v>
      </c>
      <c r="G90" s="52">
        <v>116176.92857142858</v>
      </c>
      <c r="H90" s="118">
        <v>97186.071428571435</v>
      </c>
      <c r="I90" s="52">
        <v>107421.21428571429</v>
      </c>
      <c r="J90" s="52">
        <v>106410.42857142858</v>
      </c>
      <c r="K90" s="52">
        <v>100767.21428571429</v>
      </c>
      <c r="L90" s="52">
        <v>106862.07142857142</v>
      </c>
      <c r="M90" s="52">
        <v>108471.5</v>
      </c>
      <c r="N90" s="52">
        <v>116052.71428571429</v>
      </c>
      <c r="O90" s="52"/>
      <c r="P90" s="141">
        <f t="shared" si="15"/>
        <v>1100534.5714285714</v>
      </c>
      <c r="Q90" s="146">
        <f t="shared" si="16"/>
        <v>0.11952791316552436</v>
      </c>
    </row>
    <row r="91" spans="1:17">
      <c r="B91" s="28" t="s">
        <v>158</v>
      </c>
      <c r="C91" s="28"/>
      <c r="D91" s="52">
        <v>2349.7857142857142</v>
      </c>
      <c r="E91" s="52">
        <v>4728.1428571428569</v>
      </c>
      <c r="F91" s="52">
        <v>9206.7857142857138</v>
      </c>
      <c r="G91" s="52">
        <v>12338.642857142857</v>
      </c>
      <c r="H91" s="118">
        <v>9361.4285714285706</v>
      </c>
      <c r="I91" s="52">
        <v>10276.428571428572</v>
      </c>
      <c r="J91" s="52">
        <v>11068.928571428572</v>
      </c>
      <c r="K91" s="52">
        <v>13297.5</v>
      </c>
      <c r="L91" s="129">
        <v>9097.1428571428569</v>
      </c>
      <c r="M91" s="52">
        <v>12402.357142857143</v>
      </c>
      <c r="N91" s="52">
        <v>14329</v>
      </c>
      <c r="O91" s="52"/>
      <c r="P91" s="141">
        <f t="shared" si="15"/>
        <v>108456.14285714286</v>
      </c>
      <c r="Q91" s="146">
        <f t="shared" si="16"/>
        <v>1.1779308676208775E-2</v>
      </c>
    </row>
    <row r="92" spans="1:17">
      <c r="D92" s="643">
        <f>SUM(D85:D91)</f>
        <v>752675.78571428498</v>
      </c>
      <c r="E92" s="643">
        <f t="shared" ref="E92:P92" si="17">SUM(E85:E91)</f>
        <v>759519.64285714272</v>
      </c>
      <c r="F92" s="643">
        <f t="shared" si="17"/>
        <v>814898.99999999988</v>
      </c>
      <c r="G92" s="643">
        <f t="shared" si="17"/>
        <v>920224.85714285716</v>
      </c>
      <c r="H92" s="643">
        <f t="shared" si="17"/>
        <v>799524.50000000012</v>
      </c>
      <c r="I92" s="643">
        <f t="shared" si="17"/>
        <v>854290.78571428568</v>
      </c>
      <c r="J92" s="643">
        <f t="shared" si="17"/>
        <v>853406.92857142852</v>
      </c>
      <c r="K92" s="643">
        <f>SUM(K85:K91)</f>
        <v>897729.07142857148</v>
      </c>
      <c r="L92" s="643">
        <f t="shared" si="17"/>
        <v>836876.00000000012</v>
      </c>
      <c r="M92" s="643">
        <f t="shared" si="17"/>
        <v>851140.2857142858</v>
      </c>
      <c r="N92" s="643">
        <f t="shared" si="17"/>
        <v>867056.7857142858</v>
      </c>
      <c r="O92" s="855">
        <f t="shared" si="17"/>
        <v>0</v>
      </c>
      <c r="P92" s="643">
        <f t="shared" si="17"/>
        <v>9207343.6428571437</v>
      </c>
      <c r="Q92" s="146">
        <f t="shared" si="16"/>
        <v>1</v>
      </c>
    </row>
  </sheetData>
  <mergeCells count="27">
    <mergeCell ref="K49:K50"/>
    <mergeCell ref="L49:L50"/>
    <mergeCell ref="M49:M50"/>
    <mergeCell ref="P6:P7"/>
    <mergeCell ref="F42:G42"/>
    <mergeCell ref="H42:I42"/>
    <mergeCell ref="F49:F50"/>
    <mergeCell ref="G49:G50"/>
    <mergeCell ref="N49:N50"/>
    <mergeCell ref="O49:O50"/>
    <mergeCell ref="P49:P50"/>
    <mergeCell ref="H49:H50"/>
    <mergeCell ref="I49:I50"/>
    <mergeCell ref="J49:J50"/>
    <mergeCell ref="P18:Q18"/>
    <mergeCell ref="A49:A50"/>
    <mergeCell ref="B49:B50"/>
    <mergeCell ref="C49:C50"/>
    <mergeCell ref="D49:D50"/>
    <mergeCell ref="E49:E50"/>
    <mergeCell ref="A1:O1"/>
    <mergeCell ref="A3:A4"/>
    <mergeCell ref="B3:B4"/>
    <mergeCell ref="C3:C4"/>
    <mergeCell ref="D3:D4"/>
    <mergeCell ref="E3:N3"/>
    <mergeCell ref="O3:O4"/>
  </mergeCells>
  <pageMargins left="0.25" right="0.25" top="0.75" bottom="0.75" header="0.3" footer="0.3"/>
  <pageSetup paperSize="9" scale="75" orientation="landscape" r:id="rId1"/>
  <ignoredErrors>
    <ignoredError sqref="E39 E47 J73" formula="1"/>
    <ignoredError sqref="B43 E44 E52:E53 E63 B26 D26:E26 E17 E14 E10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6CA-680D-42F7-9805-E1E2F2DC0386}">
  <dimension ref="A1:T92"/>
  <sheetViews>
    <sheetView zoomScale="115" zoomScaleNormal="115" workbookViewId="0">
      <pane xSplit="1" ySplit="4" topLeftCell="C43" activePane="bottomRight" state="frozen"/>
      <selection pane="topRight" activeCell="B1" sqref="B1"/>
      <selection pane="bottomLeft" activeCell="A5" sqref="A5"/>
      <selection pane="bottomRight" activeCell="T73" sqref="T73"/>
    </sheetView>
  </sheetViews>
  <sheetFormatPr defaultColWidth="8.5546875" defaultRowHeight="14.4"/>
  <cols>
    <col min="1" max="1" width="28.33203125" style="2" customWidth="1"/>
    <col min="2" max="2" width="13.21875" style="2" customWidth="1"/>
    <col min="3" max="3" width="11.77734375" style="2" bestFit="1" customWidth="1"/>
    <col min="4" max="4" width="12" style="2" bestFit="1" customWidth="1"/>
    <col min="5" max="5" width="10.6640625" style="2" bestFit="1" customWidth="1"/>
    <col min="6" max="6" width="11.77734375" style="2" customWidth="1"/>
    <col min="7" max="7" width="10.77734375" style="2" bestFit="1" customWidth="1"/>
    <col min="8" max="8" width="10.21875" style="2" bestFit="1" customWidth="1"/>
    <col min="9" max="9" width="11.109375" style="2" customWidth="1"/>
    <col min="10" max="11" width="10.21875" style="2" bestFit="1" customWidth="1"/>
    <col min="12" max="12" width="11.5546875" style="2" bestFit="1" customWidth="1"/>
    <col min="13" max="13" width="11" style="2" customWidth="1"/>
    <col min="14" max="14" width="11.5546875" style="2" bestFit="1" customWidth="1"/>
    <col min="15" max="15" width="10.33203125" style="2" customWidth="1"/>
    <col min="16" max="16" width="12.109375" style="2" bestFit="1" customWidth="1"/>
    <col min="17" max="17" width="9.5546875" style="2" customWidth="1"/>
    <col min="18" max="16384" width="8.5546875" style="2"/>
  </cols>
  <sheetData>
    <row r="1" spans="1:17" s="1" customFormat="1" ht="26.85" customHeight="1">
      <c r="A1" s="1127" t="s">
        <v>190</v>
      </c>
      <c r="B1" s="1127"/>
      <c r="C1" s="1127"/>
      <c r="D1" s="1127"/>
      <c r="E1" s="1127"/>
      <c r="F1" s="1127"/>
      <c r="G1" s="1127"/>
      <c r="H1" s="1127"/>
      <c r="I1" s="1127"/>
      <c r="J1" s="1127"/>
      <c r="K1" s="1127"/>
      <c r="L1" s="1127"/>
      <c r="M1" s="1127"/>
      <c r="N1" s="1127"/>
      <c r="O1" s="1127"/>
      <c r="P1" s="725"/>
      <c r="Q1" s="99"/>
    </row>
    <row r="2" spans="1:17" ht="15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68"/>
      <c r="N2" s="68"/>
      <c r="O2" s="68"/>
      <c r="P2" s="3"/>
    </row>
    <row r="3" spans="1:17" ht="26.85" customHeight="1">
      <c r="A3" s="1086" t="s">
        <v>1</v>
      </c>
      <c r="B3" s="1088" t="s">
        <v>2</v>
      </c>
      <c r="C3" s="1128" t="s">
        <v>192</v>
      </c>
      <c r="D3" s="1092" t="s">
        <v>193</v>
      </c>
      <c r="E3" s="1118" t="s">
        <v>191</v>
      </c>
      <c r="F3" s="1119"/>
      <c r="G3" s="1119"/>
      <c r="H3" s="1119"/>
      <c r="I3" s="1119"/>
      <c r="J3" s="1119"/>
      <c r="K3" s="1119"/>
      <c r="L3" s="1119"/>
      <c r="M3" s="1119"/>
      <c r="N3" s="1120"/>
      <c r="O3" s="1113" t="s">
        <v>194</v>
      </c>
      <c r="P3" s="823"/>
    </row>
    <row r="4" spans="1:17" ht="29.4" thickBot="1">
      <c r="A4" s="1087"/>
      <c r="B4" s="1089"/>
      <c r="C4" s="1128"/>
      <c r="D4" s="1093"/>
      <c r="E4" s="761" t="s">
        <v>7</v>
      </c>
      <c r="F4" s="588" t="s">
        <v>8</v>
      </c>
      <c r="G4" s="588" t="s">
        <v>9</v>
      </c>
      <c r="H4" s="588" t="s">
        <v>10</v>
      </c>
      <c r="I4" s="588" t="s">
        <v>11</v>
      </c>
      <c r="J4" s="589" t="s">
        <v>12</v>
      </c>
      <c r="K4" s="590" t="s">
        <v>13</v>
      </c>
      <c r="L4" s="590" t="s">
        <v>14</v>
      </c>
      <c r="M4" s="591" t="s">
        <v>15</v>
      </c>
      <c r="N4" s="782" t="s">
        <v>16</v>
      </c>
      <c r="O4" s="1114"/>
      <c r="P4" s="823"/>
    </row>
    <row r="5" spans="1:17" ht="15.6">
      <c r="A5" s="206"/>
      <c r="B5" s="207"/>
      <c r="C5" s="81"/>
      <c r="D5" s="208"/>
      <c r="E5" s="810"/>
      <c r="F5" s="209"/>
      <c r="G5" s="209"/>
      <c r="H5" s="209"/>
      <c r="I5" s="209"/>
      <c r="J5" s="210"/>
      <c r="K5" s="209"/>
      <c r="L5" s="211"/>
      <c r="M5" s="212"/>
      <c r="N5" s="811"/>
      <c r="O5" s="630"/>
      <c r="P5" s="823"/>
    </row>
    <row r="6" spans="1:17">
      <c r="A6" s="683" t="s">
        <v>17</v>
      </c>
      <c r="B6" s="841">
        <f>SUM(B8:B18)</f>
        <v>4518182</v>
      </c>
      <c r="C6" s="886">
        <f>SUM(C8:C18)</f>
        <v>4518182</v>
      </c>
      <c r="D6" s="585">
        <f>SUM(D8:D18)</f>
        <v>5271721</v>
      </c>
      <c r="E6" s="56">
        <f>SUM(E8:E18)</f>
        <v>470080</v>
      </c>
      <c r="F6" s="325">
        <f t="shared" ref="F6:N6" si="0">SUM(F8:F18)</f>
        <v>216722</v>
      </c>
      <c r="G6" s="325">
        <f t="shared" si="0"/>
        <v>190068</v>
      </c>
      <c r="H6" s="325">
        <f t="shared" si="0"/>
        <v>31064</v>
      </c>
      <c r="I6" s="325">
        <f t="shared" si="0"/>
        <v>32226</v>
      </c>
      <c r="J6" s="325">
        <f t="shared" si="0"/>
        <v>0</v>
      </c>
      <c r="K6" s="389">
        <f t="shared" si="0"/>
        <v>65108</v>
      </c>
      <c r="L6" s="389">
        <f t="shared" si="0"/>
        <v>53314</v>
      </c>
      <c r="M6" s="389">
        <f t="shared" si="0"/>
        <v>9368</v>
      </c>
      <c r="N6" s="389">
        <f t="shared" si="0"/>
        <v>75259</v>
      </c>
      <c r="O6" s="793">
        <f>+D6/C6</f>
        <v>1.1667792488217605</v>
      </c>
      <c r="P6" s="1124"/>
    </row>
    <row r="7" spans="1:17">
      <c r="A7" s="386" t="s">
        <v>18</v>
      </c>
      <c r="B7" s="387"/>
      <c r="C7" s="675"/>
      <c r="D7" s="557"/>
      <c r="E7" s="11">
        <f>SUM(F7:J7)</f>
        <v>0</v>
      </c>
      <c r="F7" s="12"/>
      <c r="G7" s="12"/>
      <c r="H7" s="12"/>
      <c r="I7" s="12"/>
      <c r="J7" s="12"/>
      <c r="K7" s="28"/>
      <c r="L7" s="28"/>
      <c r="M7" s="28"/>
      <c r="N7" s="116"/>
      <c r="O7" s="793"/>
      <c r="P7" s="1124"/>
    </row>
    <row r="8" spans="1:17" ht="15.6">
      <c r="A8" s="388" t="s">
        <v>19</v>
      </c>
      <c r="B8" s="387"/>
      <c r="C8" s="675"/>
      <c r="D8" s="577"/>
      <c r="E8" s="11">
        <f t="shared" ref="E8:E17" si="1">SUM(F8:J8)</f>
        <v>0</v>
      </c>
      <c r="F8" s="13"/>
      <c r="G8" s="13"/>
      <c r="H8" s="13"/>
      <c r="I8" s="13"/>
      <c r="J8" s="13"/>
      <c r="K8" s="22"/>
      <c r="L8" s="22"/>
      <c r="M8" s="22"/>
      <c r="N8" s="515"/>
      <c r="O8" s="793"/>
      <c r="P8" s="823"/>
    </row>
    <row r="9" spans="1:17" ht="15">
      <c r="A9" s="386" t="s">
        <v>120</v>
      </c>
      <c r="B9" s="14">
        <f>715133+126685+111732+106510+95851+111311</f>
        <v>1267222</v>
      </c>
      <c r="C9" s="817">
        <f>715133+126685+111732+106510+95851+111311</f>
        <v>1267222</v>
      </c>
      <c r="D9" s="557">
        <f>108077+85467+113186+113042+116756+109995+110509+101300+92745+107226+101895+113016</f>
        <v>1273214</v>
      </c>
      <c r="E9" s="11">
        <f t="shared" si="1"/>
        <v>113016</v>
      </c>
      <c r="F9" s="13">
        <v>38421</v>
      </c>
      <c r="G9" s="13">
        <v>39497</v>
      </c>
      <c r="H9" s="13">
        <v>17506</v>
      </c>
      <c r="I9" s="13">
        <v>17592</v>
      </c>
      <c r="J9" s="12"/>
      <c r="K9" s="28"/>
      <c r="L9" s="28"/>
      <c r="M9" s="22"/>
      <c r="N9" s="515"/>
      <c r="O9" s="793">
        <f t="shared" ref="O9:O18" si="2">+D9/C9</f>
        <v>1.0047284532623328</v>
      </c>
      <c r="P9" s="842"/>
      <c r="Q9" s="79"/>
    </row>
    <row r="10" spans="1:17" ht="15">
      <c r="A10" s="386" t="s">
        <v>20</v>
      </c>
      <c r="B10" s="14">
        <v>1272859</v>
      </c>
      <c r="C10" s="817">
        <v>1272859</v>
      </c>
      <c r="D10" s="578">
        <f>148719+103732+138638+114388+149772+144287+154524+162231+134683+114242+101779+138292</f>
        <v>1605287</v>
      </c>
      <c r="E10" s="11">
        <f t="shared" si="1"/>
        <v>138292</v>
      </c>
      <c r="F10" s="15">
        <v>78236</v>
      </c>
      <c r="G10" s="15">
        <v>60056</v>
      </c>
      <c r="H10" s="16"/>
      <c r="I10" s="16"/>
      <c r="J10" s="75"/>
      <c r="K10" s="76">
        <v>21408</v>
      </c>
      <c r="L10" s="76">
        <f>36887+5067</f>
        <v>41954</v>
      </c>
      <c r="M10" s="77"/>
      <c r="N10" s="515"/>
      <c r="O10" s="793">
        <f t="shared" si="2"/>
        <v>1.2611663978492511</v>
      </c>
      <c r="P10" s="843"/>
      <c r="Q10" s="79"/>
    </row>
    <row r="11" spans="1:17" ht="15">
      <c r="A11" s="386" t="s">
        <v>21</v>
      </c>
      <c r="B11" s="14"/>
      <c r="C11" s="817"/>
      <c r="D11" s="578"/>
      <c r="E11" s="11">
        <f t="shared" si="1"/>
        <v>0</v>
      </c>
      <c r="F11" s="13"/>
      <c r="G11" s="13"/>
      <c r="H11" s="13"/>
      <c r="I11" s="13"/>
      <c r="J11" s="13"/>
      <c r="K11" s="22"/>
      <c r="L11" s="22"/>
      <c r="M11" s="22"/>
      <c r="N11" s="515"/>
      <c r="O11" s="793"/>
      <c r="P11" s="844"/>
      <c r="Q11" s="79"/>
    </row>
    <row r="12" spans="1:17" ht="15">
      <c r="A12" s="386" t="s">
        <v>22</v>
      </c>
      <c r="B12" s="14">
        <v>491959</v>
      </c>
      <c r="C12" s="817">
        <v>491959</v>
      </c>
      <c r="D12" s="578">
        <f>39231+38035+45839+55212+55252+51874+53719+51193+43893+46338+47055+45738</f>
        <v>573379</v>
      </c>
      <c r="E12" s="11">
        <f t="shared" si="1"/>
        <v>45738</v>
      </c>
      <c r="F12" s="13">
        <v>24031</v>
      </c>
      <c r="G12" s="13">
        <v>20912</v>
      </c>
      <c r="H12" s="13">
        <v>447</v>
      </c>
      <c r="I12" s="13">
        <v>348</v>
      </c>
      <c r="J12" s="13"/>
      <c r="K12" s="22">
        <f>6182+2713+4+53</f>
        <v>8952</v>
      </c>
      <c r="L12" s="22">
        <f>31+3617+1</f>
        <v>3649</v>
      </c>
      <c r="M12" s="22"/>
      <c r="N12" s="515"/>
      <c r="O12" s="793">
        <f t="shared" si="2"/>
        <v>1.165501596677772</v>
      </c>
      <c r="P12" s="843"/>
      <c r="Q12" s="79"/>
    </row>
    <row r="13" spans="1:17" ht="15">
      <c r="A13" s="388" t="s">
        <v>23</v>
      </c>
      <c r="B13" s="14">
        <v>149160</v>
      </c>
      <c r="C13" s="817">
        <v>149160</v>
      </c>
      <c r="D13" s="578">
        <v>0</v>
      </c>
      <c r="E13" s="11"/>
      <c r="F13" s="13"/>
      <c r="G13" s="13"/>
      <c r="H13" s="13"/>
      <c r="I13" s="13"/>
      <c r="J13" s="13"/>
      <c r="K13" s="22"/>
      <c r="L13" s="22"/>
      <c r="M13" s="22"/>
      <c r="N13" s="515"/>
      <c r="O13" s="793">
        <f t="shared" si="2"/>
        <v>0</v>
      </c>
      <c r="P13" s="844"/>
      <c r="Q13" s="79"/>
    </row>
    <row r="14" spans="1:17" ht="15">
      <c r="A14" s="17" t="s">
        <v>24</v>
      </c>
      <c r="B14" s="14">
        <f>27700+42263+60649+60306+68982+89333+103549+96251+80177+83538+83985+100491</f>
        <v>897224</v>
      </c>
      <c r="C14" s="817">
        <f>27700+42263+60649+60306+68982+89333+103549+96251+80177+83538+83985+100491</f>
        <v>897224</v>
      </c>
      <c r="D14" s="557">
        <f>107401+71667+97692+112321+100543+91682+100061+119410+112186+136804+148168+145637</f>
        <v>1343572</v>
      </c>
      <c r="E14" s="11">
        <f t="shared" si="1"/>
        <v>145637</v>
      </c>
      <c r="F14" s="18">
        <v>76034</v>
      </c>
      <c r="G14" s="18">
        <v>69603</v>
      </c>
      <c r="H14" s="18"/>
      <c r="I14" s="18"/>
      <c r="J14" s="18"/>
      <c r="K14" s="80">
        <f>15032+13106</f>
        <v>28138</v>
      </c>
      <c r="L14" s="80">
        <f>1664+3967</f>
        <v>5631</v>
      </c>
      <c r="M14" s="80">
        <v>9368</v>
      </c>
      <c r="N14" s="784">
        <v>75259</v>
      </c>
      <c r="O14" s="793">
        <f t="shared" si="2"/>
        <v>1.4974766613465533</v>
      </c>
      <c r="P14" s="843"/>
      <c r="Q14" s="79"/>
    </row>
    <row r="15" spans="1:17" ht="15">
      <c r="A15" s="386" t="s">
        <v>25</v>
      </c>
      <c r="B15" s="14">
        <f>6147+7479+7850+9613+8350+10297+8331+8950+9929+9191+7491+7125</f>
        <v>100753</v>
      </c>
      <c r="C15" s="817">
        <f>6147+7479+7850+9613+8350+10297+8331+8950+9929+9191+7491+7125</f>
        <v>100753</v>
      </c>
      <c r="D15" s="557">
        <f>5818+3471+4879+3146+1868+3203+3535+2520+3649+3073+2995+3507</f>
        <v>41664</v>
      </c>
      <c r="E15" s="11">
        <f>SUM(F15:J15)</f>
        <v>3507</v>
      </c>
      <c r="F15" s="673"/>
      <c r="G15" s="673"/>
      <c r="H15" s="13">
        <v>1669</v>
      </c>
      <c r="I15" s="13">
        <v>1838</v>
      </c>
      <c r="J15" s="13"/>
      <c r="K15" s="81"/>
      <c r="L15" s="22"/>
      <c r="M15" s="22"/>
      <c r="N15" s="515"/>
      <c r="O15" s="793">
        <f t="shared" si="2"/>
        <v>0.41352614810477106</v>
      </c>
      <c r="P15" s="895"/>
      <c r="Q15" s="79"/>
    </row>
    <row r="16" spans="1:17" ht="15">
      <c r="A16" s="386" t="s">
        <v>26</v>
      </c>
      <c r="B16" s="14">
        <f>540+350</f>
        <v>890</v>
      </c>
      <c r="C16" s="817">
        <f>540+350</f>
        <v>890</v>
      </c>
      <c r="D16" s="557">
        <f>528</f>
        <v>528</v>
      </c>
      <c r="E16" s="11">
        <v>0</v>
      </c>
      <c r="F16" s="13"/>
      <c r="G16" s="13"/>
      <c r="H16" s="13"/>
      <c r="I16" s="13"/>
      <c r="J16" s="13"/>
      <c r="K16" s="28"/>
      <c r="L16" s="36"/>
      <c r="M16" s="22"/>
      <c r="N16" s="515"/>
      <c r="O16" s="793">
        <f t="shared" si="2"/>
        <v>0.59325842696629216</v>
      </c>
      <c r="P16" s="844"/>
      <c r="Q16" s="79"/>
    </row>
    <row r="17" spans="1:17" ht="15">
      <c r="A17" s="386" t="s">
        <v>27</v>
      </c>
      <c r="B17" s="391">
        <f>14801+21013+19343+20052+25339+15490+23521+25450+24091+25115+25902+30182</f>
        <v>270299</v>
      </c>
      <c r="C17" s="833">
        <f>14801+21013+19343+20052+25339+15490+23521+25450+24091+25115+25902+30182</f>
        <v>270299</v>
      </c>
      <c r="D17" s="600">
        <f>29509+14652+23209+24242+23009+26529+25218+28150+30612+24870+21148+23890</f>
        <v>295038</v>
      </c>
      <c r="E17" s="11">
        <f t="shared" si="1"/>
        <v>23890</v>
      </c>
      <c r="F17" s="13"/>
      <c r="G17" s="13"/>
      <c r="H17" s="13">
        <v>11442</v>
      </c>
      <c r="I17" s="13">
        <v>12448</v>
      </c>
      <c r="J17" s="13"/>
      <c r="K17" s="22">
        <v>6610</v>
      </c>
      <c r="L17" s="22">
        <f>808+1272</f>
        <v>2080</v>
      </c>
      <c r="M17" s="22"/>
      <c r="N17" s="515"/>
      <c r="O17" s="793">
        <f t="shared" si="2"/>
        <v>1.0915245709381092</v>
      </c>
      <c r="P17" s="843"/>
      <c r="Q17" s="82"/>
    </row>
    <row r="18" spans="1:17" ht="16.2" thickBot="1">
      <c r="A18" s="402" t="s">
        <v>136</v>
      </c>
      <c r="B18" s="403">
        <v>67816</v>
      </c>
      <c r="C18" s="676">
        <v>67816</v>
      </c>
      <c r="D18" s="601">
        <f>127397+11642</f>
        <v>139039</v>
      </c>
      <c r="E18" s="11">
        <v>0</v>
      </c>
      <c r="F18" s="202"/>
      <c r="G18" s="202"/>
      <c r="H18" s="202"/>
      <c r="I18" s="202"/>
      <c r="J18" s="202"/>
      <c r="K18" s="203"/>
      <c r="L18" s="203"/>
      <c r="M18" s="203"/>
      <c r="N18" s="785"/>
      <c r="O18" s="793">
        <f t="shared" si="2"/>
        <v>2.0502388816798396</v>
      </c>
      <c r="P18" s="1126"/>
      <c r="Q18" s="1126"/>
    </row>
    <row r="19" spans="1:17" ht="15.6">
      <c r="A19" s="862" t="s">
        <v>29</v>
      </c>
      <c r="B19" s="506">
        <v>633659</v>
      </c>
      <c r="C19" s="751">
        <v>633659</v>
      </c>
      <c r="D19" s="890">
        <f>534688+54911</f>
        <v>589599</v>
      </c>
      <c r="E19" s="902">
        <v>54911</v>
      </c>
      <c r="F19" s="715"/>
      <c r="G19" s="715"/>
      <c r="H19" s="715"/>
      <c r="I19" s="715"/>
      <c r="J19" s="715"/>
      <c r="K19" s="194"/>
      <c r="L19" s="194"/>
      <c r="M19" s="194"/>
      <c r="N19" s="786"/>
      <c r="O19" s="794"/>
      <c r="P19" s="834"/>
      <c r="Q19" s="499"/>
    </row>
    <row r="20" spans="1:17" ht="15.6">
      <c r="A20" s="388" t="s">
        <v>134</v>
      </c>
      <c r="B20" s="507">
        <v>255481</v>
      </c>
      <c r="C20" s="751">
        <v>255481</v>
      </c>
      <c r="D20" s="891">
        <f>228437+18717</f>
        <v>247154</v>
      </c>
      <c r="E20" s="903">
        <v>18717</v>
      </c>
      <c r="F20" s="708"/>
      <c r="G20" s="708"/>
      <c r="H20" s="708"/>
      <c r="I20" s="708"/>
      <c r="J20" s="708"/>
      <c r="K20" s="22"/>
      <c r="L20" s="22"/>
      <c r="M20" s="22"/>
      <c r="N20" s="515"/>
      <c r="O20" s="793"/>
      <c r="P20" s="835"/>
    </row>
    <row r="21" spans="1:17" ht="15.6">
      <c r="A21" s="388" t="s">
        <v>31</v>
      </c>
      <c r="B21" s="507">
        <v>92242</v>
      </c>
      <c r="C21" s="751">
        <v>92242</v>
      </c>
      <c r="D21" s="891">
        <f>76626+5290</f>
        <v>81916</v>
      </c>
      <c r="E21" s="903">
        <v>5290</v>
      </c>
      <c r="F21" s="708"/>
      <c r="G21" s="708"/>
      <c r="H21" s="708"/>
      <c r="I21" s="708"/>
      <c r="J21" s="708"/>
      <c r="K21" s="22"/>
      <c r="L21" s="22"/>
      <c r="M21" s="22"/>
      <c r="N21" s="515"/>
      <c r="O21" s="793"/>
      <c r="P21" s="835"/>
    </row>
    <row r="22" spans="1:17" ht="15.6">
      <c r="A22" s="388" t="s">
        <v>32</v>
      </c>
      <c r="B22" s="507">
        <v>400078</v>
      </c>
      <c r="C22" s="751">
        <v>400078</v>
      </c>
      <c r="D22" s="891">
        <f>383761+42517</f>
        <v>426278</v>
      </c>
      <c r="E22" s="903">
        <v>42517</v>
      </c>
      <c r="F22" s="708"/>
      <c r="G22" s="708"/>
      <c r="H22" s="708"/>
      <c r="I22" s="708"/>
      <c r="J22" s="708"/>
      <c r="K22" s="22"/>
      <c r="L22" s="22"/>
      <c r="M22" s="22"/>
      <c r="N22" s="515"/>
      <c r="O22" s="793"/>
      <c r="P22" s="835"/>
    </row>
    <row r="23" spans="1:17" ht="15.6">
      <c r="A23" s="388" t="s">
        <v>33</v>
      </c>
      <c r="B23" s="509">
        <v>171077</v>
      </c>
      <c r="C23" s="750">
        <v>171077</v>
      </c>
      <c r="D23" s="891">
        <f>159887+13631</f>
        <v>173518</v>
      </c>
      <c r="E23" s="903">
        <v>13631</v>
      </c>
      <c r="F23" s="708"/>
      <c r="G23" s="708"/>
      <c r="H23" s="708"/>
      <c r="I23" s="708"/>
      <c r="J23" s="708"/>
      <c r="K23" s="22"/>
      <c r="L23" s="22"/>
      <c r="M23" s="22"/>
      <c r="N23" s="515"/>
      <c r="O23" s="793"/>
      <c r="P23" s="835"/>
    </row>
    <row r="24" spans="1:17" ht="15.6">
      <c r="A24" s="388" t="s">
        <v>34</v>
      </c>
      <c r="B24" s="509">
        <v>270677</v>
      </c>
      <c r="C24" s="750">
        <v>270677</v>
      </c>
      <c r="D24" s="891">
        <f>199276+27729</f>
        <v>227005</v>
      </c>
      <c r="E24" s="903">
        <v>27729</v>
      </c>
      <c r="F24" s="708"/>
      <c r="G24" s="708"/>
      <c r="H24" s="718"/>
      <c r="I24" s="708"/>
      <c r="J24" s="708"/>
      <c r="K24" s="22"/>
      <c r="L24" s="22"/>
      <c r="M24" s="22"/>
      <c r="N24" s="515"/>
      <c r="O24" s="793"/>
      <c r="P24" s="835"/>
    </row>
    <row r="25" spans="1:17" ht="15.6">
      <c r="A25" s="399" t="s">
        <v>189</v>
      </c>
      <c r="B25" s="892"/>
      <c r="C25" s="95"/>
      <c r="D25" s="893">
        <v>133390</v>
      </c>
      <c r="E25" s="904">
        <v>18161</v>
      </c>
      <c r="F25" s="719"/>
      <c r="G25" s="719"/>
      <c r="H25" s="719"/>
      <c r="I25" s="719"/>
      <c r="J25" s="719"/>
      <c r="K25" s="28"/>
      <c r="L25" s="28"/>
      <c r="M25" s="28"/>
      <c r="N25" s="116"/>
      <c r="O25" s="793"/>
      <c r="P25" s="835"/>
    </row>
    <row r="26" spans="1:17" ht="15.6">
      <c r="A26" s="26"/>
      <c r="B26" s="549">
        <f t="shared" ref="B26:C26" si="3">SUM(B19:B25)</f>
        <v>1823214</v>
      </c>
      <c r="C26" s="95">
        <f t="shared" si="3"/>
        <v>1823214</v>
      </c>
      <c r="D26" s="896">
        <f>SUM(D19:D25)</f>
        <v>1878860</v>
      </c>
      <c r="E26" s="897">
        <f>SUM(E19:E25)</f>
        <v>180956</v>
      </c>
      <c r="F26" s="719"/>
      <c r="G26" s="719"/>
      <c r="H26" s="719"/>
      <c r="I26" s="719"/>
      <c r="J26" s="719"/>
      <c r="K26" s="28"/>
      <c r="L26" s="28"/>
      <c r="M26" s="28"/>
      <c r="N26" s="116"/>
      <c r="O26" s="793"/>
      <c r="P26" s="835"/>
    </row>
    <row r="27" spans="1:17" ht="15.6">
      <c r="A27" s="26"/>
      <c r="B27" s="664"/>
      <c r="C27" s="22"/>
      <c r="D27" s="720"/>
      <c r="E27" s="767"/>
      <c r="F27" s="719"/>
      <c r="G27" s="719"/>
      <c r="H27" s="719"/>
      <c r="I27" s="719"/>
      <c r="J27" s="719"/>
      <c r="K27" s="28"/>
      <c r="L27" s="28"/>
      <c r="M27" s="28"/>
      <c r="N27" s="116"/>
      <c r="O27" s="793"/>
      <c r="P27" s="835"/>
    </row>
    <row r="28" spans="1:17" ht="15.6">
      <c r="A28" s="683" t="s">
        <v>35</v>
      </c>
      <c r="B28" s="841">
        <f>SUM(B29:B32)</f>
        <v>860026</v>
      </c>
      <c r="C28" s="886">
        <f>SUM(C29:C32)</f>
        <v>860026</v>
      </c>
      <c r="D28" s="582">
        <f>SUM(D29:D32)</f>
        <v>975868</v>
      </c>
      <c r="E28" s="56">
        <f t="shared" ref="E28" si="4">SUM(E29:E32)</f>
        <v>95353</v>
      </c>
      <c r="F28" s="858"/>
      <c r="G28" s="858"/>
      <c r="H28" s="858"/>
      <c r="I28" s="858"/>
      <c r="J28" s="857"/>
      <c r="K28" s="389"/>
      <c r="L28" s="523"/>
      <c r="M28" s="523"/>
      <c r="N28" s="685"/>
      <c r="O28" s="793">
        <f t="shared" ref="O28:O67" si="5">+D28/C28</f>
        <v>1.1346959277975317</v>
      </c>
      <c r="P28" s="834"/>
    </row>
    <row r="29" spans="1:17" ht="15">
      <c r="A29" s="386" t="s">
        <v>36</v>
      </c>
      <c r="B29" s="389">
        <f>30481+3346</f>
        <v>33827</v>
      </c>
      <c r="C29" s="684">
        <f>30481+3346</f>
        <v>33827</v>
      </c>
      <c r="D29" s="585">
        <f>31848+3560+3666</f>
        <v>39074</v>
      </c>
      <c r="E29" s="11">
        <f t="shared" ref="E29:E30" si="6">SUM(F29:J29)</f>
        <v>3666</v>
      </c>
      <c r="F29" s="13"/>
      <c r="G29" s="13"/>
      <c r="H29" s="13">
        <v>1859</v>
      </c>
      <c r="I29" s="13">
        <v>1807</v>
      </c>
      <c r="J29" s="12"/>
      <c r="K29" s="22">
        <f>709+700</f>
        <v>1409</v>
      </c>
      <c r="L29" s="22">
        <f>92+3</f>
        <v>95</v>
      </c>
      <c r="M29" s="22"/>
      <c r="N29" s="515">
        <v>3666</v>
      </c>
      <c r="O29" s="793">
        <f t="shared" si="5"/>
        <v>1.1551127797321665</v>
      </c>
      <c r="P29" s="843"/>
    </row>
    <row r="30" spans="1:17" ht="15.6">
      <c r="A30" s="31" t="s">
        <v>37</v>
      </c>
      <c r="B30" s="389">
        <v>675254</v>
      </c>
      <c r="C30" s="684">
        <v>675254</v>
      </c>
      <c r="D30" s="582">
        <f>64505+48073+62185+62452+59765+64280+67096+71165+61780+66528+63320+71042</f>
        <v>762191</v>
      </c>
      <c r="E30" s="11">
        <f t="shared" si="6"/>
        <v>71042</v>
      </c>
      <c r="F30" s="33">
        <v>29324</v>
      </c>
      <c r="G30" s="33">
        <v>29199</v>
      </c>
      <c r="H30" s="33">
        <v>6566</v>
      </c>
      <c r="I30" s="33">
        <v>5953</v>
      </c>
      <c r="J30" s="41"/>
      <c r="K30" s="87">
        <v>14996</v>
      </c>
      <c r="L30" s="87">
        <f>3813+1993+1792+3172</f>
        <v>10770</v>
      </c>
      <c r="M30" s="81"/>
      <c r="N30" s="787"/>
      <c r="O30" s="793">
        <f t="shared" si="5"/>
        <v>1.1287471084954699</v>
      </c>
      <c r="P30" s="823"/>
    </row>
    <row r="31" spans="1:17" ht="15.6">
      <c r="A31" s="31" t="s">
        <v>38</v>
      </c>
      <c r="B31" s="392">
        <f>120488+12239+18218</f>
        <v>150945</v>
      </c>
      <c r="C31" s="836">
        <f>120488+12239+18218</f>
        <v>150945</v>
      </c>
      <c r="D31" s="602">
        <f>22490+11900+19473+16591+12914+13370+11563+9278+10032+11317+15030+20645</f>
        <v>174603</v>
      </c>
      <c r="E31" s="11">
        <f>SUM(F31:J31)</f>
        <v>20645</v>
      </c>
      <c r="F31" s="33">
        <v>9473</v>
      </c>
      <c r="G31" s="33">
        <v>9309</v>
      </c>
      <c r="H31" s="33">
        <v>1656</v>
      </c>
      <c r="I31" s="33">
        <v>207</v>
      </c>
      <c r="J31" s="12"/>
      <c r="K31" s="87">
        <f>192+570+31+41</f>
        <v>834</v>
      </c>
      <c r="L31" s="87">
        <f>651+7+55+2</f>
        <v>715</v>
      </c>
      <c r="M31" s="22"/>
      <c r="N31" s="515"/>
      <c r="O31" s="793">
        <f t="shared" si="5"/>
        <v>1.1567325847162875</v>
      </c>
      <c r="P31" s="823"/>
    </row>
    <row r="32" spans="1:17" ht="15.6">
      <c r="A32" s="31" t="s">
        <v>39</v>
      </c>
      <c r="B32" s="14">
        <v>0</v>
      </c>
      <c r="C32" s="817">
        <v>0</v>
      </c>
      <c r="D32" s="557"/>
      <c r="E32" s="11"/>
      <c r="F32" s="13"/>
      <c r="G32" s="13"/>
      <c r="H32" s="13"/>
      <c r="I32" s="13"/>
      <c r="J32" s="13"/>
      <c r="K32" s="22"/>
      <c r="L32" s="22"/>
      <c r="M32" s="22"/>
      <c r="N32" s="515"/>
      <c r="O32" s="793"/>
      <c r="P32" s="823"/>
    </row>
    <row r="33" spans="1:17" ht="15.6">
      <c r="A33" s="31"/>
      <c r="B33" s="387"/>
      <c r="C33" s="675"/>
      <c r="D33" s="19"/>
      <c r="E33" s="768"/>
      <c r="F33" s="36"/>
      <c r="G33" s="36"/>
      <c r="H33" s="36"/>
      <c r="I33" s="36"/>
      <c r="J33" s="36"/>
      <c r="K33" s="863"/>
      <c r="L33" s="863"/>
      <c r="M33" s="863"/>
      <c r="N33" s="864"/>
      <c r="O33" s="793"/>
      <c r="P33" s="823"/>
    </row>
    <row r="34" spans="1:17" ht="15.6">
      <c r="A34" s="683" t="s">
        <v>40</v>
      </c>
      <c r="B34" s="841">
        <f>SUM(B35:B45)</f>
        <v>8314054</v>
      </c>
      <c r="C34" s="886">
        <f>SUM(C35:C45)</f>
        <v>8314054</v>
      </c>
      <c r="D34" s="582">
        <f>SUM(D35:D45)</f>
        <v>9158193</v>
      </c>
      <c r="E34" s="56">
        <f t="shared" ref="E34" si="7">SUM(E35:E45)</f>
        <v>814776</v>
      </c>
      <c r="F34" s="858"/>
      <c r="G34" s="858"/>
      <c r="H34" s="858"/>
      <c r="I34" s="858"/>
      <c r="J34" s="858"/>
      <c r="K34" s="22"/>
      <c r="L34" s="22"/>
      <c r="M34" s="22"/>
      <c r="N34" s="515"/>
      <c r="O34" s="793">
        <f t="shared" si="5"/>
        <v>1.1015315753301578</v>
      </c>
      <c r="P34" s="823"/>
    </row>
    <row r="35" spans="1:17" ht="15.6">
      <c r="A35" s="386" t="s">
        <v>41</v>
      </c>
      <c r="B35" s="14">
        <f>439746+58130+61049</f>
        <v>558925</v>
      </c>
      <c r="C35" s="817">
        <f>439746+58130+61049</f>
        <v>558925</v>
      </c>
      <c r="D35" s="557">
        <f>176793+71526+59980+65204+71423+79211+71917+76068+84439+81079</f>
        <v>837640</v>
      </c>
      <c r="E35" s="11">
        <f t="shared" ref="E35:E41" si="8">SUM(F35:J35)</f>
        <v>81079</v>
      </c>
      <c r="F35" s="13"/>
      <c r="G35" s="13"/>
      <c r="H35" s="13">
        <v>23866</v>
      </c>
      <c r="I35" s="13">
        <v>57213</v>
      </c>
      <c r="J35" s="13"/>
      <c r="K35" s="865">
        <v>1851</v>
      </c>
      <c r="L35" s="865">
        <f>20492+28</f>
        <v>20520</v>
      </c>
      <c r="M35" s="865"/>
      <c r="N35" s="866"/>
      <c r="O35" s="793">
        <f t="shared" si="5"/>
        <v>1.4986626112626917</v>
      </c>
      <c r="P35" s="823"/>
    </row>
    <row r="36" spans="1:17" ht="15.6">
      <c r="A36" s="386" t="s">
        <v>42</v>
      </c>
      <c r="B36" s="14">
        <f>506252+63971</f>
        <v>570223</v>
      </c>
      <c r="C36" s="817">
        <f>506252+63971</f>
        <v>570223</v>
      </c>
      <c r="D36" s="557">
        <f>315296+56739+61665+55007+62647+65661+65065</f>
        <v>682080</v>
      </c>
      <c r="E36" s="11">
        <f t="shared" si="8"/>
        <v>65065</v>
      </c>
      <c r="F36" s="12"/>
      <c r="G36" s="12"/>
      <c r="H36" s="13">
        <v>10364</v>
      </c>
      <c r="I36" s="13">
        <v>54701</v>
      </c>
      <c r="J36" s="13"/>
      <c r="K36" s="88">
        <f>56+1305</f>
        <v>1361</v>
      </c>
      <c r="L36" s="88">
        <f>268+0</f>
        <v>268</v>
      </c>
      <c r="M36" s="88">
        <v>65065</v>
      </c>
      <c r="N36" s="788"/>
      <c r="O36" s="793">
        <f t="shared" si="5"/>
        <v>1.1961636061681131</v>
      </c>
      <c r="P36" s="823"/>
    </row>
    <row r="37" spans="1:17" ht="15.6">
      <c r="A37" s="388" t="s">
        <v>43</v>
      </c>
      <c r="B37" s="686">
        <f>42017+51282+45948+47390+55304+49234+45680+47437+43911+34616+30188+41910</f>
        <v>534917</v>
      </c>
      <c r="C37" s="898">
        <f>42017+51282+45948+47390+55304+49234+45680+47437+43911+34616+30188+41910</f>
        <v>534917</v>
      </c>
      <c r="D37" s="688">
        <f>43919+38655+49389+49920+41452+46211+54147+61115+45816+53985+53251+54204</f>
        <v>592064</v>
      </c>
      <c r="E37" s="769">
        <f t="shared" si="8"/>
        <v>54204</v>
      </c>
      <c r="F37" s="13">
        <v>25485</v>
      </c>
      <c r="G37" s="13">
        <v>23085</v>
      </c>
      <c r="H37" s="13">
        <v>2288</v>
      </c>
      <c r="I37" s="822">
        <v>2189</v>
      </c>
      <c r="J37" s="13">
        <v>1157</v>
      </c>
      <c r="K37" s="88">
        <v>13458</v>
      </c>
      <c r="L37" s="142">
        <f>8883+886+142+127+642</f>
        <v>10680</v>
      </c>
      <c r="M37" s="88"/>
      <c r="N37" s="142">
        <v>54204</v>
      </c>
      <c r="O37" s="793">
        <f t="shared" si="5"/>
        <v>1.1068333965830213</v>
      </c>
      <c r="P37" s="823"/>
    </row>
    <row r="38" spans="1:17" ht="15.6">
      <c r="A38" s="31" t="s">
        <v>44</v>
      </c>
      <c r="B38" s="393">
        <f>154869+18461+17185+18184+22072</f>
        <v>230771</v>
      </c>
      <c r="C38" s="838">
        <f>154869+18461+17185+18184+22072</f>
        <v>230771</v>
      </c>
      <c r="D38" s="636">
        <f>20214+11681+23581+25619+22301+21824+20127+19528+19926+20275+23052+20682</f>
        <v>248810</v>
      </c>
      <c r="E38" s="11">
        <f>SUM(F38:J38)</f>
        <v>20682</v>
      </c>
      <c r="F38" s="13"/>
      <c r="G38" s="13"/>
      <c r="H38" s="13">
        <v>9873</v>
      </c>
      <c r="I38" s="13">
        <v>10809</v>
      </c>
      <c r="J38" s="89"/>
      <c r="K38" s="90">
        <f>2282+2569</f>
        <v>4851</v>
      </c>
      <c r="L38" s="88">
        <f>291+198</f>
        <v>489</v>
      </c>
      <c r="M38" s="88">
        <v>196</v>
      </c>
      <c r="N38" s="788">
        <v>2493</v>
      </c>
      <c r="O38" s="793">
        <f t="shared" si="5"/>
        <v>1.0781684007089278</v>
      </c>
      <c r="P38" s="823"/>
    </row>
    <row r="39" spans="1:17" ht="15.6">
      <c r="A39" s="31" t="s">
        <v>45</v>
      </c>
      <c r="B39" s="394">
        <f>50925+32855+32535+28886+28236+30552+33558+32390+29858+33841+31383</f>
        <v>365019</v>
      </c>
      <c r="C39" s="819">
        <f>50925+32855+32535+28886+28236+30552+33558+32390+29858+33841+31383</f>
        <v>365019</v>
      </c>
      <c r="D39" s="603">
        <f>36191+20920+29070+23929+27875+30427+28473+27605+28149+32945+33352+27283</f>
        <v>346219</v>
      </c>
      <c r="E39" s="11">
        <f>SUM(H39:J39)</f>
        <v>27283</v>
      </c>
      <c r="F39" s="722"/>
      <c r="G39" s="719"/>
      <c r="H39" s="13">
        <v>13564</v>
      </c>
      <c r="I39" s="13">
        <f>13719</f>
        <v>13719</v>
      </c>
      <c r="J39" s="12"/>
      <c r="K39" s="22">
        <f>4191+4414</f>
        <v>8605</v>
      </c>
      <c r="L39" s="22">
        <f>337+239</f>
        <v>576</v>
      </c>
      <c r="M39" s="22">
        <v>122</v>
      </c>
      <c r="N39" s="515">
        <v>697</v>
      </c>
      <c r="O39" s="793">
        <f t="shared" si="5"/>
        <v>0.94849583172382812</v>
      </c>
      <c r="P39" s="823"/>
    </row>
    <row r="40" spans="1:17" ht="15.6">
      <c r="A40" s="31" t="s">
        <v>46</v>
      </c>
      <c r="B40" s="394">
        <f>5696+3958+5815+9110+7468+13154+12856+16704+16494+13524+11707+13991</f>
        <v>130477</v>
      </c>
      <c r="C40" s="819">
        <f>5696+3958+5815+9110+7468+13154+12856+16704+16494+13524+11707+13991</f>
        <v>130477</v>
      </c>
      <c r="D40" s="603">
        <f>12008+9467+14763+14113+14691+14606+10209+8082+10081+11470+13518+17152</f>
        <v>150160</v>
      </c>
      <c r="E40" s="11">
        <f>SUM(F40:J40)</f>
        <v>17152</v>
      </c>
      <c r="F40" s="13">
        <v>4893</v>
      </c>
      <c r="G40" s="13">
        <v>11533</v>
      </c>
      <c r="H40" s="13"/>
      <c r="I40" s="13"/>
      <c r="J40" s="13">
        <v>726</v>
      </c>
      <c r="K40" s="22">
        <v>4986</v>
      </c>
      <c r="L40" s="22">
        <f>1785+4218+726</f>
        <v>6729</v>
      </c>
      <c r="M40" s="88"/>
      <c r="N40" s="788"/>
      <c r="O40" s="793">
        <f t="shared" si="5"/>
        <v>1.1508541735325</v>
      </c>
      <c r="P40" s="823"/>
    </row>
    <row r="41" spans="1:17" ht="15.6">
      <c r="A41" s="31" t="s">
        <v>47</v>
      </c>
      <c r="B41" s="394">
        <f>372397+393542+480876+438506+433683+444706+469051+460647+432596+460939+470477+474708</f>
        <v>5332128</v>
      </c>
      <c r="C41" s="819">
        <f>372397+393542+480876+438506+433683+444706+469051+460647+432596+460939+470477+474708</f>
        <v>5332128</v>
      </c>
      <c r="D41" s="603">
        <f>492323+373517+489518+501319+498148+483300+509517+496996+483525+491240+487179+505109</f>
        <v>5811691</v>
      </c>
      <c r="E41" s="11">
        <f t="shared" si="8"/>
        <v>505109</v>
      </c>
      <c r="F41" s="13">
        <v>288871</v>
      </c>
      <c r="G41" s="13">
        <v>216238</v>
      </c>
      <c r="H41" s="13"/>
      <c r="I41" s="12"/>
      <c r="J41" s="13"/>
      <c r="K41" s="87">
        <v>156429</v>
      </c>
      <c r="L41" s="87">
        <f>21925+21500</f>
        <v>43425</v>
      </c>
      <c r="M41" s="88"/>
      <c r="N41" s="788">
        <v>689</v>
      </c>
      <c r="O41" s="793">
        <f t="shared" si="5"/>
        <v>1.089938388575818</v>
      </c>
      <c r="P41" s="823"/>
    </row>
    <row r="42" spans="1:17" ht="15.6">
      <c r="A42" s="31" t="s">
        <v>48</v>
      </c>
      <c r="B42" s="394">
        <f>32440+39588+48102+43548+41412+40968+51704+51435+55440+57617+45700+41689</f>
        <v>549643</v>
      </c>
      <c r="C42" s="819">
        <f>32440+39588+48102+43548+41412+40968+51704+51435+55440+57617+45700+41689</f>
        <v>549643</v>
      </c>
      <c r="D42" s="603">
        <f>41444+27037+39698+37856+42480+38521+41958+41846+36877+41203+36023+42811</f>
        <v>467754</v>
      </c>
      <c r="E42" s="11">
        <f>SUM(F42:J42)</f>
        <v>42811</v>
      </c>
      <c r="F42" s="1035">
        <v>3423</v>
      </c>
      <c r="G42" s="1035"/>
      <c r="H42" s="1035">
        <v>39388</v>
      </c>
      <c r="I42" s="1035"/>
      <c r="J42" s="13"/>
      <c r="K42" s="88"/>
      <c r="L42" s="88"/>
      <c r="M42" s="88"/>
      <c r="N42" s="788"/>
      <c r="O42" s="793">
        <f t="shared" si="5"/>
        <v>0.85101420376498926</v>
      </c>
      <c r="P42" s="823"/>
    </row>
    <row r="43" spans="1:17" ht="15.6">
      <c r="A43" s="31" t="s">
        <v>49</v>
      </c>
      <c r="B43" s="389">
        <f>SUM(D43:G43)</f>
        <v>0</v>
      </c>
      <c r="C43" s="684">
        <f>SUM(E43:H43)</f>
        <v>0</v>
      </c>
      <c r="D43" s="582"/>
      <c r="E43" s="11"/>
      <c r="F43" s="13"/>
      <c r="G43" s="13"/>
      <c r="H43" s="13"/>
      <c r="I43" s="13"/>
      <c r="J43" s="13"/>
      <c r="K43" s="88"/>
      <c r="L43" s="88"/>
      <c r="M43" s="88"/>
      <c r="N43" s="788"/>
      <c r="O43" s="793"/>
      <c r="P43" s="839"/>
    </row>
    <row r="44" spans="1:17" ht="15.6">
      <c r="A44" s="31" t="s">
        <v>50</v>
      </c>
      <c r="B44" s="395">
        <f>2388+2166+2181+2143+2735+2159+2232+3124+2401+2891+2264+3229</f>
        <v>29913</v>
      </c>
      <c r="C44" s="696">
        <f>2388+2166+2181+2143+2735+2159+2232+3124+2401+2891+2264+3229</f>
        <v>29913</v>
      </c>
      <c r="D44" s="604">
        <f>1591+185+300+228+282+250+254+222+245+289+277+286</f>
        <v>4409</v>
      </c>
      <c r="E44" s="11">
        <f>SUM(F44:J44)</f>
        <v>286</v>
      </c>
      <c r="F44" s="13">
        <v>160</v>
      </c>
      <c r="G44" s="13">
        <v>126</v>
      </c>
      <c r="H44" s="13"/>
      <c r="I44" s="13"/>
      <c r="J44" s="13"/>
      <c r="K44" s="88">
        <v>286</v>
      </c>
      <c r="L44" s="88">
        <f>160</f>
        <v>160</v>
      </c>
      <c r="M44" s="88"/>
      <c r="N44" s="788">
        <v>6</v>
      </c>
      <c r="O44" s="793">
        <f t="shared" si="5"/>
        <v>0.14739410958446161</v>
      </c>
      <c r="P44" s="823"/>
    </row>
    <row r="45" spans="1:17" ht="15.6">
      <c r="A45" s="31" t="s">
        <v>51</v>
      </c>
      <c r="B45" s="395">
        <v>12038</v>
      </c>
      <c r="C45" s="696">
        <v>12038</v>
      </c>
      <c r="D45" s="604">
        <f>5554+2707+1759+1797+950+1036+1570+888+1105</f>
        <v>17366</v>
      </c>
      <c r="E45" s="11">
        <f>SUM(F45:F45:J45)</f>
        <v>1105</v>
      </c>
      <c r="F45" s="13">
        <v>216</v>
      </c>
      <c r="G45" s="13">
        <v>889</v>
      </c>
      <c r="H45" s="13"/>
      <c r="I45" s="13"/>
      <c r="J45" s="91"/>
      <c r="K45" s="90"/>
      <c r="L45" s="88"/>
      <c r="M45" s="88"/>
      <c r="N45" s="788">
        <v>1105</v>
      </c>
      <c r="O45" s="793">
        <f t="shared" si="5"/>
        <v>1.4425984382787838</v>
      </c>
      <c r="P45" s="823"/>
    </row>
    <row r="46" spans="1:17" ht="17.100000000000001" customHeight="1">
      <c r="A46" s="31"/>
      <c r="B46" s="419"/>
      <c r="C46" s="36"/>
      <c r="D46" s="558"/>
      <c r="E46" s="768"/>
      <c r="F46" s="44"/>
      <c r="G46" s="44"/>
      <c r="H46" s="44"/>
      <c r="I46" s="44"/>
      <c r="J46" s="44"/>
      <c r="K46" s="44"/>
      <c r="L46" s="44"/>
      <c r="M46" s="44"/>
      <c r="N46" s="789"/>
      <c r="O46" s="793"/>
      <c r="P46" s="823"/>
    </row>
    <row r="47" spans="1:17" ht="15.6">
      <c r="A47" s="683" t="s">
        <v>52</v>
      </c>
      <c r="B47" s="974">
        <f>SUM(B48:B55)</f>
        <v>4797590</v>
      </c>
      <c r="C47" s="913">
        <f>SUM(C48:C55)</f>
        <v>4797590</v>
      </c>
      <c r="D47" s="972">
        <f>SUM(D48:D55)</f>
        <v>6417935</v>
      </c>
      <c r="E47" s="973">
        <f>SUM(E48:E54)</f>
        <v>587510</v>
      </c>
      <c r="F47" s="13">
        <f t="shared" ref="F47:N47" si="9">SUM(F48:F55)</f>
        <v>174991</v>
      </c>
      <c r="G47" s="13">
        <f t="shared" si="9"/>
        <v>208658</v>
      </c>
      <c r="H47" s="13">
        <f t="shared" si="9"/>
        <v>6513</v>
      </c>
      <c r="I47" s="13">
        <f t="shared" si="9"/>
        <v>4541</v>
      </c>
      <c r="J47" s="13">
        <f t="shared" si="9"/>
        <v>36807</v>
      </c>
      <c r="K47" s="684">
        <f t="shared" si="9"/>
        <v>47613</v>
      </c>
      <c r="L47" s="684">
        <f t="shared" si="9"/>
        <v>127038</v>
      </c>
      <c r="M47" s="684">
        <f t="shared" si="9"/>
        <v>23812</v>
      </c>
      <c r="N47" s="523">
        <f t="shared" si="9"/>
        <v>61334</v>
      </c>
      <c r="O47" s="793">
        <f t="shared" si="5"/>
        <v>1.3377414493526958</v>
      </c>
      <c r="P47" s="823" t="s">
        <v>195</v>
      </c>
    </row>
    <row r="48" spans="1:17" ht="15.6">
      <c r="A48" s="31" t="s">
        <v>53</v>
      </c>
      <c r="B48" s="14">
        <v>0</v>
      </c>
      <c r="C48" s="817">
        <v>0</v>
      </c>
      <c r="D48" s="557"/>
      <c r="E48" s="11">
        <f t="shared" ref="E48:E53" si="10">SUM(F48:J48)</f>
        <v>0</v>
      </c>
      <c r="F48" s="13"/>
      <c r="G48" s="13"/>
      <c r="H48" s="13"/>
      <c r="I48" s="13"/>
      <c r="J48" s="13"/>
      <c r="K48" s="36"/>
      <c r="L48" s="36"/>
      <c r="M48" s="36"/>
      <c r="N48" s="423"/>
      <c r="O48" s="793"/>
      <c r="P48" s="823"/>
      <c r="Q48" s="499"/>
    </row>
    <row r="49" spans="1:17">
      <c r="A49" s="1075" t="s">
        <v>54</v>
      </c>
      <c r="B49" s="1057">
        <f>127394+89400+147995+127434+174236+176428+189135+187087+174544+192913+163797+135579</f>
        <v>1885942</v>
      </c>
      <c r="C49" s="1107">
        <f>127394+89400+147995+127434+174236+176428+189135+187087+174544+192913+163797+135579</f>
        <v>1885942</v>
      </c>
      <c r="D49" s="1103">
        <f>152617+131920+130997+153389+149066+196349+174625+189556+159615+174414+174638+173536</f>
        <v>1960722</v>
      </c>
      <c r="E49" s="1109">
        <f t="shared" si="10"/>
        <v>173536</v>
      </c>
      <c r="F49" s="1016">
        <v>70770</v>
      </c>
      <c r="G49" s="1016">
        <v>82028</v>
      </c>
      <c r="H49" s="1016">
        <v>6513</v>
      </c>
      <c r="I49" s="1016">
        <v>4541</v>
      </c>
      <c r="J49" s="1016">
        <v>9684</v>
      </c>
      <c r="K49" s="1017">
        <v>16568</v>
      </c>
      <c r="L49" s="1017">
        <f>49231+2195+502+1979+3867</f>
        <v>57774</v>
      </c>
      <c r="M49" s="1017"/>
      <c r="N49" s="1077"/>
      <c r="O49" s="1084">
        <f t="shared" si="5"/>
        <v>1.0396512724145281</v>
      </c>
      <c r="P49" s="1125"/>
    </row>
    <row r="50" spans="1:17">
      <c r="A50" s="1076"/>
      <c r="B50" s="1058"/>
      <c r="C50" s="1107"/>
      <c r="D50" s="1104"/>
      <c r="E50" s="1110"/>
      <c r="F50" s="1016"/>
      <c r="G50" s="1016"/>
      <c r="H50" s="1016"/>
      <c r="I50" s="1016"/>
      <c r="J50" s="1016"/>
      <c r="K50" s="1017"/>
      <c r="L50" s="1017"/>
      <c r="M50" s="1017"/>
      <c r="N50" s="1077"/>
      <c r="O50" s="1085"/>
      <c r="P50" s="1125"/>
    </row>
    <row r="51" spans="1:17" ht="15.6">
      <c r="A51" s="31" t="s">
        <v>56</v>
      </c>
      <c r="B51" s="397">
        <f>47356+52560+79724+85499+66734+68133+73487+69407+60723+61109+72181+84025</f>
        <v>820938</v>
      </c>
      <c r="C51" s="899">
        <f>47356+52560+79724+85499+66734+68133+73487+69407+60723+61109+72181+84025</f>
        <v>820938</v>
      </c>
      <c r="D51" s="637">
        <f>97537+55586+99611+80866+84077+87464+89817+110297+103108+86858+89238+102094</f>
        <v>1086553</v>
      </c>
      <c r="E51" s="11">
        <f t="shared" si="10"/>
        <v>102094</v>
      </c>
      <c r="F51" s="45">
        <v>48449</v>
      </c>
      <c r="G51" s="33">
        <v>48596</v>
      </c>
      <c r="H51" s="46"/>
      <c r="I51" s="12"/>
      <c r="J51" s="33">
        <v>5049</v>
      </c>
      <c r="K51" s="87">
        <v>10474</v>
      </c>
      <c r="L51" s="87">
        <f>34268+4171+492</f>
        <v>38931</v>
      </c>
      <c r="M51" s="36"/>
      <c r="N51" s="423"/>
      <c r="O51" s="793">
        <f t="shared" si="5"/>
        <v>1.3235506213623929</v>
      </c>
      <c r="P51" s="825"/>
    </row>
    <row r="52" spans="1:17" ht="15.6">
      <c r="A52" s="17" t="s">
        <v>57</v>
      </c>
      <c r="B52" s="395">
        <f>38855+42860+48337+46082+47751+44611+75076+55809+60576+63502+55882+64932</f>
        <v>644273</v>
      </c>
      <c r="C52" s="696">
        <f>38855+42860+48337+46082+47751+44611+75076+55809+60576+63502+55882+64932</f>
        <v>644273</v>
      </c>
      <c r="D52" s="604">
        <f>59734+65037+69566+76869+85180+98871+84349+95878+74900+91720+96454+90939</f>
        <v>989497</v>
      </c>
      <c r="E52" s="11">
        <f t="shared" si="10"/>
        <v>90939</v>
      </c>
      <c r="F52" s="13">
        <v>31637</v>
      </c>
      <c r="G52" s="13">
        <v>43297</v>
      </c>
      <c r="H52" s="13"/>
      <c r="I52" s="92"/>
      <c r="J52" s="13">
        <v>16005</v>
      </c>
      <c r="K52" s="22">
        <f>1833+4959+3132</f>
        <v>9924</v>
      </c>
      <c r="L52" s="22">
        <f>6926+40+349</f>
        <v>7315</v>
      </c>
      <c r="M52" s="36"/>
      <c r="N52" s="423"/>
      <c r="O52" s="793">
        <f t="shared" si="5"/>
        <v>1.5358349643706939</v>
      </c>
      <c r="P52" s="823"/>
    </row>
    <row r="53" spans="1:17" ht="15.6">
      <c r="A53" s="17" t="s">
        <v>58</v>
      </c>
      <c r="B53" s="395">
        <f>38927+25455+65397+44769+34250+34453+44944+60275+38990+46527+28707+33843</f>
        <v>496537</v>
      </c>
      <c r="C53" s="696">
        <f>38927+25455+65397+44769+34250+34453+44944+60275+38990+46527+28707+33843</f>
        <v>496537</v>
      </c>
      <c r="D53" s="604">
        <f>47624+41548+39771+61527+61540+40461+59109+75205+60419+66567+64451+64941</f>
        <v>683163</v>
      </c>
      <c r="E53" s="11">
        <f t="shared" si="10"/>
        <v>64941</v>
      </c>
      <c r="F53" s="13">
        <v>24135</v>
      </c>
      <c r="G53" s="13">
        <v>34737</v>
      </c>
      <c r="H53" s="13"/>
      <c r="I53" s="13"/>
      <c r="J53" s="13">
        <v>6069</v>
      </c>
      <c r="K53" s="88">
        <v>10647</v>
      </c>
      <c r="L53" s="88">
        <f>19005+10+4003</f>
        <v>23018</v>
      </c>
      <c r="M53" s="88">
        <v>23812</v>
      </c>
      <c r="N53" s="788">
        <v>61334</v>
      </c>
      <c r="O53" s="793">
        <f t="shared" si="5"/>
        <v>1.3758551729276973</v>
      </c>
      <c r="P53" s="823"/>
    </row>
    <row r="54" spans="1:17" ht="15.6">
      <c r="A54" s="894" t="s">
        <v>59</v>
      </c>
      <c r="B54" s="975">
        <v>949900</v>
      </c>
      <c r="C54" s="975">
        <v>949900</v>
      </c>
      <c r="D54" s="976">
        <f>1542000+E54</f>
        <v>1698000</v>
      </c>
      <c r="E54" s="977">
        <v>156000</v>
      </c>
      <c r="F54" s="681"/>
      <c r="G54" s="623"/>
      <c r="H54" s="93"/>
      <c r="I54" s="93"/>
      <c r="J54" s="94"/>
      <c r="K54" s="95"/>
      <c r="L54" s="95"/>
      <c r="M54" s="95"/>
      <c r="N54" s="790"/>
      <c r="O54" s="793">
        <f>+D54/B54</f>
        <v>1.7875565849036741</v>
      </c>
      <c r="P54" s="825"/>
    </row>
    <row r="55" spans="1:17" ht="15.6">
      <c r="A55" s="17" t="s">
        <v>60</v>
      </c>
      <c r="B55" s="382"/>
      <c r="C55" s="52"/>
      <c r="D55" s="583"/>
      <c r="E55" s="768"/>
      <c r="F55" s="51"/>
      <c r="G55" s="51"/>
      <c r="H55" s="52"/>
      <c r="I55" s="799"/>
      <c r="J55" s="51"/>
      <c r="K55" s="36"/>
      <c r="L55" s="36"/>
      <c r="M55" s="36"/>
      <c r="N55" s="423"/>
      <c r="O55" s="793"/>
      <c r="P55" s="824"/>
      <c r="Q55" s="641"/>
    </row>
    <row r="56" spans="1:17" ht="15.6">
      <c r="A56" s="17"/>
      <c r="B56" s="382"/>
      <c r="C56" s="52"/>
      <c r="D56" s="583"/>
      <c r="E56" s="768"/>
      <c r="F56" s="514"/>
      <c r="G56" s="799"/>
      <c r="H56" s="52"/>
      <c r="I56" s="514"/>
      <c r="J56" s="51"/>
      <c r="K56" s="36"/>
      <c r="L56" s="36"/>
      <c r="M56" s="36"/>
      <c r="N56" s="423"/>
      <c r="O56" s="793"/>
      <c r="P56" s="824"/>
      <c r="Q56" s="641"/>
    </row>
    <row r="57" spans="1:17" ht="15.6">
      <c r="A57" s="693" t="s">
        <v>61</v>
      </c>
      <c r="B57" s="694">
        <f>SUM(B58:B65)</f>
        <v>71421</v>
      </c>
      <c r="C57" s="887">
        <f>SUM(C58:C65)</f>
        <v>71421</v>
      </c>
      <c r="D57" s="604">
        <f>SUM(D58:D65)</f>
        <v>55955</v>
      </c>
      <c r="E57" s="848">
        <f t="shared" ref="E57" si="11">SUM(E58:E65)</f>
        <v>5176</v>
      </c>
      <c r="F57" s="695"/>
      <c r="G57" s="695"/>
      <c r="H57" s="848">
        <f t="shared" ref="H57:N57" si="12">SUM(H58:H65)</f>
        <v>2588</v>
      </c>
      <c r="I57" s="848">
        <f t="shared" si="12"/>
        <v>2588</v>
      </c>
      <c r="J57" s="695"/>
      <c r="K57" s="350">
        <f t="shared" si="12"/>
        <v>2237</v>
      </c>
      <c r="L57" s="350">
        <f t="shared" si="12"/>
        <v>2121</v>
      </c>
      <c r="M57" s="350">
        <f t="shared" si="12"/>
        <v>0</v>
      </c>
      <c r="N57" s="350">
        <f t="shared" si="12"/>
        <v>3042</v>
      </c>
      <c r="O57" s="793">
        <f t="shared" si="5"/>
        <v>0.78345304602287846</v>
      </c>
      <c r="P57" s="823"/>
    </row>
    <row r="58" spans="1:17" ht="15.6">
      <c r="A58" s="17" t="s">
        <v>62</v>
      </c>
      <c r="B58" s="395">
        <f>122+557+792+366+499+468+393+769+628+559+497+230</f>
        <v>5880</v>
      </c>
      <c r="C58" s="696">
        <f>122+557+792+366+499+468+393+769+628+559+497+230</f>
        <v>5880</v>
      </c>
      <c r="D58" s="584">
        <f>335+74+675+1816+624+522+232+273+655+1600+1480+1538</f>
        <v>9824</v>
      </c>
      <c r="E58" s="11">
        <f>SUM(F58:J58)</f>
        <v>1538</v>
      </c>
      <c r="F58" s="291"/>
      <c r="G58" s="13"/>
      <c r="H58" s="57">
        <v>844</v>
      </c>
      <c r="I58" s="13">
        <v>694</v>
      </c>
      <c r="J58" s="13"/>
      <c r="K58" s="36">
        <f>420+64</f>
        <v>484</v>
      </c>
      <c r="L58" s="36">
        <f>282</f>
        <v>282</v>
      </c>
      <c r="M58" s="36"/>
      <c r="N58" s="423"/>
      <c r="O58" s="793">
        <f t="shared" si="5"/>
        <v>1.6707482993197278</v>
      </c>
      <c r="P58" s="823"/>
    </row>
    <row r="59" spans="1:17" ht="15.6">
      <c r="A59" s="17" t="s">
        <v>63</v>
      </c>
      <c r="B59" s="14"/>
      <c r="C59" s="817"/>
      <c r="D59" s="577"/>
      <c r="E59" s="11">
        <f t="shared" ref="E59:E65" si="13">SUM(F59:J59)</f>
        <v>0</v>
      </c>
      <c r="F59" s="58"/>
      <c r="G59" s="11"/>
      <c r="H59" s="13"/>
      <c r="I59" s="13"/>
      <c r="J59" s="13"/>
      <c r="K59" s="36"/>
      <c r="L59" s="36"/>
      <c r="M59" s="36"/>
      <c r="N59" s="423"/>
      <c r="O59" s="793"/>
      <c r="P59" s="823"/>
    </row>
    <row r="60" spans="1:17" ht="15.6">
      <c r="A60" s="17" t="s">
        <v>64</v>
      </c>
      <c r="B60" s="395">
        <f>774+884+1093+1806+989+1127+1587+1317+1182+1138+1729+1456</f>
        <v>15082</v>
      </c>
      <c r="C60" s="696">
        <f>774+884+1093+1806+989+1127+1587+1317+1182+1138+1729+1456</f>
        <v>15082</v>
      </c>
      <c r="D60" s="584">
        <f>1670+1062+1129+1350+1391+1439+1192+1252+1332+1078+1196+1258</f>
        <v>15349</v>
      </c>
      <c r="E60" s="11">
        <f t="shared" si="13"/>
        <v>1258</v>
      </c>
      <c r="F60" s="57"/>
      <c r="G60" s="11"/>
      <c r="H60" s="13">
        <v>514</v>
      </c>
      <c r="I60" s="13">
        <v>744</v>
      </c>
      <c r="J60" s="13"/>
      <c r="K60" s="36">
        <f>154+295</f>
        <v>449</v>
      </c>
      <c r="L60" s="36">
        <f>282+331</f>
        <v>613</v>
      </c>
      <c r="M60" s="36"/>
      <c r="N60" s="423">
        <v>1258</v>
      </c>
      <c r="O60" s="793">
        <f t="shared" si="5"/>
        <v>1.0177032223842992</v>
      </c>
      <c r="P60" s="823"/>
    </row>
    <row r="61" spans="1:17" ht="15.6">
      <c r="A61" s="17" t="s">
        <v>65</v>
      </c>
      <c r="B61" s="14">
        <f>19101+1605+2057+920+1082</f>
        <v>24765</v>
      </c>
      <c r="C61" s="817">
        <f>19101+1605+2057+920+1082</f>
        <v>24765</v>
      </c>
      <c r="D61" s="577">
        <f>1089+517+1381+2546+1336+1503+1713+1785+1646+1436+909+1418</f>
        <v>17279</v>
      </c>
      <c r="E61" s="11">
        <f t="shared" si="13"/>
        <v>1418</v>
      </c>
      <c r="F61" s="58"/>
      <c r="G61" s="11"/>
      <c r="H61" s="13">
        <v>753</v>
      </c>
      <c r="I61" s="13">
        <v>665</v>
      </c>
      <c r="J61" s="13"/>
      <c r="K61" s="22">
        <v>822</v>
      </c>
      <c r="L61" s="22">
        <f>746+3</f>
        <v>749</v>
      </c>
      <c r="M61" s="36"/>
      <c r="N61" s="423">
        <v>822</v>
      </c>
      <c r="O61" s="793">
        <f t="shared" si="5"/>
        <v>0.6977185544114678</v>
      </c>
      <c r="P61" s="823"/>
    </row>
    <row r="62" spans="1:17" ht="15.6">
      <c r="A62" s="398" t="s">
        <v>66</v>
      </c>
      <c r="B62" s="389">
        <f>SUM(D62:G62)</f>
        <v>0</v>
      </c>
      <c r="C62" s="684">
        <f>SUM(E62:H62)</f>
        <v>0</v>
      </c>
      <c r="D62" s="585"/>
      <c r="E62" s="11">
        <f t="shared" si="13"/>
        <v>0</v>
      </c>
      <c r="F62" s="476"/>
      <c r="G62" s="11"/>
      <c r="H62" s="13"/>
      <c r="I62" s="13"/>
      <c r="J62" s="13"/>
      <c r="K62" s="36"/>
      <c r="L62" s="36"/>
      <c r="M62" s="36"/>
      <c r="N62" s="423"/>
      <c r="O62" s="793"/>
      <c r="P62" s="823"/>
    </row>
    <row r="63" spans="1:17" ht="15.6">
      <c r="A63" s="17" t="s">
        <v>67</v>
      </c>
      <c r="B63" s="14">
        <v>19597</v>
      </c>
      <c r="C63" s="817">
        <v>19597</v>
      </c>
      <c r="D63" s="632">
        <f>949+632+800+680+378+254+120+150+155+159+135+133</f>
        <v>4545</v>
      </c>
      <c r="E63" s="11">
        <v>133</v>
      </c>
      <c r="F63" s="58"/>
      <c r="G63" s="11"/>
      <c r="H63" s="13">
        <v>61</v>
      </c>
      <c r="I63" s="13">
        <v>72</v>
      </c>
      <c r="J63" s="13"/>
      <c r="K63" s="22">
        <v>61</v>
      </c>
      <c r="L63" s="22">
        <v>72</v>
      </c>
      <c r="M63" s="36"/>
      <c r="N63" s="423">
        <v>133</v>
      </c>
      <c r="O63" s="793">
        <f t="shared" si="5"/>
        <v>0.23192325355921825</v>
      </c>
      <c r="P63" s="823"/>
    </row>
    <row r="64" spans="1:17" ht="15.6">
      <c r="A64" s="399" t="s">
        <v>68</v>
      </c>
      <c r="B64" s="390"/>
      <c r="C64" s="888"/>
      <c r="D64" s="584"/>
      <c r="E64" s="11">
        <f t="shared" si="13"/>
        <v>0</v>
      </c>
      <c r="F64" s="57"/>
      <c r="G64" s="62"/>
      <c r="H64" s="12"/>
      <c r="I64" s="12"/>
      <c r="J64" s="12"/>
      <c r="K64" s="28"/>
      <c r="L64" s="28"/>
      <c r="M64" s="28"/>
      <c r="N64" s="116"/>
      <c r="O64" s="793"/>
      <c r="P64" s="823"/>
    </row>
    <row r="65" spans="1:20" ht="15.6">
      <c r="A65" s="17" t="s">
        <v>69</v>
      </c>
      <c r="B65" s="395">
        <f>3284+527+85+247+741+628+585</f>
        <v>6097</v>
      </c>
      <c r="C65" s="696">
        <f>3284+527+85+247+741+628+585</f>
        <v>6097</v>
      </c>
      <c r="D65" s="584">
        <f>703+210+509+267+526+508+670+637+1462+1836+801+829</f>
        <v>8958</v>
      </c>
      <c r="E65" s="11">
        <f t="shared" si="13"/>
        <v>829</v>
      </c>
      <c r="F65" s="13"/>
      <c r="G65" s="13"/>
      <c r="H65" s="13">
        <v>416</v>
      </c>
      <c r="I65" s="13">
        <v>413</v>
      </c>
      <c r="J65" s="13"/>
      <c r="K65" s="22">
        <v>421</v>
      </c>
      <c r="L65" s="22">
        <f>48+357</f>
        <v>405</v>
      </c>
      <c r="M65" s="22"/>
      <c r="N65" s="515">
        <v>829</v>
      </c>
      <c r="O65" s="793">
        <f t="shared" si="5"/>
        <v>1.4692471707397081</v>
      </c>
      <c r="P65" s="823"/>
      <c r="Q65" s="499"/>
    </row>
    <row r="66" spans="1:20" ht="16.2" thickBot="1">
      <c r="A66" s="477"/>
      <c r="B66" s="222"/>
      <c r="C66" s="889"/>
      <c r="D66" s="561"/>
      <c r="E66" s="771"/>
      <c r="F66" s="66"/>
      <c r="G66" s="178"/>
      <c r="H66" s="66"/>
      <c r="I66" s="66"/>
      <c r="J66" s="66"/>
      <c r="K66" s="66"/>
      <c r="L66" s="66"/>
      <c r="M66" s="66"/>
      <c r="N66" s="791"/>
      <c r="O66" s="859"/>
      <c r="P66" s="823"/>
    </row>
    <row r="67" spans="1:20" s="1" customFormat="1" ht="20.100000000000001" customHeight="1" thickBot="1">
      <c r="A67" s="860" t="s">
        <v>70</v>
      </c>
      <c r="B67" s="962">
        <f>B6+B28+B34+B47+B57</f>
        <v>18561273</v>
      </c>
      <c r="C67" s="969">
        <f>C6+C28+C34+C47+C57</f>
        <v>18561273</v>
      </c>
      <c r="D67" s="970">
        <f>D6+D28+D34+D47+D57</f>
        <v>21879672</v>
      </c>
      <c r="E67" s="971">
        <f>E6+E28+E34+E47+E57</f>
        <v>1972895</v>
      </c>
      <c r="F67" s="849">
        <f>F6+F28+F34+F47+F57</f>
        <v>391713</v>
      </c>
      <c r="G67" s="850">
        <f t="shared" ref="G67:N67" si="14">G6+G28+F34+G47+G57</f>
        <v>398726</v>
      </c>
      <c r="H67" s="850">
        <f t="shared" si="14"/>
        <v>40165</v>
      </c>
      <c r="I67" s="850">
        <f t="shared" si="14"/>
        <v>39355</v>
      </c>
      <c r="J67" s="850">
        <f t="shared" si="14"/>
        <v>36807</v>
      </c>
      <c r="K67" s="851">
        <f t="shared" si="14"/>
        <v>114958</v>
      </c>
      <c r="L67" s="851">
        <f t="shared" si="14"/>
        <v>182473</v>
      </c>
      <c r="M67" s="851">
        <f t="shared" si="14"/>
        <v>33180</v>
      </c>
      <c r="N67" s="852">
        <f t="shared" si="14"/>
        <v>139635</v>
      </c>
      <c r="O67" s="861">
        <f t="shared" si="5"/>
        <v>1.1787807872875962</v>
      </c>
      <c r="P67" s="826"/>
    </row>
    <row r="68" spans="1:20" s="1" customFormat="1" ht="19.649999999999999" customHeight="1" thickBot="1">
      <c r="A68" s="853" t="s">
        <v>160</v>
      </c>
      <c r="B68" s="982">
        <f>B67+B26</f>
        <v>20384487</v>
      </c>
      <c r="C68" s="911">
        <f>C67+C26</f>
        <v>20384487</v>
      </c>
      <c r="D68" s="983">
        <f>D67+D26</f>
        <v>23758532</v>
      </c>
      <c r="E68" s="885">
        <f>E67+E26</f>
        <v>2153851</v>
      </c>
      <c r="F68" s="724"/>
      <c r="G68" s="724"/>
      <c r="H68" s="725"/>
      <c r="I68" s="725"/>
      <c r="J68" s="725"/>
      <c r="K68" s="725"/>
      <c r="L68" s="724"/>
      <c r="N68" s="724"/>
      <c r="O68" s="726"/>
    </row>
    <row r="69" spans="1:20">
      <c r="A69" s="3"/>
      <c r="B69" s="700"/>
      <c r="C69" s="700"/>
      <c r="D69" s="700"/>
      <c r="E69" s="700"/>
      <c r="F69" s="68"/>
      <c r="G69" s="68"/>
      <c r="H69" s="3"/>
      <c r="I69" s="3"/>
      <c r="J69" s="3"/>
      <c r="K69" s="3"/>
      <c r="L69" s="68"/>
      <c r="M69" s="68" t="s">
        <v>188</v>
      </c>
      <c r="N69" s="68"/>
      <c r="O69" s="3"/>
    </row>
    <row r="70" spans="1:20">
      <c r="B70" s="3"/>
      <c r="C70" s="3"/>
      <c r="D70" s="68"/>
      <c r="E70" s="3"/>
      <c r="F70" s="68"/>
      <c r="G70" s="3"/>
      <c r="H70" s="3"/>
      <c r="I70" s="3"/>
      <c r="J70" s="3"/>
      <c r="K70" s="3"/>
      <c r="L70" s="68"/>
      <c r="M70" s="68"/>
      <c r="N70" s="68"/>
      <c r="O70" s="3"/>
    </row>
    <row r="71" spans="1:20" ht="15" thickBot="1">
      <c r="B71" s="3"/>
      <c r="C71" s="3"/>
      <c r="D71" s="104" t="s">
        <v>71</v>
      </c>
      <c r="E71" s="104" t="s">
        <v>72</v>
      </c>
      <c r="F71" s="104" t="s">
        <v>73</v>
      </c>
      <c r="G71" s="104" t="s">
        <v>74</v>
      </c>
      <c r="H71" s="104" t="s">
        <v>75</v>
      </c>
      <c r="I71" s="104" t="s">
        <v>76</v>
      </c>
      <c r="J71" s="104" t="s">
        <v>77</v>
      </c>
      <c r="K71" s="104" t="s">
        <v>78</v>
      </c>
      <c r="L71" s="104" t="s">
        <v>79</v>
      </c>
      <c r="M71" s="104" t="s">
        <v>80</v>
      </c>
      <c r="N71" s="104" t="s">
        <v>81</v>
      </c>
      <c r="O71" s="104" t="s">
        <v>82</v>
      </c>
      <c r="P71" s="104" t="s">
        <v>83</v>
      </c>
    </row>
    <row r="72" spans="1:20" ht="15" thickBot="1">
      <c r="B72" s="105" t="s">
        <v>84</v>
      </c>
      <c r="C72" s="105"/>
      <c r="D72" s="22">
        <v>1845076</v>
      </c>
      <c r="E72" s="22">
        <v>1453853.1301010782</v>
      </c>
      <c r="F72" s="804">
        <v>1812571.4812098993</v>
      </c>
      <c r="G72" s="22">
        <v>1892251.3322744532</v>
      </c>
      <c r="H72" s="22">
        <v>1870176</v>
      </c>
      <c r="I72" s="129">
        <v>1911539</v>
      </c>
      <c r="J72" s="22">
        <v>1961723</v>
      </c>
      <c r="K72" s="131">
        <v>2029897.8285490959</v>
      </c>
      <c r="L72" s="22">
        <v>1839034.7712819837</v>
      </c>
      <c r="M72" s="131">
        <v>1965535</v>
      </c>
      <c r="N72" s="111">
        <v>1946835</v>
      </c>
      <c r="O72" s="131"/>
      <c r="P72" s="854">
        <f>SUM(D72:O72)</f>
        <v>20528492.543416511</v>
      </c>
    </row>
    <row r="73" spans="1:20">
      <c r="A73" s="3"/>
      <c r="B73" s="107" t="s">
        <v>85</v>
      </c>
      <c r="C73" s="107"/>
      <c r="D73" s="108"/>
      <c r="E73" s="109">
        <f>IF(D72&gt;0,E72/D72,0)*100</f>
        <v>78.796381834736252</v>
      </c>
      <c r="F73" s="109">
        <f>IF(E72&gt;0,F72/E72,0)*100</f>
        <v>124.67363062208914</v>
      </c>
      <c r="G73" s="109">
        <f>IF(F72&gt;0,G72/F72,0)*100</f>
        <v>104.39595634658045</v>
      </c>
      <c r="H73" s="109">
        <f>IF(G72&gt;0,H72/G72,0)*100</f>
        <v>98.833382653882495</v>
      </c>
      <c r="I73" s="109">
        <f>IF(H72&gt;0,I72/H72,0)*100</f>
        <v>102.21171697209246</v>
      </c>
      <c r="J73" s="109">
        <f>IF(H72&gt;0,J72/H72,0)*100</f>
        <v>104.89510078195849</v>
      </c>
      <c r="K73" s="109">
        <f>IF(J72&gt;0,K72/J72,0)*100</f>
        <v>103.47525254835142</v>
      </c>
      <c r="L73" s="109">
        <f>IF(K72&gt;0,L72/K72,0)*100</f>
        <v>90.597405712605024</v>
      </c>
      <c r="M73" s="109">
        <f>IF(L72&gt;0,M72/L72,0)*100</f>
        <v>106.87862082291318</v>
      </c>
      <c r="N73" s="109">
        <f>IF(M72&gt;0,N72/M72,0)*100</f>
        <v>99.04860508716456</v>
      </c>
      <c r="O73" s="109">
        <f>IF(N72&gt;0,O72/N72,0)*100</f>
        <v>0</v>
      </c>
      <c r="P73" s="109"/>
      <c r="T73" s="2">
        <f>14/13</f>
        <v>1.0769230769230769</v>
      </c>
    </row>
    <row r="74" spans="1:20">
      <c r="A74" s="3"/>
      <c r="B74" s="110"/>
      <c r="C74" s="110"/>
      <c r="D74" s="110"/>
      <c r="E74" s="111"/>
      <c r="F74" s="110"/>
      <c r="G74" s="3"/>
      <c r="H74" s="3"/>
      <c r="I74" s="3"/>
      <c r="J74" s="3"/>
      <c r="K74" s="3"/>
      <c r="L74" s="3"/>
      <c r="M74" s="68"/>
      <c r="N74" s="68"/>
      <c r="O74" s="68"/>
      <c r="P74" s="3"/>
    </row>
    <row r="75" spans="1:20">
      <c r="A75" s="148" t="s">
        <v>86</v>
      </c>
      <c r="B75" s="68"/>
      <c r="C75" s="68"/>
      <c r="D75" s="68"/>
      <c r="E75" s="68"/>
      <c r="F75" s="3"/>
      <c r="G75" s="3"/>
      <c r="H75" s="3"/>
      <c r="I75" s="3"/>
      <c r="J75" s="3"/>
      <c r="K75" s="3"/>
      <c r="L75" s="3"/>
      <c r="M75" s="68"/>
      <c r="N75" s="68"/>
      <c r="O75" s="68"/>
      <c r="P75" s="3"/>
      <c r="Q75" s="142"/>
    </row>
    <row r="76" spans="1:20">
      <c r="A76" s="3" t="s">
        <v>87</v>
      </c>
      <c r="B76" s="68"/>
      <c r="C76" s="68"/>
      <c r="D76" s="68"/>
      <c r="E76" s="68"/>
      <c r="F76" s="3"/>
      <c r="G76" s="3"/>
      <c r="H76" s="3"/>
      <c r="I76" s="3"/>
      <c r="J76" s="3"/>
      <c r="K76" s="3"/>
      <c r="L76" s="3"/>
      <c r="M76" s="68"/>
      <c r="N76" s="68"/>
      <c r="O76" s="68"/>
      <c r="P76" s="3"/>
      <c r="Q76" s="142"/>
    </row>
    <row r="77" spans="1:20">
      <c r="A77" s="148" t="s">
        <v>88</v>
      </c>
      <c r="B77" s="68"/>
      <c r="C77" s="68"/>
      <c r="D77" s="68"/>
      <c r="E77" s="68"/>
      <c r="F77" s="3"/>
      <c r="G77" s="3"/>
      <c r="H77" s="3"/>
      <c r="I77" s="3"/>
      <c r="J77" s="3"/>
      <c r="K77" s="3"/>
      <c r="L77" s="3"/>
      <c r="M77" s="68"/>
      <c r="N77" s="68"/>
      <c r="O77" s="68"/>
      <c r="P77" s="3"/>
      <c r="Q77" s="142"/>
    </row>
    <row r="78" spans="1:20">
      <c r="A78" s="149" t="s">
        <v>89</v>
      </c>
      <c r="B78" s="68"/>
      <c r="C78" s="68"/>
      <c r="D78" s="68"/>
      <c r="E78" s="68"/>
      <c r="F78" s="3"/>
      <c r="G78" s="3"/>
      <c r="H78" s="3"/>
      <c r="I78" s="3"/>
      <c r="J78" s="3"/>
      <c r="K78" s="3"/>
      <c r="L78" s="3"/>
      <c r="M78" s="68"/>
      <c r="N78" s="68"/>
      <c r="O78" s="68"/>
      <c r="P78" s="3"/>
      <c r="Q78" s="144"/>
    </row>
    <row r="79" spans="1:20">
      <c r="A79" s="3" t="s">
        <v>90</v>
      </c>
      <c r="B79" s="3"/>
      <c r="C79" s="3"/>
      <c r="D79" s="3"/>
      <c r="E79" s="3"/>
      <c r="F79" s="3"/>
      <c r="G79" s="3"/>
      <c r="H79" s="3"/>
      <c r="I79" s="3"/>
      <c r="K79" s="3"/>
      <c r="M79" s="68"/>
      <c r="N79" s="68"/>
      <c r="O79" s="68"/>
      <c r="P79" s="3"/>
    </row>
    <row r="80" spans="1:20">
      <c r="A80" s="3" t="s">
        <v>91</v>
      </c>
      <c r="B80" s="3"/>
      <c r="C80" s="3"/>
      <c r="D80" s="3"/>
      <c r="E80" s="3"/>
      <c r="F80" s="3"/>
      <c r="G80" s="3"/>
      <c r="H80" s="3"/>
      <c r="I80" s="3"/>
      <c r="K80" s="3"/>
      <c r="M80" s="68"/>
      <c r="N80" s="68"/>
      <c r="O80" s="135"/>
      <c r="P80" s="3"/>
    </row>
    <row r="81" spans="1:17">
      <c r="A81" s="3" t="s">
        <v>92</v>
      </c>
      <c r="B81" s="3"/>
      <c r="C81" s="3"/>
      <c r="D81" s="3"/>
      <c r="E81" s="3"/>
      <c r="F81" s="3"/>
      <c r="G81" s="3"/>
      <c r="H81" s="3"/>
      <c r="I81" s="3"/>
      <c r="K81" s="3"/>
      <c r="L81" s="3"/>
      <c r="M81" s="68"/>
      <c r="N81" s="68"/>
      <c r="O81" s="68"/>
      <c r="P81" s="3"/>
    </row>
    <row r="83" spans="1:17">
      <c r="B83" s="2" t="s">
        <v>159</v>
      </c>
    </row>
    <row r="84" spans="1:17">
      <c r="B84" s="112" t="s">
        <v>93</v>
      </c>
      <c r="C84" s="112"/>
      <c r="D84" s="115" t="s">
        <v>94</v>
      </c>
      <c r="E84" s="115" t="s">
        <v>95</v>
      </c>
      <c r="F84" s="115" t="s">
        <v>96</v>
      </c>
      <c r="G84" s="115" t="s">
        <v>97</v>
      </c>
      <c r="H84" s="115" t="s">
        <v>98</v>
      </c>
      <c r="I84" s="136" t="s">
        <v>99</v>
      </c>
      <c r="J84" s="115" t="s">
        <v>100</v>
      </c>
      <c r="K84" s="115" t="s">
        <v>101</v>
      </c>
      <c r="L84" s="115" t="s">
        <v>102</v>
      </c>
      <c r="M84" s="115" t="s">
        <v>103</v>
      </c>
      <c r="N84" s="115" t="s">
        <v>104</v>
      </c>
      <c r="O84" s="115" t="s">
        <v>105</v>
      </c>
      <c r="P84" s="115" t="s">
        <v>83</v>
      </c>
      <c r="Q84" s="145" t="s">
        <v>107</v>
      </c>
    </row>
    <row r="85" spans="1:17">
      <c r="B85" s="116" t="s">
        <v>108</v>
      </c>
      <c r="C85" s="116"/>
      <c r="D85" s="52">
        <v>250647.57142857101</v>
      </c>
      <c r="E85" s="52">
        <v>303326.78571428568</v>
      </c>
      <c r="F85" s="52">
        <v>278308.28571428568</v>
      </c>
      <c r="G85" s="52">
        <v>329534.92857142858</v>
      </c>
      <c r="H85" s="118">
        <v>264136.85714285716</v>
      </c>
      <c r="I85" s="52">
        <v>280939.92857142852</v>
      </c>
      <c r="J85" s="52">
        <v>288262.21428571426</v>
      </c>
      <c r="K85" s="137">
        <v>271802.21428571432</v>
      </c>
      <c r="L85" s="138">
        <v>268024.71428571432</v>
      </c>
      <c r="M85" s="52">
        <v>273538.35714285716</v>
      </c>
      <c r="N85" s="52">
        <v>280962.92857142858</v>
      </c>
      <c r="O85" s="52"/>
      <c r="P85" s="478">
        <f t="shared" ref="P85:P91" si="15">SUM(D85:O85)</f>
        <v>3089484.7857142859</v>
      </c>
      <c r="Q85" s="146">
        <f t="shared" ref="Q85:Q92" si="16">P85/$P$92</f>
        <v>0.33554572366928442</v>
      </c>
    </row>
    <row r="86" spans="1:17">
      <c r="B86" s="119" t="s">
        <v>109</v>
      </c>
      <c r="C86" s="119"/>
      <c r="D86" s="121">
        <v>51557.785714285703</v>
      </c>
      <c r="E86" s="122">
        <v>38594.857142857145</v>
      </c>
      <c r="F86" s="122">
        <v>40995.357142857145</v>
      </c>
      <c r="G86" s="122">
        <v>33533.714285714283</v>
      </c>
      <c r="H86" s="123">
        <v>15954.785714285714</v>
      </c>
      <c r="I86" s="122">
        <v>52129.78571428571</v>
      </c>
      <c r="J86" s="122">
        <v>43316.857142857145</v>
      </c>
      <c r="K86" s="122">
        <v>16896.428571428572</v>
      </c>
      <c r="L86" s="122">
        <v>11983.357142857143</v>
      </c>
      <c r="M86" s="122">
        <v>36116.357142857145</v>
      </c>
      <c r="N86" s="122">
        <v>35962.642857142855</v>
      </c>
      <c r="O86" s="122"/>
      <c r="P86" s="479">
        <f t="shared" si="15"/>
        <v>377041.92857142858</v>
      </c>
      <c r="Q86" s="147">
        <f t="shared" si="16"/>
        <v>4.095013102545917E-2</v>
      </c>
    </row>
    <row r="87" spans="1:17">
      <c r="B87" s="119" t="s">
        <v>110</v>
      </c>
      <c r="C87" s="119"/>
      <c r="D87" s="121">
        <v>157521.85714285701</v>
      </c>
      <c r="E87" s="122">
        <v>160543.85714285713</v>
      </c>
      <c r="F87" s="122">
        <v>156602.71428571426</v>
      </c>
      <c r="G87" s="122">
        <v>190080.78571428574</v>
      </c>
      <c r="H87" s="123">
        <v>199613.78571428571</v>
      </c>
      <c r="I87" s="122">
        <v>200030.57142857142</v>
      </c>
      <c r="J87" s="122">
        <v>179224.21428571429</v>
      </c>
      <c r="K87" s="122">
        <v>212064</v>
      </c>
      <c r="L87" s="122">
        <v>216576.85714285716</v>
      </c>
      <c r="M87" s="122">
        <v>197261.57142857142</v>
      </c>
      <c r="N87" s="122">
        <v>176496.57142857142</v>
      </c>
      <c r="O87" s="122"/>
      <c r="P87" s="479">
        <f t="shared" si="15"/>
        <v>2046016.7857142854</v>
      </c>
      <c r="Q87" s="147">
        <f t="shared" si="16"/>
        <v>0.22221575136945612</v>
      </c>
    </row>
    <row r="88" spans="1:17">
      <c r="B88" s="124" t="s">
        <v>111</v>
      </c>
      <c r="C88" s="124"/>
      <c r="D88" s="52">
        <v>129327.714285714</v>
      </c>
      <c r="E88" s="52">
        <v>98880.78571428571</v>
      </c>
      <c r="F88" s="52">
        <v>142655.5</v>
      </c>
      <c r="G88" s="52">
        <v>133507.35714285716</v>
      </c>
      <c r="H88" s="118">
        <v>117586.21428571429</v>
      </c>
      <c r="I88" s="52">
        <v>102160.14285714286</v>
      </c>
      <c r="J88" s="52">
        <v>115071.28571428571</v>
      </c>
      <c r="K88" s="52">
        <v>125627.07142857143</v>
      </c>
      <c r="L88" s="52">
        <v>117220.21428571429</v>
      </c>
      <c r="M88" s="52">
        <v>109571.57142857142</v>
      </c>
      <c r="N88" s="52">
        <v>117013.21428571429</v>
      </c>
      <c r="O88" s="52"/>
      <c r="P88" s="478">
        <f t="shared" si="15"/>
        <v>1308621.0714285711</v>
      </c>
      <c r="Q88" s="146">
        <f t="shared" si="16"/>
        <v>0.14212797112702216</v>
      </c>
    </row>
    <row r="89" spans="1:17">
      <c r="B89" s="124" t="s">
        <v>112</v>
      </c>
      <c r="C89" s="124"/>
      <c r="D89" s="52">
        <v>81303.642857142899</v>
      </c>
      <c r="E89" s="52">
        <v>79785.57142857142</v>
      </c>
      <c r="F89" s="52">
        <v>99571</v>
      </c>
      <c r="G89" s="52">
        <v>105052.5</v>
      </c>
      <c r="H89" s="118">
        <v>95685.357142857145</v>
      </c>
      <c r="I89" s="52">
        <v>101332.71428571429</v>
      </c>
      <c r="J89" s="52">
        <v>110053</v>
      </c>
      <c r="K89" s="52">
        <v>157274.64285714284</v>
      </c>
      <c r="L89" s="52">
        <v>107111.64285714286</v>
      </c>
      <c r="M89" s="52">
        <v>113778.57142857142</v>
      </c>
      <c r="N89" s="52">
        <v>126239.71428571429</v>
      </c>
      <c r="O89" s="52"/>
      <c r="P89" s="478">
        <f t="shared" si="15"/>
        <v>1177188.3571428573</v>
      </c>
      <c r="Q89" s="146">
        <f t="shared" si="16"/>
        <v>0.12785320096704486</v>
      </c>
    </row>
    <row r="90" spans="1:17">
      <c r="B90" s="116" t="s">
        <v>57</v>
      </c>
      <c r="C90" s="116"/>
      <c r="D90" s="52">
        <v>79967.428571428594</v>
      </c>
      <c r="E90" s="52">
        <v>73659.642857142855</v>
      </c>
      <c r="F90" s="52">
        <v>87559.357142857145</v>
      </c>
      <c r="G90" s="52">
        <v>116176.92857142858</v>
      </c>
      <c r="H90" s="118">
        <v>97186.071428571435</v>
      </c>
      <c r="I90" s="52">
        <v>107421.21428571429</v>
      </c>
      <c r="J90" s="52">
        <v>106410.42857142858</v>
      </c>
      <c r="K90" s="52">
        <v>100767.21428571429</v>
      </c>
      <c r="L90" s="52">
        <v>106862.07142857142</v>
      </c>
      <c r="M90" s="52">
        <v>108471.5</v>
      </c>
      <c r="N90" s="52">
        <v>116052.71428571429</v>
      </c>
      <c r="O90" s="52"/>
      <c r="P90" s="478">
        <f t="shared" si="15"/>
        <v>1100534.5714285714</v>
      </c>
      <c r="Q90" s="146">
        <f t="shared" si="16"/>
        <v>0.11952791316552436</v>
      </c>
    </row>
    <row r="91" spans="1:17">
      <c r="B91" s="28" t="s">
        <v>158</v>
      </c>
      <c r="C91" s="28"/>
      <c r="D91" s="52">
        <v>2349.7857142857142</v>
      </c>
      <c r="E91" s="52">
        <v>4728.1428571428569</v>
      </c>
      <c r="F91" s="52">
        <v>9206.7857142857138</v>
      </c>
      <c r="G91" s="52">
        <v>12338.642857142857</v>
      </c>
      <c r="H91" s="118">
        <v>9361.4285714285706</v>
      </c>
      <c r="I91" s="52">
        <v>10276.428571428572</v>
      </c>
      <c r="J91" s="52">
        <v>11068.928571428572</v>
      </c>
      <c r="K91" s="52">
        <v>13297.5</v>
      </c>
      <c r="L91" s="129">
        <v>9097.1428571428569</v>
      </c>
      <c r="M91" s="52">
        <v>12402.357142857143</v>
      </c>
      <c r="N91" s="52">
        <v>14329</v>
      </c>
      <c r="O91" s="52"/>
      <c r="P91" s="478">
        <f t="shared" si="15"/>
        <v>108456.14285714286</v>
      </c>
      <c r="Q91" s="146">
        <f t="shared" si="16"/>
        <v>1.1779308676208775E-2</v>
      </c>
    </row>
    <row r="92" spans="1:17">
      <c r="D92" s="855">
        <f>SUM(D85:D91)</f>
        <v>752675.78571428498</v>
      </c>
      <c r="E92" s="855">
        <f t="shared" ref="E92:P92" si="17">SUM(E85:E91)</f>
        <v>759519.64285714272</v>
      </c>
      <c r="F92" s="855">
        <f t="shared" si="17"/>
        <v>814898.99999999988</v>
      </c>
      <c r="G92" s="855">
        <f t="shared" si="17"/>
        <v>920224.85714285716</v>
      </c>
      <c r="H92" s="855">
        <f t="shared" si="17"/>
        <v>799524.50000000012</v>
      </c>
      <c r="I92" s="855">
        <f t="shared" si="17"/>
        <v>854290.78571428568</v>
      </c>
      <c r="J92" s="855">
        <f t="shared" si="17"/>
        <v>853406.92857142852</v>
      </c>
      <c r="K92" s="855">
        <f>SUM(K85:K91)</f>
        <v>897729.07142857148</v>
      </c>
      <c r="L92" s="855">
        <f t="shared" si="17"/>
        <v>836876.00000000012</v>
      </c>
      <c r="M92" s="855">
        <f t="shared" si="17"/>
        <v>851140.2857142858</v>
      </c>
      <c r="N92" s="855">
        <f t="shared" si="17"/>
        <v>867056.7857142858</v>
      </c>
      <c r="O92" s="855">
        <f t="shared" si="17"/>
        <v>0</v>
      </c>
      <c r="P92" s="855">
        <f t="shared" si="17"/>
        <v>9207343.6428571437</v>
      </c>
      <c r="Q92" s="146">
        <f t="shared" si="16"/>
        <v>1</v>
      </c>
    </row>
  </sheetData>
  <mergeCells count="27">
    <mergeCell ref="A1:O1"/>
    <mergeCell ref="A3:A4"/>
    <mergeCell ref="B3:B4"/>
    <mergeCell ref="C3:C4"/>
    <mergeCell ref="D3:D4"/>
    <mergeCell ref="E3:N3"/>
    <mergeCell ref="O3:O4"/>
    <mergeCell ref="F42:G42"/>
    <mergeCell ref="H42:I42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P6:P7"/>
    <mergeCell ref="P18:Q18"/>
    <mergeCell ref="M49:M50"/>
    <mergeCell ref="N49:N50"/>
    <mergeCell ref="O49:O50"/>
    <mergeCell ref="P49:P50"/>
  </mergeCells>
  <pageMargins left="0.25" right="0.25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F803-1CF8-49A3-BC55-A1F8AE6BF825}">
  <dimension ref="C4:BE35"/>
  <sheetViews>
    <sheetView topLeftCell="A12" workbookViewId="0">
      <selection activeCell="E19" sqref="E19:E35"/>
    </sheetView>
  </sheetViews>
  <sheetFormatPr defaultRowHeight="13.8" outlineLevelCol="1"/>
  <cols>
    <col min="1" max="2" width="8.88671875" style="1003"/>
    <col min="3" max="3" width="13" style="1003" bestFit="1" customWidth="1"/>
    <col min="4" max="4" width="14.88671875" style="1003" customWidth="1"/>
    <col min="5" max="5" width="8.88671875" style="1003"/>
    <col min="6" max="6" width="12.77734375" style="1003" hidden="1" customWidth="1" outlineLevel="1"/>
    <col min="7" max="7" width="15.109375" style="1003" hidden="1" customWidth="1" outlineLevel="1"/>
    <col min="8" max="8" width="14.33203125" style="1003" hidden="1" customWidth="1" outlineLevel="1"/>
    <col min="9" max="9" width="9.21875" style="1003" hidden="1" customWidth="1" outlineLevel="1"/>
    <col min="10" max="10" width="11.77734375" style="1003" hidden="1" customWidth="1" outlineLevel="1"/>
    <col min="11" max="14" width="9" style="1003" hidden="1" customWidth="1" outlineLevel="1"/>
    <col min="15" max="15" width="9" style="1003" customWidth="1" collapsed="1"/>
    <col min="16" max="16" width="8.88671875" style="1003"/>
    <col min="17" max="17" width="17.77734375" style="1003" bestFit="1" customWidth="1"/>
    <col min="18" max="18" width="12.21875" style="1003" customWidth="1"/>
    <col min="19" max="19" width="9" style="1003" bestFit="1" customWidth="1"/>
    <col min="20" max="28" width="9" style="1003" hidden="1" customWidth="1" outlineLevel="1"/>
    <col min="29" max="29" width="9" style="1003" customWidth="1" collapsed="1"/>
    <col min="30" max="30" width="8.88671875" style="1003"/>
    <col min="31" max="31" width="13.33203125" style="1003" bestFit="1" customWidth="1"/>
    <col min="32" max="32" width="8.88671875" style="1003"/>
    <col min="33" max="33" width="9" style="1003" bestFit="1" customWidth="1"/>
    <col min="34" max="42" width="9" style="1003" hidden="1" customWidth="1" outlineLevel="1"/>
    <col min="43" max="43" width="9" style="1003" customWidth="1" collapsed="1"/>
    <col min="44" max="44" width="8.88671875" style="1003"/>
    <col min="45" max="45" width="10.21875" style="1003" bestFit="1" customWidth="1"/>
    <col min="46" max="46" width="11.6640625" style="1003" customWidth="1"/>
    <col min="47" max="47" width="9" style="1003" bestFit="1" customWidth="1"/>
    <col min="48" max="49" width="9.5546875" style="1003" hidden="1" customWidth="1" outlineLevel="1"/>
    <col min="50" max="56" width="9" style="1003" hidden="1" customWidth="1" outlineLevel="1"/>
    <col min="57" max="57" width="8.88671875" style="1003" collapsed="1"/>
    <col min="58" max="16384" width="8.88671875" style="1003"/>
  </cols>
  <sheetData>
    <row r="4" spans="3:56" ht="41.4">
      <c r="C4" s="1004" t="s">
        <v>208</v>
      </c>
      <c r="D4" s="1013" t="s">
        <v>213</v>
      </c>
      <c r="E4" s="1004" t="s">
        <v>210</v>
      </c>
      <c r="F4" s="992" t="s">
        <v>8</v>
      </c>
      <c r="G4" s="992" t="s">
        <v>9</v>
      </c>
      <c r="H4" s="992" t="s">
        <v>10</v>
      </c>
      <c r="I4" s="992" t="s">
        <v>11</v>
      </c>
      <c r="J4" s="993" t="s">
        <v>12</v>
      </c>
      <c r="K4" s="992" t="s">
        <v>13</v>
      </c>
      <c r="L4" s="992" t="s">
        <v>14</v>
      </c>
      <c r="M4" s="994" t="s">
        <v>15</v>
      </c>
      <c r="N4" s="994" t="s">
        <v>16</v>
      </c>
      <c r="O4" s="994"/>
      <c r="P4" s="1004"/>
      <c r="Q4" s="1004" t="s">
        <v>212</v>
      </c>
      <c r="R4" s="1013" t="s">
        <v>213</v>
      </c>
      <c r="S4" s="1004" t="s">
        <v>210</v>
      </c>
      <c r="T4" s="992" t="s">
        <v>8</v>
      </c>
      <c r="U4" s="992" t="s">
        <v>9</v>
      </c>
      <c r="V4" s="992" t="s">
        <v>10</v>
      </c>
      <c r="W4" s="992" t="s">
        <v>11</v>
      </c>
      <c r="X4" s="993" t="s">
        <v>12</v>
      </c>
      <c r="Y4" s="992" t="s">
        <v>13</v>
      </c>
      <c r="Z4" s="992" t="s">
        <v>14</v>
      </c>
      <c r="AA4" s="994" t="s">
        <v>15</v>
      </c>
      <c r="AB4" s="994" t="s">
        <v>16</v>
      </c>
      <c r="AC4" s="994"/>
      <c r="AD4" s="1004"/>
      <c r="AE4" s="1004" t="s">
        <v>209</v>
      </c>
      <c r="AF4" s="1013" t="s">
        <v>213</v>
      </c>
      <c r="AG4" s="1004" t="s">
        <v>211</v>
      </c>
      <c r="AH4" s="992" t="s">
        <v>8</v>
      </c>
      <c r="AI4" s="992" t="s">
        <v>9</v>
      </c>
      <c r="AJ4" s="992" t="s">
        <v>10</v>
      </c>
      <c r="AK4" s="992" t="s">
        <v>11</v>
      </c>
      <c r="AL4" s="993" t="s">
        <v>12</v>
      </c>
      <c r="AM4" s="992" t="s">
        <v>13</v>
      </c>
      <c r="AN4" s="992" t="s">
        <v>14</v>
      </c>
      <c r="AO4" s="994" t="s">
        <v>15</v>
      </c>
      <c r="AP4" s="994" t="s">
        <v>16</v>
      </c>
      <c r="AQ4" s="994"/>
      <c r="AS4" s="1004" t="s">
        <v>108</v>
      </c>
      <c r="AT4" s="1013" t="s">
        <v>213</v>
      </c>
      <c r="AU4" s="1004" t="s">
        <v>211</v>
      </c>
      <c r="AV4" s="992" t="s">
        <v>8</v>
      </c>
      <c r="AW4" s="992" t="s">
        <v>9</v>
      </c>
      <c r="AX4" s="992" t="s">
        <v>10</v>
      </c>
      <c r="AY4" s="992" t="s">
        <v>11</v>
      </c>
      <c r="AZ4" s="993" t="s">
        <v>12</v>
      </c>
      <c r="BA4" s="992" t="s">
        <v>13</v>
      </c>
      <c r="BB4" s="992" t="s">
        <v>14</v>
      </c>
      <c r="BC4" s="994" t="s">
        <v>15</v>
      </c>
      <c r="BD4" s="994" t="s">
        <v>16</v>
      </c>
    </row>
    <row r="5" spans="3:56">
      <c r="C5" s="1005">
        <v>2023</v>
      </c>
      <c r="D5" s="1007">
        <f>SUM(D6:D17)</f>
        <v>897224</v>
      </c>
      <c r="E5" s="1006"/>
      <c r="F5" s="995"/>
      <c r="G5" s="995"/>
      <c r="H5" s="995"/>
      <c r="I5" s="995"/>
      <c r="J5" s="996"/>
      <c r="K5" s="995"/>
      <c r="L5" s="995"/>
      <c r="M5" s="997"/>
      <c r="N5" s="997"/>
      <c r="O5" s="997"/>
      <c r="P5" s="1006"/>
      <c r="Q5" s="1005">
        <v>2023</v>
      </c>
      <c r="R5" s="1008">
        <f>SUM(R6:R17)</f>
        <v>12038</v>
      </c>
      <c r="S5" s="1006"/>
      <c r="T5" s="995"/>
      <c r="U5" s="995"/>
      <c r="V5" s="995"/>
      <c r="W5" s="995"/>
      <c r="X5" s="996"/>
      <c r="Y5" s="995"/>
      <c r="Z5" s="995"/>
      <c r="AA5" s="997"/>
      <c r="AB5" s="997"/>
      <c r="AC5" s="997"/>
      <c r="AD5" s="1006"/>
      <c r="AE5" s="1005">
        <v>2023</v>
      </c>
      <c r="AF5" s="1008">
        <f>SUM(AF6:AF17)</f>
        <v>558925</v>
      </c>
      <c r="AG5" s="1006"/>
      <c r="AH5" s="995"/>
      <c r="AI5" s="995"/>
      <c r="AJ5" s="995"/>
      <c r="AK5" s="995"/>
      <c r="AL5" s="996"/>
      <c r="AM5" s="995"/>
      <c r="AN5" s="995"/>
      <c r="AO5" s="997"/>
      <c r="AP5" s="997"/>
      <c r="AQ5" s="997"/>
      <c r="AR5" s="1006"/>
      <c r="AS5" s="1005">
        <v>2023</v>
      </c>
      <c r="AT5" s="1008">
        <f>SUM(AT6:AT17)</f>
        <v>949900</v>
      </c>
      <c r="AU5" s="1006"/>
      <c r="AV5" s="995"/>
      <c r="AW5" s="995"/>
      <c r="AX5" s="995"/>
      <c r="AY5" s="995"/>
      <c r="AZ5" s="996"/>
      <c r="BA5" s="995"/>
      <c r="BB5" s="995"/>
      <c r="BC5" s="997"/>
      <c r="BD5" s="997"/>
    </row>
    <row r="6" spans="3:56">
      <c r="C6" s="1005" t="s">
        <v>196</v>
      </c>
      <c r="D6" s="1007">
        <v>27700</v>
      </c>
      <c r="E6" s="1006"/>
      <c r="F6" s="995"/>
      <c r="G6" s="995"/>
      <c r="H6" s="995"/>
      <c r="I6" s="995"/>
      <c r="J6" s="996"/>
      <c r="K6" s="995"/>
      <c r="L6" s="995"/>
      <c r="M6" s="997"/>
      <c r="N6" s="997"/>
      <c r="O6" s="997"/>
      <c r="P6" s="1006"/>
      <c r="Q6" s="1005" t="s">
        <v>196</v>
      </c>
      <c r="R6" s="1008">
        <v>856</v>
      </c>
      <c r="S6" s="1006"/>
      <c r="T6" s="995"/>
      <c r="U6" s="995"/>
      <c r="V6" s="995"/>
      <c r="W6" s="995"/>
      <c r="X6" s="996"/>
      <c r="Y6" s="995"/>
      <c r="Z6" s="995"/>
      <c r="AA6" s="997"/>
      <c r="AB6" s="997"/>
      <c r="AC6" s="997"/>
      <c r="AD6" s="1006"/>
      <c r="AE6" s="1005" t="s">
        <v>196</v>
      </c>
      <c r="AF6" s="1008">
        <v>39360</v>
      </c>
      <c r="AG6" s="1006"/>
      <c r="AH6" s="995"/>
      <c r="AI6" s="995"/>
      <c r="AJ6" s="995"/>
      <c r="AK6" s="995"/>
      <c r="AL6" s="996"/>
      <c r="AM6" s="995"/>
      <c r="AN6" s="995"/>
      <c r="AO6" s="997"/>
      <c r="AP6" s="997"/>
      <c r="AQ6" s="997"/>
      <c r="AR6" s="1006"/>
      <c r="AS6" s="1005" t="s">
        <v>196</v>
      </c>
      <c r="AT6" s="1008">
        <v>55000</v>
      </c>
      <c r="AU6" s="1006"/>
      <c r="AV6" s="995"/>
      <c r="AW6" s="995"/>
      <c r="AX6" s="995"/>
      <c r="AY6" s="995"/>
      <c r="AZ6" s="996"/>
      <c r="BA6" s="995"/>
      <c r="BB6" s="995"/>
      <c r="BC6" s="997"/>
      <c r="BD6" s="997"/>
    </row>
    <row r="7" spans="3:56">
      <c r="C7" s="1005" t="s">
        <v>197</v>
      </c>
      <c r="D7" s="1007">
        <v>42263</v>
      </c>
      <c r="E7" s="1006"/>
      <c r="F7" s="995"/>
      <c r="G7" s="995"/>
      <c r="H7" s="995"/>
      <c r="I7" s="995"/>
      <c r="J7" s="996"/>
      <c r="K7" s="995"/>
      <c r="L7" s="995"/>
      <c r="M7" s="997"/>
      <c r="N7" s="997"/>
      <c r="O7" s="997"/>
      <c r="P7" s="1006"/>
      <c r="Q7" s="1005" t="s">
        <v>197</v>
      </c>
      <c r="R7" s="1008">
        <v>1105</v>
      </c>
      <c r="S7" s="1006"/>
      <c r="T7" s="995"/>
      <c r="U7" s="995"/>
      <c r="V7" s="995"/>
      <c r="W7" s="995"/>
      <c r="X7" s="996"/>
      <c r="Y7" s="995"/>
      <c r="Z7" s="995"/>
      <c r="AA7" s="997"/>
      <c r="AB7" s="997"/>
      <c r="AC7" s="997"/>
      <c r="AD7" s="1006"/>
      <c r="AE7" s="1005" t="s">
        <v>197</v>
      </c>
      <c r="AF7" s="1008">
        <v>31413</v>
      </c>
      <c r="AG7" s="1006"/>
      <c r="AH7" s="995"/>
      <c r="AI7" s="995"/>
      <c r="AJ7" s="995"/>
      <c r="AK7" s="995"/>
      <c r="AL7" s="996"/>
      <c r="AM7" s="995"/>
      <c r="AN7" s="995"/>
      <c r="AO7" s="997"/>
      <c r="AP7" s="997"/>
      <c r="AQ7" s="997"/>
      <c r="AR7" s="1006"/>
      <c r="AS7" s="1005" t="s">
        <v>197</v>
      </c>
      <c r="AT7" s="1008">
        <v>49400</v>
      </c>
      <c r="AU7" s="1006"/>
      <c r="AV7" s="995"/>
      <c r="AW7" s="995"/>
      <c r="AX7" s="995"/>
      <c r="AY7" s="995"/>
      <c r="AZ7" s="996"/>
      <c r="BA7" s="995"/>
      <c r="BB7" s="995"/>
      <c r="BC7" s="997"/>
      <c r="BD7" s="997"/>
    </row>
    <row r="8" spans="3:56">
      <c r="C8" s="1005" t="s">
        <v>198</v>
      </c>
      <c r="D8" s="1007">
        <v>60649</v>
      </c>
      <c r="E8" s="1006"/>
      <c r="F8" s="995"/>
      <c r="G8" s="995"/>
      <c r="H8" s="995"/>
      <c r="I8" s="995"/>
      <c r="J8" s="996"/>
      <c r="K8" s="995"/>
      <c r="L8" s="995"/>
      <c r="M8" s="997"/>
      <c r="N8" s="997"/>
      <c r="O8" s="997"/>
      <c r="P8" s="1006"/>
      <c r="Q8" s="1005" t="s">
        <v>198</v>
      </c>
      <c r="R8" s="1008">
        <v>998</v>
      </c>
      <c r="S8" s="1006"/>
      <c r="T8" s="995"/>
      <c r="U8" s="995"/>
      <c r="V8" s="995"/>
      <c r="W8" s="995"/>
      <c r="X8" s="996"/>
      <c r="Y8" s="995"/>
      <c r="Z8" s="995"/>
      <c r="AA8" s="997"/>
      <c r="AB8" s="997"/>
      <c r="AC8" s="997"/>
      <c r="AD8" s="1006"/>
      <c r="AE8" s="1005" t="s">
        <v>198</v>
      </c>
      <c r="AF8" s="1008">
        <v>40944</v>
      </c>
      <c r="AG8" s="1006"/>
      <c r="AH8" s="995"/>
      <c r="AI8" s="995"/>
      <c r="AJ8" s="995"/>
      <c r="AK8" s="995"/>
      <c r="AL8" s="996"/>
      <c r="AM8" s="995"/>
      <c r="AN8" s="995"/>
      <c r="AO8" s="997"/>
      <c r="AP8" s="997"/>
      <c r="AQ8" s="997"/>
      <c r="AR8" s="1006"/>
      <c r="AS8" s="1005" t="s">
        <v>198</v>
      </c>
      <c r="AT8" s="1008">
        <v>60500</v>
      </c>
      <c r="AU8" s="1006"/>
      <c r="AV8" s="995"/>
      <c r="AW8" s="995"/>
      <c r="AX8" s="995"/>
      <c r="AY8" s="995"/>
      <c r="AZ8" s="996"/>
      <c r="BA8" s="995"/>
      <c r="BB8" s="995"/>
      <c r="BC8" s="997"/>
      <c r="BD8" s="997"/>
    </row>
    <row r="9" spans="3:56">
      <c r="C9" s="1005" t="s">
        <v>199</v>
      </c>
      <c r="D9" s="1007">
        <v>60306</v>
      </c>
      <c r="E9" s="1006"/>
      <c r="F9" s="995"/>
      <c r="G9" s="995"/>
      <c r="H9" s="995"/>
      <c r="I9" s="995"/>
      <c r="J9" s="996"/>
      <c r="K9" s="995"/>
      <c r="L9" s="995"/>
      <c r="M9" s="997"/>
      <c r="N9" s="997"/>
      <c r="O9" s="997"/>
      <c r="P9" s="1006"/>
      <c r="Q9" s="1005" t="s">
        <v>199</v>
      </c>
      <c r="R9" s="1008">
        <v>1097</v>
      </c>
      <c r="S9" s="1006"/>
      <c r="T9" s="995"/>
      <c r="U9" s="995"/>
      <c r="V9" s="995"/>
      <c r="W9" s="995"/>
      <c r="X9" s="996"/>
      <c r="Y9" s="995"/>
      <c r="Z9" s="995"/>
      <c r="AA9" s="997"/>
      <c r="AB9" s="997"/>
      <c r="AC9" s="997"/>
      <c r="AD9" s="1006"/>
      <c r="AE9" s="1005" t="s">
        <v>199</v>
      </c>
      <c r="AF9" s="1008">
        <v>48285</v>
      </c>
      <c r="AG9" s="1006"/>
      <c r="AH9" s="995"/>
      <c r="AI9" s="995"/>
      <c r="AJ9" s="995"/>
      <c r="AK9" s="995"/>
      <c r="AL9" s="996"/>
      <c r="AM9" s="995"/>
      <c r="AN9" s="995"/>
      <c r="AO9" s="997"/>
      <c r="AP9" s="997"/>
      <c r="AQ9" s="997"/>
      <c r="AR9" s="1006"/>
      <c r="AS9" s="1005" t="s">
        <v>199</v>
      </c>
      <c r="AT9" s="1008">
        <v>79000</v>
      </c>
      <c r="AU9" s="1006"/>
      <c r="AV9" s="995"/>
      <c r="AW9" s="995"/>
      <c r="AX9" s="995"/>
      <c r="AY9" s="995"/>
      <c r="AZ9" s="996"/>
      <c r="BA9" s="995"/>
      <c r="BB9" s="995"/>
      <c r="BC9" s="997"/>
      <c r="BD9" s="997"/>
    </row>
    <row r="10" spans="3:56">
      <c r="C10" s="1005" t="s">
        <v>200</v>
      </c>
      <c r="D10" s="1007">
        <v>68982</v>
      </c>
      <c r="E10" s="1006"/>
      <c r="F10" s="995"/>
      <c r="G10" s="995"/>
      <c r="H10" s="995"/>
      <c r="I10" s="995"/>
      <c r="J10" s="996"/>
      <c r="K10" s="995"/>
      <c r="L10" s="995"/>
      <c r="M10" s="997"/>
      <c r="N10" s="997"/>
      <c r="O10" s="997"/>
      <c r="P10" s="1006"/>
      <c r="Q10" s="1005" t="s">
        <v>200</v>
      </c>
      <c r="R10" s="1008">
        <v>762</v>
      </c>
      <c r="S10" s="1006"/>
      <c r="T10" s="995"/>
      <c r="U10" s="995"/>
      <c r="V10" s="995"/>
      <c r="W10" s="995"/>
      <c r="X10" s="996"/>
      <c r="Y10" s="995"/>
      <c r="Z10" s="995"/>
      <c r="AA10" s="997"/>
      <c r="AB10" s="997"/>
      <c r="AC10" s="997"/>
      <c r="AD10" s="1006"/>
      <c r="AE10" s="1005" t="s">
        <v>200</v>
      </c>
      <c r="AF10" s="1008">
        <v>43004</v>
      </c>
      <c r="AG10" s="1006"/>
      <c r="AH10" s="995"/>
      <c r="AI10" s="995"/>
      <c r="AJ10" s="995"/>
      <c r="AK10" s="995"/>
      <c r="AL10" s="996"/>
      <c r="AM10" s="995"/>
      <c r="AN10" s="995"/>
      <c r="AO10" s="997"/>
      <c r="AP10" s="997"/>
      <c r="AQ10" s="997"/>
      <c r="AR10" s="1006"/>
      <c r="AS10" s="1005" t="s">
        <v>200</v>
      </c>
      <c r="AT10" s="1008">
        <v>69000</v>
      </c>
      <c r="AU10" s="1006"/>
      <c r="AV10" s="995"/>
      <c r="AW10" s="995"/>
      <c r="AX10" s="995"/>
      <c r="AY10" s="995"/>
      <c r="AZ10" s="996"/>
      <c r="BA10" s="995"/>
      <c r="BB10" s="995"/>
      <c r="BC10" s="997"/>
      <c r="BD10" s="997"/>
    </row>
    <row r="11" spans="3:56">
      <c r="C11" s="1005" t="s">
        <v>201</v>
      </c>
      <c r="D11" s="1007">
        <v>89333</v>
      </c>
      <c r="E11" s="1006"/>
      <c r="F11" s="995"/>
      <c r="G11" s="995"/>
      <c r="H11" s="995"/>
      <c r="I11" s="995"/>
      <c r="J11" s="996"/>
      <c r="K11" s="995"/>
      <c r="L11" s="995"/>
      <c r="M11" s="997"/>
      <c r="N11" s="997"/>
      <c r="O11" s="997"/>
      <c r="P11" s="1006"/>
      <c r="Q11" s="1005" t="s">
        <v>201</v>
      </c>
      <c r="R11" s="1008">
        <v>1006</v>
      </c>
      <c r="S11" s="1006"/>
      <c r="T11" s="995"/>
      <c r="U11" s="995"/>
      <c r="V11" s="995"/>
      <c r="W11" s="995"/>
      <c r="X11" s="996"/>
      <c r="Y11" s="995"/>
      <c r="Z11" s="995"/>
      <c r="AA11" s="997"/>
      <c r="AB11" s="997"/>
      <c r="AC11" s="997"/>
      <c r="AD11" s="1006"/>
      <c r="AE11" s="1005" t="s">
        <v>201</v>
      </c>
      <c r="AF11" s="1008">
        <v>49487</v>
      </c>
      <c r="AG11" s="1006"/>
      <c r="AH11" s="995"/>
      <c r="AI11" s="995"/>
      <c r="AJ11" s="995"/>
      <c r="AK11" s="995"/>
      <c r="AL11" s="996"/>
      <c r="AM11" s="995"/>
      <c r="AN11" s="995"/>
      <c r="AO11" s="997"/>
      <c r="AP11" s="997"/>
      <c r="AQ11" s="997"/>
      <c r="AR11" s="1006"/>
      <c r="AS11" s="1005" t="s">
        <v>201</v>
      </c>
      <c r="AT11" s="1008">
        <v>76000</v>
      </c>
      <c r="AU11" s="1006"/>
      <c r="AV11" s="995"/>
      <c r="AW11" s="995"/>
      <c r="AX11" s="995"/>
      <c r="AY11" s="995"/>
      <c r="AZ11" s="996"/>
      <c r="BA11" s="995"/>
      <c r="BB11" s="995"/>
      <c r="BC11" s="997"/>
      <c r="BD11" s="997"/>
    </row>
    <row r="12" spans="3:56">
      <c r="C12" s="1005" t="s">
        <v>202</v>
      </c>
      <c r="D12" s="1007">
        <v>103549</v>
      </c>
      <c r="E12" s="1006"/>
      <c r="F12" s="995"/>
      <c r="G12" s="995"/>
      <c r="H12" s="995"/>
      <c r="I12" s="995"/>
      <c r="J12" s="996"/>
      <c r="K12" s="995"/>
      <c r="L12" s="995"/>
      <c r="M12" s="997"/>
      <c r="N12" s="997"/>
      <c r="O12" s="997"/>
      <c r="P12" s="1006"/>
      <c r="Q12" s="1005" t="s">
        <v>202</v>
      </c>
      <c r="R12" s="1008">
        <v>925</v>
      </c>
      <c r="S12" s="1006"/>
      <c r="T12" s="995"/>
      <c r="U12" s="995"/>
      <c r="V12" s="995"/>
      <c r="W12" s="995"/>
      <c r="X12" s="996"/>
      <c r="Y12" s="995"/>
      <c r="Z12" s="995"/>
      <c r="AA12" s="997"/>
      <c r="AB12" s="997"/>
      <c r="AC12" s="997"/>
      <c r="AD12" s="1006"/>
      <c r="AE12" s="1005" t="s">
        <v>202</v>
      </c>
      <c r="AF12" s="1008">
        <v>46444</v>
      </c>
      <c r="AG12" s="1006"/>
      <c r="AH12" s="995"/>
      <c r="AI12" s="995"/>
      <c r="AJ12" s="995"/>
      <c r="AK12" s="995"/>
      <c r="AL12" s="996"/>
      <c r="AM12" s="995"/>
      <c r="AN12" s="995"/>
      <c r="AO12" s="997"/>
      <c r="AP12" s="997"/>
      <c r="AQ12" s="997"/>
      <c r="AR12" s="1006"/>
      <c r="AS12" s="1005" t="s">
        <v>202</v>
      </c>
      <c r="AT12" s="1008">
        <v>76500</v>
      </c>
      <c r="AU12" s="1006"/>
      <c r="AV12" s="995"/>
      <c r="AW12" s="995"/>
      <c r="AX12" s="995"/>
      <c r="AY12" s="995"/>
      <c r="AZ12" s="996"/>
      <c r="BA12" s="995"/>
      <c r="BB12" s="995"/>
      <c r="BC12" s="997"/>
      <c r="BD12" s="997"/>
    </row>
    <row r="13" spans="3:56">
      <c r="C13" s="1005" t="s">
        <v>203</v>
      </c>
      <c r="D13" s="1007">
        <v>96251</v>
      </c>
      <c r="E13" s="1006"/>
      <c r="F13" s="995"/>
      <c r="G13" s="995"/>
      <c r="H13" s="995"/>
      <c r="I13" s="995"/>
      <c r="J13" s="996"/>
      <c r="K13" s="995"/>
      <c r="L13" s="995"/>
      <c r="M13" s="997"/>
      <c r="N13" s="997"/>
      <c r="O13" s="997"/>
      <c r="P13" s="1006"/>
      <c r="Q13" s="1005" t="s">
        <v>203</v>
      </c>
      <c r="R13" s="1008">
        <v>1623</v>
      </c>
      <c r="S13" s="1006"/>
      <c r="T13" s="995"/>
      <c r="U13" s="995"/>
      <c r="V13" s="995"/>
      <c r="W13" s="995"/>
      <c r="X13" s="996"/>
      <c r="Y13" s="995"/>
      <c r="Z13" s="995"/>
      <c r="AA13" s="997"/>
      <c r="AB13" s="997"/>
      <c r="AC13" s="997"/>
      <c r="AD13" s="1006"/>
      <c r="AE13" s="1005" t="s">
        <v>203</v>
      </c>
      <c r="AF13" s="1008">
        <v>46624</v>
      </c>
      <c r="AG13" s="1006"/>
      <c r="AH13" s="995"/>
      <c r="AI13" s="995"/>
      <c r="AJ13" s="995"/>
      <c r="AK13" s="995"/>
      <c r="AL13" s="996"/>
      <c r="AM13" s="995"/>
      <c r="AN13" s="995"/>
      <c r="AO13" s="997"/>
      <c r="AP13" s="997"/>
      <c r="AQ13" s="997"/>
      <c r="AR13" s="1006"/>
      <c r="AS13" s="1005" t="s">
        <v>203</v>
      </c>
      <c r="AT13" s="1008">
        <v>78000</v>
      </c>
      <c r="AU13" s="1006"/>
      <c r="AV13" s="995"/>
      <c r="AW13" s="995"/>
      <c r="AX13" s="995"/>
      <c r="AY13" s="995"/>
      <c r="AZ13" s="996"/>
      <c r="BA13" s="995"/>
      <c r="BB13" s="995"/>
      <c r="BC13" s="997"/>
      <c r="BD13" s="997"/>
    </row>
    <row r="14" spans="3:56">
      <c r="C14" s="1005" t="s">
        <v>204</v>
      </c>
      <c r="D14" s="1007">
        <v>80177</v>
      </c>
      <c r="E14" s="1006"/>
      <c r="F14" s="995"/>
      <c r="G14" s="995"/>
      <c r="H14" s="995"/>
      <c r="I14" s="995"/>
      <c r="J14" s="996"/>
      <c r="K14" s="995"/>
      <c r="L14" s="995"/>
      <c r="M14" s="997"/>
      <c r="N14" s="997"/>
      <c r="O14" s="997"/>
      <c r="P14" s="1006"/>
      <c r="Q14" s="1005" t="s">
        <v>204</v>
      </c>
      <c r="R14" s="1008">
        <v>967</v>
      </c>
      <c r="S14" s="1006"/>
      <c r="T14" s="995"/>
      <c r="U14" s="995"/>
      <c r="V14" s="995"/>
      <c r="W14" s="995"/>
      <c r="X14" s="996"/>
      <c r="Y14" s="995"/>
      <c r="Z14" s="995"/>
      <c r="AA14" s="997"/>
      <c r="AB14" s="997"/>
      <c r="AC14" s="997"/>
      <c r="AD14" s="1006"/>
      <c r="AE14" s="1005" t="s">
        <v>204</v>
      </c>
      <c r="AF14" s="1008">
        <v>47258</v>
      </c>
      <c r="AG14" s="1006"/>
      <c r="AH14" s="995"/>
      <c r="AI14" s="995"/>
      <c r="AJ14" s="995"/>
      <c r="AK14" s="995"/>
      <c r="AL14" s="996"/>
      <c r="AM14" s="995"/>
      <c r="AN14" s="995"/>
      <c r="AO14" s="997"/>
      <c r="AP14" s="997"/>
      <c r="AQ14" s="997"/>
      <c r="AR14" s="1006"/>
      <c r="AS14" s="1005" t="s">
        <v>204</v>
      </c>
      <c r="AT14" s="1008">
        <v>63500</v>
      </c>
      <c r="AU14" s="1006"/>
      <c r="AV14" s="995"/>
      <c r="AW14" s="995"/>
      <c r="AX14" s="995"/>
      <c r="AY14" s="995"/>
      <c r="AZ14" s="996"/>
      <c r="BA14" s="995"/>
      <c r="BB14" s="995"/>
      <c r="BC14" s="997"/>
      <c r="BD14" s="997"/>
    </row>
    <row r="15" spans="3:56">
      <c r="C15" s="1005" t="s">
        <v>205</v>
      </c>
      <c r="D15" s="1007">
        <v>83538</v>
      </c>
      <c r="E15" s="1006"/>
      <c r="F15" s="995"/>
      <c r="G15" s="995"/>
      <c r="H15" s="995"/>
      <c r="I15" s="995"/>
      <c r="J15" s="996"/>
      <c r="K15" s="995"/>
      <c r="L15" s="995"/>
      <c r="M15" s="997"/>
      <c r="N15" s="997"/>
      <c r="O15" s="997"/>
      <c r="P15" s="1006"/>
      <c r="Q15" s="1005" t="s">
        <v>205</v>
      </c>
      <c r="R15" s="1008">
        <v>1027</v>
      </c>
      <c r="S15" s="1006"/>
      <c r="T15" s="995"/>
      <c r="U15" s="995"/>
      <c r="V15" s="995"/>
      <c r="W15" s="995"/>
      <c r="X15" s="996"/>
      <c r="Y15" s="995"/>
      <c r="Z15" s="995"/>
      <c r="AA15" s="997"/>
      <c r="AB15" s="997"/>
      <c r="AC15" s="997"/>
      <c r="AD15" s="1006"/>
      <c r="AE15" s="1005" t="s">
        <v>205</v>
      </c>
      <c r="AF15" s="1008">
        <v>46927</v>
      </c>
      <c r="AG15" s="1006"/>
      <c r="AH15" s="995"/>
      <c r="AI15" s="995"/>
      <c r="AJ15" s="995"/>
      <c r="AK15" s="995"/>
      <c r="AL15" s="996"/>
      <c r="AM15" s="995"/>
      <c r="AN15" s="995"/>
      <c r="AO15" s="997"/>
      <c r="AP15" s="997"/>
      <c r="AQ15" s="997"/>
      <c r="AR15" s="1006"/>
      <c r="AS15" s="1005" t="s">
        <v>205</v>
      </c>
      <c r="AT15" s="1008">
        <v>101000</v>
      </c>
      <c r="AU15" s="1006"/>
      <c r="AV15" s="995"/>
      <c r="AW15" s="995"/>
      <c r="AX15" s="995"/>
      <c r="AY15" s="995"/>
      <c r="AZ15" s="996"/>
      <c r="BA15" s="995"/>
      <c r="BB15" s="995"/>
      <c r="BC15" s="997"/>
      <c r="BD15" s="997"/>
    </row>
    <row r="16" spans="3:56">
      <c r="C16" s="1005" t="s">
        <v>206</v>
      </c>
      <c r="D16" s="1007">
        <v>83985</v>
      </c>
      <c r="E16" s="1006"/>
      <c r="F16" s="995"/>
      <c r="G16" s="995"/>
      <c r="H16" s="995"/>
      <c r="I16" s="995"/>
      <c r="J16" s="996"/>
      <c r="K16" s="995"/>
      <c r="L16" s="995"/>
      <c r="M16" s="997"/>
      <c r="N16" s="997"/>
      <c r="O16" s="997"/>
      <c r="P16" s="1006"/>
      <c r="Q16" s="1005" t="s">
        <v>206</v>
      </c>
      <c r="R16" s="1008">
        <v>794</v>
      </c>
      <c r="S16" s="1006"/>
      <c r="T16" s="995"/>
      <c r="U16" s="995"/>
      <c r="V16" s="995"/>
      <c r="W16" s="995"/>
      <c r="X16" s="996"/>
      <c r="Y16" s="995"/>
      <c r="Z16" s="995"/>
      <c r="AA16" s="997"/>
      <c r="AB16" s="997"/>
      <c r="AC16" s="997"/>
      <c r="AD16" s="1006"/>
      <c r="AE16" s="1005" t="s">
        <v>206</v>
      </c>
      <c r="AF16" s="1008">
        <v>58130</v>
      </c>
      <c r="AG16" s="1006"/>
      <c r="AH16" s="995"/>
      <c r="AI16" s="995"/>
      <c r="AJ16" s="995"/>
      <c r="AK16" s="995"/>
      <c r="AL16" s="996"/>
      <c r="AM16" s="995"/>
      <c r="AN16" s="995"/>
      <c r="AO16" s="997"/>
      <c r="AP16" s="997"/>
      <c r="AQ16" s="997"/>
      <c r="AR16" s="1006"/>
      <c r="AS16" s="1005" t="s">
        <v>206</v>
      </c>
      <c r="AT16" s="1008">
        <v>101000</v>
      </c>
      <c r="AU16" s="1006"/>
      <c r="AV16" s="995"/>
      <c r="AW16" s="995"/>
      <c r="AX16" s="995"/>
      <c r="AY16" s="995"/>
      <c r="AZ16" s="996"/>
      <c r="BA16" s="995"/>
      <c r="BB16" s="995"/>
      <c r="BC16" s="997"/>
      <c r="BD16" s="997"/>
    </row>
    <row r="17" spans="3:56">
      <c r="C17" s="1005" t="s">
        <v>207</v>
      </c>
      <c r="D17" s="1007">
        <v>100491</v>
      </c>
      <c r="E17" s="1006"/>
      <c r="F17" s="995"/>
      <c r="G17" s="995"/>
      <c r="H17" s="995"/>
      <c r="I17" s="995"/>
      <c r="J17" s="996"/>
      <c r="K17" s="995"/>
      <c r="L17" s="995"/>
      <c r="M17" s="997"/>
      <c r="N17" s="997"/>
      <c r="O17" s="997"/>
      <c r="P17" s="1006"/>
      <c r="Q17" s="1005" t="s">
        <v>207</v>
      </c>
      <c r="R17" s="1008">
        <v>878</v>
      </c>
      <c r="S17" s="1006"/>
      <c r="T17" s="995"/>
      <c r="U17" s="995"/>
      <c r="V17" s="995"/>
      <c r="W17" s="995"/>
      <c r="X17" s="996"/>
      <c r="Y17" s="995"/>
      <c r="Z17" s="995"/>
      <c r="AA17" s="997"/>
      <c r="AB17" s="997"/>
      <c r="AC17" s="997"/>
      <c r="AD17" s="1006"/>
      <c r="AE17" s="1005" t="s">
        <v>207</v>
      </c>
      <c r="AF17" s="1008">
        <v>61049</v>
      </c>
      <c r="AG17" s="1006"/>
      <c r="AH17" s="995"/>
      <c r="AI17" s="995"/>
      <c r="AJ17" s="995"/>
      <c r="AK17" s="995"/>
      <c r="AL17" s="996"/>
      <c r="AM17" s="995"/>
      <c r="AN17" s="995"/>
      <c r="AO17" s="997"/>
      <c r="AP17" s="997"/>
      <c r="AQ17" s="997"/>
      <c r="AR17" s="1006"/>
      <c r="AS17" s="1005" t="s">
        <v>207</v>
      </c>
      <c r="AT17" s="1008">
        <v>141000</v>
      </c>
      <c r="AU17" s="1006"/>
      <c r="AV17" s="995"/>
      <c r="AW17" s="995"/>
      <c r="AX17" s="995"/>
      <c r="AY17" s="995"/>
      <c r="AZ17" s="996"/>
      <c r="BA17" s="995"/>
      <c r="BB17" s="995"/>
      <c r="BC17" s="997"/>
      <c r="BD17" s="997"/>
    </row>
    <row r="18" spans="3:56">
      <c r="C18" s="1005"/>
      <c r="D18" s="1007"/>
      <c r="E18" s="1006"/>
      <c r="F18" s="995"/>
      <c r="G18" s="995"/>
      <c r="H18" s="995"/>
      <c r="I18" s="995"/>
      <c r="J18" s="996"/>
      <c r="K18" s="995"/>
      <c r="L18" s="995"/>
      <c r="M18" s="997"/>
      <c r="N18" s="997"/>
      <c r="O18" s="997"/>
      <c r="P18" s="1006"/>
      <c r="Q18" s="1005"/>
      <c r="S18" s="1006"/>
      <c r="T18" s="995"/>
      <c r="U18" s="995"/>
      <c r="V18" s="995"/>
      <c r="W18" s="995"/>
      <c r="X18" s="996"/>
      <c r="Y18" s="995"/>
      <c r="Z18" s="995"/>
      <c r="AA18" s="997"/>
      <c r="AB18" s="997"/>
      <c r="AC18" s="997"/>
      <c r="AD18" s="1006"/>
      <c r="AE18" s="1005"/>
      <c r="AF18" s="1008"/>
      <c r="AG18" s="1006"/>
      <c r="AH18" s="995"/>
      <c r="AI18" s="995"/>
      <c r="AJ18" s="995"/>
      <c r="AK18" s="995"/>
      <c r="AL18" s="996"/>
      <c r="AM18" s="995"/>
      <c r="AN18" s="995"/>
      <c r="AO18" s="997"/>
      <c r="AP18" s="997"/>
      <c r="AQ18" s="997"/>
      <c r="AR18" s="1006"/>
      <c r="AS18" s="1005"/>
      <c r="AT18" s="1008"/>
      <c r="AU18" s="1006"/>
      <c r="AV18" s="995"/>
      <c r="AW18" s="995"/>
      <c r="AX18" s="995"/>
      <c r="AY18" s="995"/>
      <c r="AZ18" s="996"/>
      <c r="BA18" s="995"/>
      <c r="BB18" s="995"/>
      <c r="BC18" s="997"/>
      <c r="BD18" s="997"/>
    </row>
    <row r="19" spans="3:56">
      <c r="C19" s="1005">
        <v>2024</v>
      </c>
      <c r="D19" s="1007">
        <f>SUM(D20:D31)</f>
        <v>1343572</v>
      </c>
      <c r="E19" s="1009">
        <f t="shared" ref="E19:E31" si="0">D19/D5 -1</f>
        <v>0.49747666134655333</v>
      </c>
      <c r="F19" s="995"/>
      <c r="G19" s="995"/>
      <c r="H19" s="995"/>
      <c r="I19" s="995"/>
      <c r="J19" s="996"/>
      <c r="K19" s="995"/>
      <c r="L19" s="995"/>
      <c r="M19" s="997"/>
      <c r="N19" s="997"/>
      <c r="O19" s="997"/>
      <c r="P19" s="1006"/>
      <c r="Q19" s="1005">
        <v>2024</v>
      </c>
      <c r="R19" s="1008">
        <f>SUM(R20:R31)</f>
        <v>17366</v>
      </c>
      <c r="S19" s="1009">
        <f t="shared" ref="S19:S31" si="1">R19/R5 -1</f>
        <v>0.44259843827878376</v>
      </c>
      <c r="T19" s="995"/>
      <c r="U19" s="995"/>
      <c r="V19" s="995"/>
      <c r="W19" s="995"/>
      <c r="X19" s="996"/>
      <c r="Y19" s="995"/>
      <c r="Z19" s="995"/>
      <c r="AA19" s="997"/>
      <c r="AB19" s="997"/>
      <c r="AC19" s="997"/>
      <c r="AD19" s="1006"/>
      <c r="AE19" s="1005">
        <v>2024</v>
      </c>
      <c r="AF19" s="1008">
        <f>SUM(AF20:AF31)</f>
        <v>837640</v>
      </c>
      <c r="AG19" s="1009">
        <f t="shared" ref="AG19:AG31" si="2">AF19/AF5 -1</f>
        <v>0.49866261126269174</v>
      </c>
      <c r="AH19" s="995"/>
      <c r="AI19" s="995"/>
      <c r="AJ19" s="995"/>
      <c r="AK19" s="995"/>
      <c r="AL19" s="996"/>
      <c r="AM19" s="995"/>
      <c r="AN19" s="995"/>
      <c r="AO19" s="997"/>
      <c r="AP19" s="997"/>
      <c r="AQ19" s="997"/>
      <c r="AR19" s="1006"/>
      <c r="AS19" s="1005">
        <v>2024</v>
      </c>
      <c r="AT19" s="1008">
        <f>SUM(AT20:AT31)</f>
        <v>1697999.9220436593</v>
      </c>
      <c r="AU19" s="1009">
        <f t="shared" ref="AU19:AU31" si="3">AT19/AT5 -1</f>
        <v>0.7875565028357292</v>
      </c>
      <c r="AV19" s="995"/>
      <c r="AW19" s="995"/>
      <c r="AX19" s="995"/>
      <c r="AY19" s="995"/>
      <c r="AZ19" s="996"/>
      <c r="BA19" s="995"/>
      <c r="BB19" s="995"/>
      <c r="BC19" s="997"/>
      <c r="BD19" s="997"/>
    </row>
    <row r="20" spans="3:56">
      <c r="C20" s="1005" t="s">
        <v>196</v>
      </c>
      <c r="D20" s="1002">
        <f>SUM(F20:J20)</f>
        <v>107401</v>
      </c>
      <c r="E20" s="1009">
        <f t="shared" si="0"/>
        <v>2.877292418772563</v>
      </c>
      <c r="F20" s="1010">
        <v>50060</v>
      </c>
      <c r="G20" s="1010">
        <v>47718</v>
      </c>
      <c r="H20" s="1010">
        <v>4470</v>
      </c>
      <c r="I20" s="1010">
        <v>5153</v>
      </c>
      <c r="J20" s="1010"/>
      <c r="K20" s="1010">
        <f>10956+8425+755+989</f>
        <v>21125</v>
      </c>
      <c r="L20" s="1010">
        <f>1010+4403+61+58</f>
        <v>5532</v>
      </c>
      <c r="M20" s="1010">
        <f>4682</f>
        <v>4682</v>
      </c>
      <c r="N20" s="1010">
        <v>891</v>
      </c>
      <c r="O20" s="1010"/>
      <c r="P20" s="1006"/>
      <c r="Q20" s="1005" t="s">
        <v>196</v>
      </c>
      <c r="R20" s="1008">
        <f>'T01-2024'!E43</f>
        <v>1121</v>
      </c>
      <c r="S20" s="1009">
        <f t="shared" si="1"/>
        <v>0.30957943925233655</v>
      </c>
      <c r="T20" s="1008">
        <f>'T01-2024'!F43</f>
        <v>260</v>
      </c>
      <c r="U20" s="1008">
        <f>'T01-2024'!G43</f>
        <v>861</v>
      </c>
      <c r="V20" s="1008">
        <f>'T01-2024'!H43</f>
        <v>0</v>
      </c>
      <c r="W20" s="1008">
        <f>'T01-2024'!I43</f>
        <v>0</v>
      </c>
      <c r="X20" s="1008">
        <f>'T01-2024'!J43</f>
        <v>0</v>
      </c>
      <c r="Y20" s="1008">
        <f>'T01-2024'!K43</f>
        <v>219</v>
      </c>
      <c r="Z20" s="1008">
        <f>'T01-2024'!L43</f>
        <v>216</v>
      </c>
      <c r="AA20" s="1008">
        <f>'T01-2024'!M43</f>
        <v>0</v>
      </c>
      <c r="AB20" s="1008">
        <f>'T01-2024'!N43</f>
        <v>1121</v>
      </c>
      <c r="AC20" s="1008"/>
      <c r="AD20" s="1006"/>
      <c r="AE20" s="1005" t="s">
        <v>196</v>
      </c>
      <c r="AF20" s="1008">
        <f>'T01-2024'!E33</f>
        <v>67666</v>
      </c>
      <c r="AG20" s="1009">
        <f t="shared" si="2"/>
        <v>0.71915650406504072</v>
      </c>
      <c r="AH20" s="1008">
        <f>'T01-2024'!F33</f>
        <v>0</v>
      </c>
      <c r="AI20" s="1008">
        <f>'T01-2024'!G33</f>
        <v>0</v>
      </c>
      <c r="AJ20" s="1008">
        <f>'T01-2024'!H33</f>
        <v>23881</v>
      </c>
      <c r="AK20" s="1008">
        <f>'T01-2024'!I33</f>
        <v>43785</v>
      </c>
      <c r="AL20" s="1008">
        <f>'T01-2024'!J33</f>
        <v>0</v>
      </c>
      <c r="AM20" s="1008">
        <f>'T01-2024'!K33</f>
        <v>1833</v>
      </c>
      <c r="AN20" s="1008">
        <f>'T01-2024'!L33</f>
        <v>1221</v>
      </c>
      <c r="AO20" s="1008">
        <f>'T01-2024'!M33</f>
        <v>0</v>
      </c>
      <c r="AP20" s="1008">
        <f>'T01-2024'!N33</f>
        <v>0</v>
      </c>
      <c r="AQ20" s="1008"/>
      <c r="AR20" s="1006"/>
      <c r="AS20" s="1005" t="s">
        <v>196</v>
      </c>
      <c r="AT20" s="1008">
        <f>'T01-2024'!E52</f>
        <v>112000</v>
      </c>
      <c r="AU20" s="1009">
        <f t="shared" si="3"/>
        <v>1.0363636363636362</v>
      </c>
      <c r="AV20" s="1008">
        <f>'T01-2024'!F52</f>
        <v>52452</v>
      </c>
      <c r="AW20" s="1008">
        <f>'T01-2024'!G52</f>
        <v>59548</v>
      </c>
      <c r="AX20" s="1008">
        <f>'T01-2024'!H52</f>
        <v>0</v>
      </c>
      <c r="AY20" s="1008">
        <f>'T01-2024'!I52</f>
        <v>0</v>
      </c>
      <c r="AZ20" s="1008">
        <f>'T01-2024'!J52</f>
        <v>0</v>
      </c>
      <c r="BA20" s="1008">
        <f>'T01-2024'!K52</f>
        <v>0</v>
      </c>
      <c r="BB20" s="1008">
        <f>'T01-2024'!L52</f>
        <v>0</v>
      </c>
      <c r="BC20" s="1008">
        <f>'T01-2024'!M52</f>
        <v>0</v>
      </c>
      <c r="BD20" s="1008">
        <f>'T01-2024'!N52</f>
        <v>0</v>
      </c>
    </row>
    <row r="21" spans="3:56">
      <c r="C21" s="1005" t="s">
        <v>197</v>
      </c>
      <c r="D21" s="1002">
        <f>F21+G21+H21+I21+J21</f>
        <v>71667</v>
      </c>
      <c r="E21" s="1009">
        <f t="shared" si="0"/>
        <v>0.69573858930979826</v>
      </c>
      <c r="F21" s="1010">
        <v>32713</v>
      </c>
      <c r="G21" s="1010">
        <v>32947</v>
      </c>
      <c r="H21" s="1010">
        <v>2623</v>
      </c>
      <c r="I21" s="1010">
        <v>3384</v>
      </c>
      <c r="J21" s="1010"/>
      <c r="K21" s="1010">
        <f>7496+6249+531+631</f>
        <v>14907</v>
      </c>
      <c r="L21" s="1010">
        <f>265+1958+4+19</f>
        <v>2246</v>
      </c>
      <c r="M21" s="1010"/>
      <c r="N21" s="1010">
        <v>493</v>
      </c>
      <c r="O21" s="1010"/>
      <c r="P21" s="1006"/>
      <c r="Q21" s="1005" t="s">
        <v>197</v>
      </c>
      <c r="R21" s="1008">
        <f>'T02-2024'!E43</f>
        <v>1436</v>
      </c>
      <c r="S21" s="1009">
        <f t="shared" si="1"/>
        <v>0.29954751131221724</v>
      </c>
      <c r="T21" s="1008">
        <f>'T02-2024'!F43</f>
        <v>270</v>
      </c>
      <c r="U21" s="1008">
        <f>'T02-2024'!G43</f>
        <v>1166</v>
      </c>
      <c r="V21" s="1008">
        <f>'T02-2024'!H43</f>
        <v>0</v>
      </c>
      <c r="W21" s="1008">
        <f>'T02-2024'!I43</f>
        <v>0</v>
      </c>
      <c r="X21" s="1008">
        <f>'T02-2024'!J43</f>
        <v>0</v>
      </c>
      <c r="Y21" s="1008">
        <f>'T02-2024'!K43</f>
        <v>387</v>
      </c>
      <c r="Z21" s="1008">
        <f>'T02-2024'!L43</f>
        <v>21</v>
      </c>
      <c r="AA21" s="1008">
        <f>'T02-2024'!M43</f>
        <v>0</v>
      </c>
      <c r="AB21" s="1008">
        <f>'T02-2024'!N43</f>
        <v>1436</v>
      </c>
      <c r="AC21" s="1008"/>
      <c r="AD21" s="1006"/>
      <c r="AE21" s="1005" t="s">
        <v>197</v>
      </c>
      <c r="AF21" s="1008">
        <f>'T02-2024'!E33</f>
        <v>51377</v>
      </c>
      <c r="AG21" s="1009">
        <f t="shared" si="2"/>
        <v>0.63553305956132822</v>
      </c>
      <c r="AH21" s="1008">
        <f>'T02-2024'!F33</f>
        <v>0</v>
      </c>
      <c r="AI21" s="1008">
        <f>'T02-2024'!G33</f>
        <v>0</v>
      </c>
      <c r="AJ21" s="1008">
        <f>'T02-2024'!H33</f>
        <v>17573</v>
      </c>
      <c r="AK21" s="1008">
        <f>'T02-2024'!I33</f>
        <v>33804</v>
      </c>
      <c r="AL21" s="1008">
        <f>'T02-2024'!J33</f>
        <v>0</v>
      </c>
      <c r="AM21" s="1008">
        <f>'T02-2024'!K33</f>
        <v>1549</v>
      </c>
      <c r="AN21" s="1008">
        <f>'T02-2024'!L33</f>
        <v>670</v>
      </c>
      <c r="AO21" s="1008">
        <f>'T02-2024'!M33</f>
        <v>0</v>
      </c>
      <c r="AP21" s="1008">
        <f>'T02-2024'!N33</f>
        <v>51377</v>
      </c>
      <c r="AQ21" s="1008"/>
      <c r="AR21" s="1006"/>
      <c r="AS21" s="1005" t="s">
        <v>197</v>
      </c>
      <c r="AT21" s="1008">
        <f>'T02-2024'!E52</f>
        <v>102000</v>
      </c>
      <c r="AU21" s="1009">
        <f t="shared" si="3"/>
        <v>1.0647773279352228</v>
      </c>
      <c r="AV21" s="1008">
        <f>'T02-2024'!F52</f>
        <v>43210</v>
      </c>
      <c r="AW21" s="1008">
        <f>'T02-2024'!G52</f>
        <v>58790</v>
      </c>
      <c r="AX21" s="1008">
        <f>'T02-2024'!H52</f>
        <v>0</v>
      </c>
      <c r="AY21" s="1008">
        <f>'T02-2024'!I52</f>
        <v>0</v>
      </c>
      <c r="AZ21" s="1008">
        <f>'T02-2024'!J52</f>
        <v>0</v>
      </c>
      <c r="BA21" s="1008">
        <f>'T02-2024'!K52</f>
        <v>0</v>
      </c>
      <c r="BB21" s="1008">
        <f>'T02-2024'!L52</f>
        <v>0</v>
      </c>
      <c r="BC21" s="1008">
        <f>'T02-2024'!M52</f>
        <v>0</v>
      </c>
      <c r="BD21" s="1008">
        <f>'T02-2024'!N52</f>
        <v>0</v>
      </c>
    </row>
    <row r="22" spans="3:56">
      <c r="C22" s="1005" t="s">
        <v>198</v>
      </c>
      <c r="D22" s="1002">
        <f t="shared" ref="D22:D31" si="4">SUM(F22:J22)</f>
        <v>97692</v>
      </c>
      <c r="E22" s="1009">
        <f t="shared" si="0"/>
        <v>0.61077676466223685</v>
      </c>
      <c r="F22" s="1010">
        <v>45662</v>
      </c>
      <c r="G22" s="1010">
        <v>42066</v>
      </c>
      <c r="H22" s="1010">
        <v>4367</v>
      </c>
      <c r="I22" s="1010">
        <v>5597</v>
      </c>
      <c r="J22" s="1010"/>
      <c r="K22" s="1010">
        <v>24730</v>
      </c>
      <c r="L22" s="1010">
        <f>3439+6882+423+396</f>
        <v>11140</v>
      </c>
      <c r="M22" s="1010">
        <v>6769</v>
      </c>
      <c r="N22" s="1010">
        <v>1095</v>
      </c>
      <c r="O22" s="1010"/>
      <c r="P22" s="1006"/>
      <c r="Q22" s="1005" t="s">
        <v>198</v>
      </c>
      <c r="R22" s="1008">
        <f>'T03-2024'!E43</f>
        <v>1206</v>
      </c>
      <c r="S22" s="1009">
        <f t="shared" si="1"/>
        <v>0.20841683366733466</v>
      </c>
      <c r="T22" s="1008">
        <f>'T03-2024'!F43</f>
        <v>398</v>
      </c>
      <c r="U22" s="1008">
        <f>'T03-2024'!G43</f>
        <v>808</v>
      </c>
      <c r="V22" s="1008">
        <f>'T03-2024'!H43</f>
        <v>0</v>
      </c>
      <c r="W22" s="1008">
        <f>'T03-2024'!I43</f>
        <v>0</v>
      </c>
      <c r="X22" s="1008">
        <f>'T03-2024'!J43</f>
        <v>0</v>
      </c>
      <c r="Y22" s="1008">
        <f>'T03-2024'!K43</f>
        <v>223</v>
      </c>
      <c r="Z22" s="1008">
        <f>'T03-2024'!L43</f>
        <v>29</v>
      </c>
      <c r="AA22" s="1008">
        <f>'T03-2024'!M43</f>
        <v>0</v>
      </c>
      <c r="AB22" s="1008">
        <f>'T03-2024'!N43</f>
        <v>1206</v>
      </c>
      <c r="AC22" s="1008"/>
      <c r="AD22" s="1006"/>
      <c r="AE22" s="1005" t="s">
        <v>198</v>
      </c>
      <c r="AF22" s="1008">
        <f>'T03-2024'!E33</f>
        <v>57750</v>
      </c>
      <c r="AG22" s="1009">
        <f t="shared" si="2"/>
        <v>0.41046307151230943</v>
      </c>
      <c r="AH22" s="1008">
        <f>'T03-2024'!F33</f>
        <v>0</v>
      </c>
      <c r="AI22" s="1008">
        <f>'T03-2024'!G33</f>
        <v>0</v>
      </c>
      <c r="AJ22" s="1008">
        <f>'T03-2024'!H33</f>
        <v>18731</v>
      </c>
      <c r="AK22" s="1008">
        <f>'T03-2024'!I33</f>
        <v>39019</v>
      </c>
      <c r="AL22" s="1008">
        <f>'T03-2024'!J33</f>
        <v>0</v>
      </c>
      <c r="AM22" s="1008">
        <f>'T03-2024'!K33</f>
        <v>1718</v>
      </c>
      <c r="AN22" s="1008">
        <f>'T03-2024'!L33</f>
        <v>14572</v>
      </c>
      <c r="AO22" s="1008">
        <f>'T03-2024'!M33</f>
        <v>0</v>
      </c>
      <c r="AP22" s="1008">
        <f>'T03-2024'!N33</f>
        <v>0</v>
      </c>
      <c r="AQ22" s="1008"/>
      <c r="AR22" s="1006"/>
      <c r="AS22" s="1005" t="s">
        <v>198</v>
      </c>
      <c r="AT22" s="1008">
        <f>'T03-2024'!E52</f>
        <v>115000</v>
      </c>
      <c r="AU22" s="1009">
        <f t="shared" si="3"/>
        <v>0.90082644628099184</v>
      </c>
      <c r="AV22" s="1008">
        <f>'T03-2024'!F52</f>
        <v>52610</v>
      </c>
      <c r="AW22" s="1008">
        <f>'T03-2024'!G52</f>
        <v>62390</v>
      </c>
      <c r="AX22" s="1008">
        <f>'T03-2024'!H52</f>
        <v>0</v>
      </c>
      <c r="AY22" s="1008">
        <f>'T03-2024'!I52</f>
        <v>0</v>
      </c>
      <c r="AZ22" s="1008">
        <f>'T03-2024'!J52</f>
        <v>0</v>
      </c>
      <c r="BA22" s="1008">
        <f>'T03-2024'!K52</f>
        <v>0</v>
      </c>
      <c r="BB22" s="1008">
        <f>'T03-2024'!L52</f>
        <v>0</v>
      </c>
      <c r="BC22" s="1008">
        <f>'T03-2024'!M52</f>
        <v>0</v>
      </c>
      <c r="BD22" s="1008">
        <f>'T03-2024'!N52</f>
        <v>0</v>
      </c>
    </row>
    <row r="23" spans="3:56">
      <c r="C23" s="1005" t="s">
        <v>199</v>
      </c>
      <c r="D23" s="1002">
        <f t="shared" si="4"/>
        <v>112321</v>
      </c>
      <c r="E23" s="1009">
        <f t="shared" si="0"/>
        <v>0.86251782575531455</v>
      </c>
      <c r="F23" s="1010">
        <v>56245</v>
      </c>
      <c r="G23" s="1010">
        <v>49188</v>
      </c>
      <c r="H23" s="1010">
        <v>3248</v>
      </c>
      <c r="I23" s="1010">
        <v>3640</v>
      </c>
      <c r="J23" s="1010"/>
      <c r="K23" s="1010">
        <f>12240+9149+672+962</f>
        <v>23023</v>
      </c>
      <c r="L23" s="1010">
        <f>1231+4145+70+46</f>
        <v>5492</v>
      </c>
      <c r="M23" s="1010">
        <v>4808</v>
      </c>
      <c r="N23" s="1010">
        <v>452</v>
      </c>
      <c r="O23" s="1010"/>
      <c r="P23" s="1006"/>
      <c r="Q23" s="1005" t="s">
        <v>199</v>
      </c>
      <c r="R23" s="1008">
        <f>'T04-2024'!E45</f>
        <v>1791</v>
      </c>
      <c r="S23" s="1009">
        <f t="shared" si="1"/>
        <v>0.63263445761166825</v>
      </c>
      <c r="T23" s="1008">
        <f>'T04-2024'!F45</f>
        <v>705</v>
      </c>
      <c r="U23" s="1008">
        <f>'T04-2024'!G45</f>
        <v>1086</v>
      </c>
      <c r="V23" s="1008">
        <f>'T04-2024'!H45</f>
        <v>0</v>
      </c>
      <c r="W23" s="1008">
        <f>'T04-2024'!I45</f>
        <v>0</v>
      </c>
      <c r="X23" s="1008">
        <f>'T04-2024'!J45</f>
        <v>0</v>
      </c>
      <c r="Y23" s="1008">
        <f>'T04-2024'!K45</f>
        <v>296</v>
      </c>
      <c r="Z23" s="1008">
        <f>'T04-2024'!L45</f>
        <v>189</v>
      </c>
      <c r="AA23" s="1008">
        <f>'T04-2024'!M45</f>
        <v>0</v>
      </c>
      <c r="AB23" s="1008">
        <f>'T04-2024'!N45</f>
        <v>1791</v>
      </c>
      <c r="AC23" s="1008"/>
      <c r="AD23" s="1006"/>
      <c r="AE23" s="1005" t="s">
        <v>199</v>
      </c>
      <c r="AF23" s="1008">
        <f>'T04-2024'!E35</f>
        <v>71526</v>
      </c>
      <c r="AG23" s="1009">
        <f t="shared" si="2"/>
        <v>0.48132960546753645</v>
      </c>
      <c r="AH23" s="1008">
        <f>'T04-2024'!F35</f>
        <v>19960</v>
      </c>
      <c r="AI23" s="1008">
        <f>'T04-2024'!G35</f>
        <v>51566</v>
      </c>
      <c r="AJ23" s="1008">
        <f>'T04-2024'!H35</f>
        <v>0</v>
      </c>
      <c r="AK23" s="1008">
        <f>'T04-2024'!I35</f>
        <v>0</v>
      </c>
      <c r="AL23" s="1008">
        <f>'T04-2024'!J35</f>
        <v>0</v>
      </c>
      <c r="AM23" s="1008">
        <f>'T04-2024'!K35</f>
        <v>0</v>
      </c>
      <c r="AN23" s="1008">
        <f>'T04-2024'!L35</f>
        <v>0</v>
      </c>
      <c r="AO23" s="1008">
        <f>'T04-2024'!M35</f>
        <v>0</v>
      </c>
      <c r="AP23" s="1008">
        <f>'T04-2024'!N35</f>
        <v>0</v>
      </c>
      <c r="AQ23" s="1008"/>
      <c r="AR23" s="1006"/>
      <c r="AS23" s="1005" t="s">
        <v>199</v>
      </c>
      <c r="AT23" s="1008">
        <f>'T04-2024'!E54</f>
        <v>153000</v>
      </c>
      <c r="AU23" s="1009">
        <f t="shared" si="3"/>
        <v>0.93670886075949378</v>
      </c>
      <c r="AV23" s="1008">
        <f>'T04-2024'!F54</f>
        <v>71910</v>
      </c>
      <c r="AW23" s="1008">
        <f>'T04-2024'!G54</f>
        <v>81090</v>
      </c>
      <c r="AX23" s="1008">
        <f>'T04-2024'!H54</f>
        <v>0</v>
      </c>
      <c r="AY23" s="1008">
        <f>'T04-2024'!I54</f>
        <v>0</v>
      </c>
      <c r="AZ23" s="1008">
        <f>'T04-2024'!J54</f>
        <v>0</v>
      </c>
      <c r="BA23" s="1008">
        <f>'T04-2024'!K54</f>
        <v>0</v>
      </c>
      <c r="BB23" s="1008">
        <f>'T04-2024'!L54</f>
        <v>0</v>
      </c>
      <c r="BC23" s="1008">
        <f>'T04-2024'!M54</f>
        <v>0</v>
      </c>
      <c r="BD23" s="1008">
        <f>'T04-2024'!N54</f>
        <v>0</v>
      </c>
    </row>
    <row r="24" spans="3:56">
      <c r="C24" s="1005" t="s">
        <v>200</v>
      </c>
      <c r="D24" s="1002">
        <f t="shared" si="4"/>
        <v>100543</v>
      </c>
      <c r="E24" s="1009">
        <f t="shared" si="0"/>
        <v>0.45752515148879414</v>
      </c>
      <c r="F24" s="1010">
        <v>51691</v>
      </c>
      <c r="G24" s="1010">
        <v>48852</v>
      </c>
      <c r="H24" s="1010"/>
      <c r="I24" s="1010"/>
      <c r="J24" s="1010"/>
      <c r="K24" s="1010">
        <f>12088+7515</f>
        <v>19603</v>
      </c>
      <c r="L24" s="1010">
        <f>905+5185</f>
        <v>6090</v>
      </c>
      <c r="M24" s="1010">
        <v>6174</v>
      </c>
      <c r="N24" s="1010">
        <v>415</v>
      </c>
      <c r="O24" s="1010"/>
      <c r="P24" s="1006"/>
      <c r="Q24" s="1005" t="s">
        <v>200</v>
      </c>
      <c r="R24" s="1008">
        <f>'T05-2024'!E45</f>
        <v>2707</v>
      </c>
      <c r="S24" s="1009">
        <f t="shared" si="1"/>
        <v>2.55249343832021</v>
      </c>
      <c r="T24" s="1008">
        <f>'T05-2024'!F45</f>
        <v>1546</v>
      </c>
      <c r="U24" s="1008">
        <f>'T05-2024'!G45</f>
        <v>1161</v>
      </c>
      <c r="V24" s="1008">
        <f>'T05-2024'!H45</f>
        <v>0</v>
      </c>
      <c r="W24" s="1008">
        <f>'T05-2024'!I45</f>
        <v>0</v>
      </c>
      <c r="X24" s="1008">
        <f>'T05-2024'!J45</f>
        <v>0</v>
      </c>
      <c r="Y24" s="1008">
        <f>'T05-2024'!K45</f>
        <v>189</v>
      </c>
      <c r="Z24" s="1008">
        <f>'T05-2024'!L45</f>
        <v>140</v>
      </c>
      <c r="AA24" s="1008">
        <f>'T05-2024'!M45</f>
        <v>0</v>
      </c>
      <c r="AB24" s="1008">
        <f>'T05-2024'!N45</f>
        <v>8261</v>
      </c>
      <c r="AC24" s="1008"/>
      <c r="AD24" s="1006"/>
      <c r="AE24" s="1005" t="s">
        <v>200</v>
      </c>
      <c r="AF24" s="1008">
        <f>'T05-2024'!E35</f>
        <v>59980</v>
      </c>
      <c r="AG24" s="1009">
        <f t="shared" si="2"/>
        <v>0.39475397637429066</v>
      </c>
      <c r="AH24" s="1008">
        <f>'T05-2024'!F35</f>
        <v>0</v>
      </c>
      <c r="AI24" s="1008">
        <f>'T05-2024'!G35</f>
        <v>0</v>
      </c>
      <c r="AJ24" s="1008">
        <f>'T05-2024'!H35</f>
        <v>19701</v>
      </c>
      <c r="AK24" s="1008">
        <f>'T05-2024'!I35</f>
        <v>40279</v>
      </c>
      <c r="AL24" s="1008">
        <f>'T05-2024'!J35</f>
        <v>0</v>
      </c>
      <c r="AM24" s="1008">
        <f>'T05-2024'!K35</f>
        <v>1429</v>
      </c>
      <c r="AN24" s="1008">
        <f>'T05-2024'!L35</f>
        <v>375</v>
      </c>
      <c r="AO24" s="1008">
        <f>'T05-2024'!M35</f>
        <v>0</v>
      </c>
      <c r="AP24" s="1008">
        <f>'T05-2024'!N35</f>
        <v>0</v>
      </c>
      <c r="AQ24" s="1008"/>
      <c r="AR24" s="1006"/>
      <c r="AS24" s="1005" t="s">
        <v>200</v>
      </c>
      <c r="AT24" s="1008">
        <f>'T05-2024'!E54</f>
        <v>131999.9220436592</v>
      </c>
      <c r="AU24" s="1009">
        <f t="shared" si="3"/>
        <v>0.91304234845882903</v>
      </c>
      <c r="AV24" s="1008">
        <f>'T05-2024'!F54</f>
        <v>57789</v>
      </c>
      <c r="AW24" s="1008">
        <f>'T05-2024'!G54</f>
        <v>74210.922043659186</v>
      </c>
      <c r="AX24" s="1008">
        <f>'T05-2024'!H54</f>
        <v>0</v>
      </c>
      <c r="AY24" s="1008">
        <f>'T05-2024'!I54</f>
        <v>0</v>
      </c>
      <c r="AZ24" s="1008">
        <f>'T05-2024'!J54</f>
        <v>0</v>
      </c>
      <c r="BA24" s="1008">
        <f>'T05-2024'!K54</f>
        <v>0</v>
      </c>
      <c r="BB24" s="1008">
        <f>'T05-2024'!L54</f>
        <v>0</v>
      </c>
      <c r="BC24" s="1008">
        <f>'T05-2024'!M54</f>
        <v>0</v>
      </c>
      <c r="BD24" s="1008">
        <f>'T05-2024'!N54</f>
        <v>0</v>
      </c>
    </row>
    <row r="25" spans="3:56">
      <c r="C25" s="1005" t="s">
        <v>201</v>
      </c>
      <c r="D25" s="1002">
        <f t="shared" si="4"/>
        <v>91682</v>
      </c>
      <c r="E25" s="1009">
        <f t="shared" si="0"/>
        <v>2.6294874234605414E-2</v>
      </c>
      <c r="F25" s="1010">
        <v>46830</v>
      </c>
      <c r="G25" s="1010">
        <v>44852</v>
      </c>
      <c r="H25" s="1010"/>
      <c r="I25" s="1010"/>
      <c r="J25" s="1010"/>
      <c r="K25" s="1010">
        <f>6169+8179</f>
        <v>14348</v>
      </c>
      <c r="L25" s="1010">
        <f>807+3239</f>
        <v>4046</v>
      </c>
      <c r="M25" s="1010">
        <v>5244</v>
      </c>
      <c r="N25" s="1010">
        <v>872</v>
      </c>
      <c r="O25" s="1010"/>
      <c r="P25" s="1006"/>
      <c r="Q25" s="1005" t="s">
        <v>201</v>
      </c>
      <c r="R25" s="1008">
        <f>'T06-2024'!E45</f>
        <v>1759</v>
      </c>
      <c r="S25" s="1009">
        <f t="shared" si="1"/>
        <v>0.74850894632206755</v>
      </c>
      <c r="T25" s="1008">
        <f>'T06-2024'!F45</f>
        <v>845</v>
      </c>
      <c r="U25" s="1008">
        <f>'T06-2024'!G45</f>
        <v>914</v>
      </c>
      <c r="V25" s="1008">
        <f>'T06-2024'!H45</f>
        <v>0</v>
      </c>
      <c r="W25" s="1008">
        <f>'T06-2024'!I45</f>
        <v>0</v>
      </c>
      <c r="X25" s="1008">
        <f>'T06-2024'!J45</f>
        <v>0</v>
      </c>
      <c r="Y25" s="1008">
        <f>'T06-2024'!K45</f>
        <v>184</v>
      </c>
      <c r="Z25" s="1008">
        <f>'T06-2024'!L45</f>
        <v>331</v>
      </c>
      <c r="AA25" s="1008">
        <f>'T06-2024'!M45</f>
        <v>0</v>
      </c>
      <c r="AB25" s="1008">
        <f>'T06-2024'!N45</f>
        <v>1759</v>
      </c>
      <c r="AC25" s="1008"/>
      <c r="AD25" s="1006"/>
      <c r="AE25" s="1005" t="s">
        <v>201</v>
      </c>
      <c r="AF25" s="1008">
        <f>'T06-2024'!E35</f>
        <v>65204</v>
      </c>
      <c r="AG25" s="1009">
        <f t="shared" si="2"/>
        <v>0.31759856123830499</v>
      </c>
      <c r="AH25" s="1008">
        <f>'T06-2024'!F35</f>
        <v>0</v>
      </c>
      <c r="AI25" s="1008">
        <f>'T06-2024'!G35</f>
        <v>47549</v>
      </c>
      <c r="AJ25" s="1008">
        <f>'T06-2024'!H35</f>
        <v>17655</v>
      </c>
      <c r="AK25" s="1008">
        <f>'T06-2024'!I35</f>
        <v>0</v>
      </c>
      <c r="AL25" s="1008">
        <f>'T06-2024'!J35</f>
        <v>0</v>
      </c>
      <c r="AM25" s="1008">
        <f>'T06-2024'!K35</f>
        <v>2198</v>
      </c>
      <c r="AN25" s="1008">
        <f>'T06-2024'!L35</f>
        <v>13068</v>
      </c>
      <c r="AO25" s="1008">
        <f>'T06-2024'!M35</f>
        <v>0</v>
      </c>
      <c r="AP25" s="1008">
        <f>'T06-2024'!N35</f>
        <v>0</v>
      </c>
      <c r="AQ25" s="1008"/>
      <c r="AR25" s="1006"/>
      <c r="AS25" s="1005" t="s">
        <v>201</v>
      </c>
      <c r="AT25" s="1008">
        <f>'T06-2024'!E54</f>
        <v>155000</v>
      </c>
      <c r="AU25" s="1009">
        <f t="shared" si="3"/>
        <v>1.0394736842105261</v>
      </c>
      <c r="AV25" s="1008">
        <f>'T06-2024'!F54</f>
        <v>74203</v>
      </c>
      <c r="AW25" s="1008">
        <f>'T06-2024'!G54</f>
        <v>80797</v>
      </c>
      <c r="AX25" s="1008">
        <f>'T06-2024'!H54</f>
        <v>0</v>
      </c>
      <c r="AY25" s="1008">
        <f>'T06-2024'!I54</f>
        <v>0</v>
      </c>
      <c r="AZ25" s="1008">
        <f>'T06-2024'!J54</f>
        <v>0</v>
      </c>
      <c r="BA25" s="1008">
        <f>'T06-2024'!K54</f>
        <v>0</v>
      </c>
      <c r="BB25" s="1008">
        <f>'T06-2024'!L54</f>
        <v>0</v>
      </c>
      <c r="BC25" s="1008">
        <f>'T06-2024'!M54</f>
        <v>0</v>
      </c>
      <c r="BD25" s="1008">
        <f>'T06-2024'!N54</f>
        <v>0</v>
      </c>
    </row>
    <row r="26" spans="3:56">
      <c r="C26" s="1005" t="s">
        <v>202</v>
      </c>
      <c r="D26" s="1002">
        <f t="shared" si="4"/>
        <v>100061</v>
      </c>
      <c r="E26" s="1009">
        <f t="shared" si="0"/>
        <v>-3.3684535823619743E-2</v>
      </c>
      <c r="F26" s="1010">
        <v>49644</v>
      </c>
      <c r="G26" s="1010">
        <v>50417</v>
      </c>
      <c r="H26" s="1010"/>
      <c r="I26" s="1010"/>
      <c r="J26" s="1010"/>
      <c r="K26" s="1010">
        <f>10447+8710</f>
        <v>19157</v>
      </c>
      <c r="L26" s="1010">
        <f>553+2789</f>
        <v>3342</v>
      </c>
      <c r="M26" s="1010"/>
      <c r="N26" s="1010">
        <v>472</v>
      </c>
      <c r="O26" s="1010"/>
      <c r="P26" s="1006"/>
      <c r="Q26" s="1005" t="s">
        <v>202</v>
      </c>
      <c r="R26" s="1008">
        <f>'T07-2024'!E45</f>
        <v>1797</v>
      </c>
      <c r="S26" s="1009">
        <f t="shared" si="1"/>
        <v>0.94270270270270262</v>
      </c>
      <c r="T26" s="1008">
        <f>'T07-2024'!F45</f>
        <v>666</v>
      </c>
      <c r="U26" s="1008">
        <f>'T07-2024'!G45</f>
        <v>1131</v>
      </c>
      <c r="V26" s="1008">
        <f>'T07-2024'!H45</f>
        <v>0</v>
      </c>
      <c r="W26" s="1008">
        <f>'T07-2024'!I45</f>
        <v>0</v>
      </c>
      <c r="X26" s="1008">
        <f>'T07-2024'!J45</f>
        <v>0</v>
      </c>
      <c r="Y26" s="1008">
        <f>'T07-2024'!K45</f>
        <v>214</v>
      </c>
      <c r="Z26" s="1008">
        <f>'T07-2024'!L45</f>
        <v>383</v>
      </c>
      <c r="AA26" s="1008">
        <f>'T07-2024'!M45</f>
        <v>0</v>
      </c>
      <c r="AB26" s="1008">
        <f>'T07-2024'!N45</f>
        <v>1797</v>
      </c>
      <c r="AC26" s="1008"/>
      <c r="AD26" s="1006"/>
      <c r="AE26" s="1005" t="s">
        <v>202</v>
      </c>
      <c r="AF26" s="1008">
        <f>'T07-2024'!E35</f>
        <v>71423</v>
      </c>
      <c r="AG26" s="1009">
        <f t="shared" si="2"/>
        <v>0.53783050555507717</v>
      </c>
      <c r="AH26" s="1008">
        <f>'T07-2024'!F35</f>
        <v>0</v>
      </c>
      <c r="AI26" s="1008">
        <f>'T07-2024'!G35</f>
        <v>0</v>
      </c>
      <c r="AJ26" s="1008">
        <f>'T07-2024'!H35</f>
        <v>17792</v>
      </c>
      <c r="AK26" s="1008">
        <f>'T07-2024'!I35</f>
        <v>53631</v>
      </c>
      <c r="AL26" s="1008">
        <f>'T07-2024'!J35</f>
        <v>0</v>
      </c>
      <c r="AM26" s="1008">
        <f>'T07-2024'!K35</f>
        <v>2561</v>
      </c>
      <c r="AN26" s="1008">
        <f>'T07-2024'!L35</f>
        <v>13428</v>
      </c>
      <c r="AO26" s="1008">
        <f>'T07-2024'!M35</f>
        <v>0</v>
      </c>
      <c r="AP26" s="1008">
        <f>'T07-2024'!N35</f>
        <v>0</v>
      </c>
      <c r="AQ26" s="1008"/>
      <c r="AR26" s="1006"/>
      <c r="AS26" s="1005" t="s">
        <v>202</v>
      </c>
      <c r="AT26" s="1008">
        <f>'T07-2024'!E54</f>
        <v>183000</v>
      </c>
      <c r="AU26" s="1009">
        <f t="shared" si="3"/>
        <v>1.392156862745098</v>
      </c>
      <c r="AV26" s="1008">
        <f>'T07-2024'!F54</f>
        <v>80373</v>
      </c>
      <c r="AW26" s="1008">
        <f>'T07-2024'!G54</f>
        <v>102627</v>
      </c>
      <c r="AX26" s="1008">
        <f>'T07-2024'!H54</f>
        <v>0</v>
      </c>
      <c r="AY26" s="1008">
        <f>'T07-2024'!I54</f>
        <v>0</v>
      </c>
      <c r="AZ26" s="1008">
        <f>'T07-2024'!J54</f>
        <v>0</v>
      </c>
      <c r="BA26" s="1008">
        <f>'T07-2024'!K54</f>
        <v>0</v>
      </c>
      <c r="BB26" s="1008">
        <f>'T07-2024'!L54</f>
        <v>0</v>
      </c>
      <c r="BC26" s="1008">
        <f>'T07-2024'!M54</f>
        <v>0</v>
      </c>
      <c r="BD26" s="1008">
        <f>'T07-2024'!N54</f>
        <v>0</v>
      </c>
    </row>
    <row r="27" spans="3:56">
      <c r="C27" s="1005" t="s">
        <v>203</v>
      </c>
      <c r="D27" s="1002">
        <f t="shared" si="4"/>
        <v>119410</v>
      </c>
      <c r="E27" s="1009">
        <f t="shared" si="0"/>
        <v>0.24061048716376976</v>
      </c>
      <c r="F27" s="1010">
        <v>62521</v>
      </c>
      <c r="G27" s="1010">
        <v>56889</v>
      </c>
      <c r="H27" s="1010"/>
      <c r="I27" s="1010"/>
      <c r="J27" s="1010"/>
      <c r="K27" s="1010">
        <v>26682</v>
      </c>
      <c r="L27" s="1010">
        <f>12660+9915</f>
        <v>22575</v>
      </c>
      <c r="M27" s="1010">
        <v>6269</v>
      </c>
      <c r="N27" s="1010">
        <v>266</v>
      </c>
      <c r="O27" s="1010"/>
      <c r="P27" s="1006"/>
      <c r="Q27" s="1005" t="s">
        <v>203</v>
      </c>
      <c r="R27" s="1008">
        <f>'T08-2024'!E45</f>
        <v>950</v>
      </c>
      <c r="S27" s="1009">
        <f t="shared" si="1"/>
        <v>-0.41466420209488597</v>
      </c>
      <c r="T27" s="1008">
        <f>'T08-2024'!F45</f>
        <v>325</v>
      </c>
      <c r="U27" s="1008">
        <f>'T08-2024'!G45</f>
        <v>625</v>
      </c>
      <c r="V27" s="1008">
        <f>'T08-2024'!H45</f>
        <v>0</v>
      </c>
      <c r="W27" s="1008">
        <f>'T08-2024'!I45</f>
        <v>0</v>
      </c>
      <c r="X27" s="1008">
        <f>'T08-2024'!J45</f>
        <v>0</v>
      </c>
      <c r="Y27" s="1008">
        <f>'T08-2024'!K45</f>
        <v>314</v>
      </c>
      <c r="Z27" s="1008">
        <f>'T08-2024'!L45</f>
        <v>214</v>
      </c>
      <c r="AA27" s="1008">
        <f>'T08-2024'!M45</f>
        <v>0</v>
      </c>
      <c r="AB27" s="1008">
        <f>'T08-2024'!N45</f>
        <v>950</v>
      </c>
      <c r="AC27" s="1008"/>
      <c r="AD27" s="1006"/>
      <c r="AE27" s="1005" t="s">
        <v>203</v>
      </c>
      <c r="AF27" s="1008">
        <f>'T08-2024'!E35</f>
        <v>79211</v>
      </c>
      <c r="AG27" s="1009">
        <f t="shared" si="2"/>
        <v>0.69893188057652722</v>
      </c>
      <c r="AH27" s="1008">
        <f>'T08-2024'!F35</f>
        <v>0</v>
      </c>
      <c r="AI27" s="1008">
        <f>'T08-2024'!G35</f>
        <v>0</v>
      </c>
      <c r="AJ27" s="1008">
        <f>'T08-2024'!H35</f>
        <v>20931</v>
      </c>
      <c r="AK27" s="1008">
        <f>'T08-2024'!I35</f>
        <v>58280</v>
      </c>
      <c r="AL27" s="1008">
        <f>'T08-2024'!J35</f>
        <v>0</v>
      </c>
      <c r="AM27" s="1008">
        <f>'T08-2024'!K35</f>
        <v>1925</v>
      </c>
      <c r="AN27" s="1008">
        <f>'T08-2024'!L35</f>
        <v>16897</v>
      </c>
      <c r="AO27" s="1008">
        <f>'T08-2024'!M35</f>
        <v>0</v>
      </c>
      <c r="AP27" s="1008">
        <f>'T08-2024'!N35</f>
        <v>0</v>
      </c>
      <c r="AQ27" s="1008"/>
      <c r="AR27" s="1006"/>
      <c r="AS27" s="1005" t="s">
        <v>203</v>
      </c>
      <c r="AT27" s="1008">
        <f>'T08-2024'!E54</f>
        <v>152000</v>
      </c>
      <c r="AU27" s="1009">
        <f t="shared" si="3"/>
        <v>0.94871794871794868</v>
      </c>
      <c r="AV27" s="1008">
        <f>'T08-2024'!F54</f>
        <v>69529</v>
      </c>
      <c r="AW27" s="1008">
        <f>'T08-2024'!G54</f>
        <v>82471</v>
      </c>
      <c r="AX27" s="1008">
        <f>'T08-2024'!H54</f>
        <v>0</v>
      </c>
      <c r="AY27" s="1008">
        <f>'T08-2024'!I54</f>
        <v>0</v>
      </c>
      <c r="AZ27" s="1008">
        <f>'T08-2024'!J54</f>
        <v>0</v>
      </c>
      <c r="BA27" s="1008">
        <f>'T08-2024'!K54</f>
        <v>0</v>
      </c>
      <c r="BB27" s="1008">
        <f>'T08-2024'!L54</f>
        <v>0</v>
      </c>
      <c r="BC27" s="1008">
        <f>'T08-2024'!M54</f>
        <v>0</v>
      </c>
      <c r="BD27" s="1008">
        <f>'T08-2024'!N54</f>
        <v>0</v>
      </c>
    </row>
    <row r="28" spans="3:56">
      <c r="C28" s="1005" t="s">
        <v>204</v>
      </c>
      <c r="D28" s="1002">
        <f t="shared" si="4"/>
        <v>112186</v>
      </c>
      <c r="E28" s="1009">
        <f t="shared" si="0"/>
        <v>0.39922920538308992</v>
      </c>
      <c r="F28" s="1010">
        <v>63165</v>
      </c>
      <c r="G28" s="1010">
        <v>49021</v>
      </c>
      <c r="H28" s="1010"/>
      <c r="I28" s="1010"/>
      <c r="J28" s="1010"/>
      <c r="K28" s="1010">
        <f>12573+9381</f>
        <v>21954</v>
      </c>
      <c r="L28" s="1010">
        <f>2176+4320</f>
        <v>6496</v>
      </c>
      <c r="M28" s="1010">
        <v>6429</v>
      </c>
      <c r="N28" s="1010">
        <v>226</v>
      </c>
      <c r="O28" s="1010"/>
      <c r="P28" s="1006"/>
      <c r="Q28" s="1005" t="s">
        <v>204</v>
      </c>
      <c r="R28" s="1008">
        <f>'T9-2024'!E45</f>
        <v>1036</v>
      </c>
      <c r="S28" s="1009">
        <f t="shared" si="1"/>
        <v>7.1354705274043528E-2</v>
      </c>
      <c r="T28" s="1008">
        <f>'T9-2024'!F45</f>
        <v>331</v>
      </c>
      <c r="U28" s="1008">
        <f>'T9-2024'!G45</f>
        <v>705</v>
      </c>
      <c r="V28" s="1008">
        <f>'T9-2024'!H45</f>
        <v>0</v>
      </c>
      <c r="W28" s="1008">
        <f>'T9-2024'!I45</f>
        <v>0</v>
      </c>
      <c r="X28" s="1008">
        <f>'T9-2024'!J45</f>
        <v>0</v>
      </c>
      <c r="Y28" s="1008">
        <f>'T9-2024'!K45</f>
        <v>123</v>
      </c>
      <c r="Z28" s="1008">
        <f>'T9-2024'!L45</f>
        <v>15</v>
      </c>
      <c r="AA28" s="1008">
        <f>'T9-2024'!M45</f>
        <v>0</v>
      </c>
      <c r="AB28" s="1008">
        <f>'T9-2024'!N45</f>
        <v>1036</v>
      </c>
      <c r="AC28" s="1008"/>
      <c r="AD28" s="1006"/>
      <c r="AE28" s="1005" t="s">
        <v>204</v>
      </c>
      <c r="AF28" s="1008">
        <f>'T9-2024'!E35</f>
        <v>71917</v>
      </c>
      <c r="AG28" s="1009">
        <f t="shared" si="2"/>
        <v>0.5217952515976132</v>
      </c>
      <c r="AH28" s="1008">
        <f>'T9-2024'!F35</f>
        <v>0</v>
      </c>
      <c r="AI28" s="1008">
        <f>'T9-2024'!G35</f>
        <v>0</v>
      </c>
      <c r="AJ28" s="1008">
        <f>'T9-2024'!H35</f>
        <v>19249</v>
      </c>
      <c r="AK28" s="1008">
        <f>'T9-2024'!I35</f>
        <v>52668</v>
      </c>
      <c r="AL28" s="1008">
        <f>'T9-2024'!J35</f>
        <v>0</v>
      </c>
      <c r="AM28" s="1008">
        <f>'T9-2024'!K35</f>
        <v>1857</v>
      </c>
      <c r="AN28" s="1008">
        <f>'T9-2024'!L35</f>
        <v>14998</v>
      </c>
      <c r="AO28" s="1008">
        <f>'T9-2024'!M35</f>
        <v>0</v>
      </c>
      <c r="AP28" s="1008">
        <f>'T9-2024'!N35</f>
        <v>0</v>
      </c>
      <c r="AQ28" s="1008"/>
      <c r="AR28" s="1006"/>
      <c r="AS28" s="1005" t="s">
        <v>204</v>
      </c>
      <c r="AT28" s="1008">
        <f>'T9-2024'!E54</f>
        <v>145000</v>
      </c>
      <c r="AU28" s="1009">
        <f t="shared" si="3"/>
        <v>1.2834645669291338</v>
      </c>
      <c r="AV28" s="1008">
        <f>'T9-2024'!F54</f>
        <v>66682</v>
      </c>
      <c r="AW28" s="1008">
        <f>'T9-2024'!G54</f>
        <v>78318</v>
      </c>
      <c r="AX28" s="1008">
        <f>'T9-2024'!H54</f>
        <v>0</v>
      </c>
      <c r="AY28" s="1008">
        <f>'T9-2024'!I54</f>
        <v>0</v>
      </c>
      <c r="AZ28" s="1008">
        <f>'T9-2024'!J54</f>
        <v>0</v>
      </c>
      <c r="BA28" s="1008">
        <f>'T9-2024'!K54</f>
        <v>0</v>
      </c>
      <c r="BB28" s="1008">
        <f>'T9-2024'!L54</f>
        <v>0</v>
      </c>
      <c r="BC28" s="1008">
        <f>'T9-2024'!M54</f>
        <v>0</v>
      </c>
      <c r="BD28" s="1008">
        <f>'T9-2024'!N54</f>
        <v>0</v>
      </c>
    </row>
    <row r="29" spans="3:56">
      <c r="C29" s="1005" t="s">
        <v>205</v>
      </c>
      <c r="D29" s="1002">
        <f t="shared" si="4"/>
        <v>136804</v>
      </c>
      <c r="E29" s="1009">
        <f t="shared" si="0"/>
        <v>0.63762599056716707</v>
      </c>
      <c r="F29" s="1010">
        <v>69826</v>
      </c>
      <c r="G29" s="1010">
        <v>66978</v>
      </c>
      <c r="H29" s="1010">
        <v>0</v>
      </c>
      <c r="I29" s="1010">
        <v>0</v>
      </c>
      <c r="J29" s="1010">
        <v>0</v>
      </c>
      <c r="K29" s="1010">
        <f>14515+11927</f>
        <v>26442</v>
      </c>
      <c r="L29" s="1010">
        <f>3365+4117</f>
        <v>7482</v>
      </c>
      <c r="M29" s="1010"/>
      <c r="N29" s="1010">
        <v>2256</v>
      </c>
      <c r="O29" s="1010"/>
      <c r="P29" s="1006"/>
      <c r="Q29" s="1005" t="s">
        <v>205</v>
      </c>
      <c r="R29" s="1008">
        <f>'T10-2024'!E45</f>
        <v>1570</v>
      </c>
      <c r="S29" s="1009">
        <f t="shared" si="1"/>
        <v>0.52872444011684516</v>
      </c>
      <c r="T29" s="1008">
        <f>'T10-2024'!F45</f>
        <v>525</v>
      </c>
      <c r="U29" s="1008">
        <f>'T10-2024'!G45</f>
        <v>1045</v>
      </c>
      <c r="V29" s="1008">
        <f>'T10-2024'!H45</f>
        <v>0</v>
      </c>
      <c r="W29" s="1008">
        <f>'T10-2024'!I45</f>
        <v>0</v>
      </c>
      <c r="X29" s="1008">
        <f>'T10-2024'!J45</f>
        <v>0</v>
      </c>
      <c r="Y29" s="1008">
        <f>'T10-2024'!K45</f>
        <v>368</v>
      </c>
      <c r="Z29" s="1008">
        <f>'T10-2024'!L45</f>
        <v>22</v>
      </c>
      <c r="AA29" s="1008">
        <f>'T10-2024'!M45</f>
        <v>0</v>
      </c>
      <c r="AB29" s="1008">
        <f>'T10-2024'!N45</f>
        <v>1570</v>
      </c>
      <c r="AC29" s="1008"/>
      <c r="AD29" s="1006"/>
      <c r="AE29" s="1005" t="s">
        <v>205</v>
      </c>
      <c r="AF29" s="1008">
        <f>'T10-2024'!E35</f>
        <v>76068</v>
      </c>
      <c r="AG29" s="1009">
        <f t="shared" si="2"/>
        <v>0.62098578643424895</v>
      </c>
      <c r="AH29" s="1008">
        <f>'T10-2024'!F35</f>
        <v>0</v>
      </c>
      <c r="AI29" s="1008">
        <f>'T10-2024'!G35</f>
        <v>0</v>
      </c>
      <c r="AJ29" s="1008">
        <f>'T10-2024'!H35</f>
        <v>20498</v>
      </c>
      <c r="AK29" s="1008">
        <f>'T10-2024'!I35</f>
        <v>55570</v>
      </c>
      <c r="AL29" s="1008">
        <f>'T10-2024'!J35</f>
        <v>0</v>
      </c>
      <c r="AM29" s="1008">
        <f>'T10-2024'!K35</f>
        <v>1506</v>
      </c>
      <c r="AN29" s="1008">
        <f>'T10-2024'!L35</f>
        <v>1490</v>
      </c>
      <c r="AO29" s="1008">
        <f>'T10-2024'!M35</f>
        <v>0</v>
      </c>
      <c r="AP29" s="1008">
        <f>'T10-2024'!N35</f>
        <v>0</v>
      </c>
      <c r="AQ29" s="1008"/>
      <c r="AR29" s="1006"/>
      <c r="AS29" s="1005" t="s">
        <v>205</v>
      </c>
      <c r="AT29" s="1008">
        <f>'T10-2024'!E54</f>
        <v>146000</v>
      </c>
      <c r="AU29" s="1009">
        <f t="shared" si="3"/>
        <v>0.4455445544554455</v>
      </c>
      <c r="AV29" s="1008">
        <f>'T10-2024'!F54</f>
        <v>67027</v>
      </c>
      <c r="AW29" s="1008">
        <f>'T10-2024'!G54</f>
        <v>78973</v>
      </c>
      <c r="AX29" s="1008">
        <f>'T10-2024'!H54</f>
        <v>0</v>
      </c>
      <c r="AY29" s="1008">
        <f>'T10-2024'!I54</f>
        <v>0</v>
      </c>
      <c r="AZ29" s="1008">
        <f>'T10-2024'!J54</f>
        <v>0</v>
      </c>
      <c r="BA29" s="1008">
        <f>'T10-2024'!K54</f>
        <v>0</v>
      </c>
      <c r="BB29" s="1008">
        <f>'T10-2024'!L54</f>
        <v>0</v>
      </c>
      <c r="BC29" s="1008">
        <f>'T10-2024'!M54</f>
        <v>0</v>
      </c>
      <c r="BD29" s="1008">
        <f>'T10-2024'!N54</f>
        <v>0</v>
      </c>
    </row>
    <row r="30" spans="3:56">
      <c r="C30" s="1005" t="s">
        <v>206</v>
      </c>
      <c r="D30" s="1002">
        <f t="shared" si="4"/>
        <v>148168</v>
      </c>
      <c r="E30" s="1009">
        <f t="shared" si="0"/>
        <v>0.76421980115496813</v>
      </c>
      <c r="F30" s="1010">
        <v>71734</v>
      </c>
      <c r="G30" s="1010">
        <v>76434</v>
      </c>
      <c r="H30" s="1010"/>
      <c r="I30" s="1010"/>
      <c r="J30" s="1010"/>
      <c r="K30" s="1010">
        <v>36060</v>
      </c>
      <c r="L30" s="1010">
        <f>17026+10845</f>
        <v>27871</v>
      </c>
      <c r="M30" s="1010">
        <v>7917</v>
      </c>
      <c r="N30" s="1010">
        <v>988</v>
      </c>
      <c r="O30" s="1010"/>
      <c r="P30" s="1006"/>
      <c r="Q30" s="1005" t="s">
        <v>206</v>
      </c>
      <c r="R30" s="1008">
        <f>'T11-2024'!E45</f>
        <v>888</v>
      </c>
      <c r="S30" s="1009">
        <f t="shared" si="1"/>
        <v>0.11838790931989918</v>
      </c>
      <c r="T30" s="1008">
        <f>'T11-2024'!F45</f>
        <v>331</v>
      </c>
      <c r="U30" s="1008">
        <f>'T11-2024'!G45</f>
        <v>557</v>
      </c>
      <c r="V30" s="1008">
        <f>'T11-2024'!H45</f>
        <v>0</v>
      </c>
      <c r="W30" s="1008">
        <f>'T11-2024'!I45</f>
        <v>0</v>
      </c>
      <c r="X30" s="1008">
        <f>'T11-2024'!J45</f>
        <v>0</v>
      </c>
      <c r="Y30" s="1008">
        <f>'T11-2024'!K45</f>
        <v>108</v>
      </c>
      <c r="Z30" s="1008">
        <f>'T11-2024'!L45</f>
        <v>142</v>
      </c>
      <c r="AA30" s="1008">
        <f>'T11-2024'!M45</f>
        <v>888</v>
      </c>
      <c r="AB30" s="1008">
        <f>'T11-2024'!N45</f>
        <v>0</v>
      </c>
      <c r="AC30" s="1008"/>
      <c r="AD30" s="1006"/>
      <c r="AE30" s="1005" t="s">
        <v>206</v>
      </c>
      <c r="AF30" s="1008">
        <f>'T11-2024'!E35</f>
        <v>84439</v>
      </c>
      <c r="AG30" s="1009">
        <f t="shared" si="2"/>
        <v>0.45258902460003436</v>
      </c>
      <c r="AH30" s="1008">
        <f>'T11-2024'!F35</f>
        <v>0</v>
      </c>
      <c r="AI30" s="1008">
        <f>'T11-2024'!G35</f>
        <v>0</v>
      </c>
      <c r="AJ30" s="1008">
        <f>'T11-2024'!H35</f>
        <v>25652</v>
      </c>
      <c r="AK30" s="1008">
        <f>'T11-2024'!I35</f>
        <v>58787</v>
      </c>
      <c r="AL30" s="1008">
        <f>'T11-2024'!J35</f>
        <v>0</v>
      </c>
      <c r="AM30" s="1008">
        <f>'T11-2024'!K35</f>
        <v>1654</v>
      </c>
      <c r="AN30" s="1008">
        <f>'T11-2024'!L35</f>
        <v>95</v>
      </c>
      <c r="AO30" s="1008">
        <f>'T11-2024'!M35</f>
        <v>0</v>
      </c>
      <c r="AP30" s="1008">
        <f>'T11-2024'!N35</f>
        <v>0</v>
      </c>
      <c r="AQ30" s="1008"/>
      <c r="AR30" s="1006"/>
      <c r="AS30" s="1005" t="s">
        <v>206</v>
      </c>
      <c r="AT30" s="1008">
        <f>'T11-2024'!E54</f>
        <v>147000</v>
      </c>
      <c r="AU30" s="1009">
        <f t="shared" si="3"/>
        <v>0.45544554455445541</v>
      </c>
      <c r="AV30" s="1008">
        <f>'T11-2024'!F54</f>
        <v>70670</v>
      </c>
      <c r="AW30" s="1008">
        <f>'T11-2024'!G54</f>
        <v>76330</v>
      </c>
      <c r="AX30" s="1008">
        <f>'T11-2024'!H54</f>
        <v>0</v>
      </c>
      <c r="AY30" s="1008">
        <f>'T11-2024'!I54</f>
        <v>0</v>
      </c>
      <c r="AZ30" s="1008">
        <f>'T11-2024'!J54</f>
        <v>0</v>
      </c>
      <c r="BA30" s="1008">
        <f>'T11-2024'!K54</f>
        <v>0</v>
      </c>
      <c r="BB30" s="1008">
        <f>'T11-2024'!L54</f>
        <v>0</v>
      </c>
      <c r="BC30" s="1008">
        <f>'T11-2024'!M54</f>
        <v>0</v>
      </c>
      <c r="BD30" s="1008">
        <f>'T11-2024'!N54</f>
        <v>0</v>
      </c>
    </row>
    <row r="31" spans="3:56">
      <c r="C31" s="1005" t="s">
        <v>207</v>
      </c>
      <c r="D31" s="1002">
        <f t="shared" si="4"/>
        <v>145637</v>
      </c>
      <c r="E31" s="1009">
        <f t="shared" si="0"/>
        <v>0.4492541620642645</v>
      </c>
      <c r="F31" s="1010">
        <v>76034</v>
      </c>
      <c r="G31" s="1010">
        <v>69603</v>
      </c>
      <c r="H31" s="1010"/>
      <c r="I31" s="1010"/>
      <c r="J31" s="1010"/>
      <c r="K31" s="1010">
        <f>15032+13106</f>
        <v>28138</v>
      </c>
      <c r="L31" s="1010">
        <f>1664+3967</f>
        <v>5631</v>
      </c>
      <c r="M31" s="1010">
        <v>9368</v>
      </c>
      <c r="N31" s="1010">
        <v>75259</v>
      </c>
      <c r="O31" s="1010"/>
      <c r="P31" s="1006"/>
      <c r="Q31" s="1005" t="s">
        <v>207</v>
      </c>
      <c r="R31" s="1008">
        <f>'T12-2024'!E45</f>
        <v>1105</v>
      </c>
      <c r="S31" s="1009">
        <f t="shared" si="1"/>
        <v>0.25854214123006836</v>
      </c>
      <c r="T31" s="1008">
        <f>'T12-2024'!F45</f>
        <v>216</v>
      </c>
      <c r="U31" s="1008">
        <f>'T12-2024'!G45</f>
        <v>889</v>
      </c>
      <c r="V31" s="1008">
        <f>'T12-2024'!H45</f>
        <v>0</v>
      </c>
      <c r="W31" s="1008">
        <f>'T12-2024'!I45</f>
        <v>0</v>
      </c>
      <c r="X31" s="1008">
        <f>'T12-2024'!J45</f>
        <v>0</v>
      </c>
      <c r="Y31" s="1008">
        <f>'T12-2024'!K45</f>
        <v>0</v>
      </c>
      <c r="Z31" s="1008">
        <f>'T12-2024'!L45</f>
        <v>0</v>
      </c>
      <c r="AA31" s="1008">
        <f>'T12-2024'!M45</f>
        <v>0</v>
      </c>
      <c r="AB31" s="1008">
        <f>'T12-2024'!N45</f>
        <v>1105</v>
      </c>
      <c r="AC31" s="1008"/>
      <c r="AD31" s="1006"/>
      <c r="AE31" s="1005" t="s">
        <v>207</v>
      </c>
      <c r="AF31" s="1008">
        <f>'T12-2024'!E35</f>
        <v>81079</v>
      </c>
      <c r="AG31" s="1009">
        <f t="shared" si="2"/>
        <v>0.32809710232763845</v>
      </c>
      <c r="AH31" s="1008">
        <f>'T12-2024'!F35</f>
        <v>0</v>
      </c>
      <c r="AI31" s="1008">
        <f>'T12-2024'!G35</f>
        <v>0</v>
      </c>
      <c r="AJ31" s="1008">
        <f>'T12-2024'!H35</f>
        <v>23866</v>
      </c>
      <c r="AK31" s="1008">
        <f>'T12-2024'!I35</f>
        <v>57213</v>
      </c>
      <c r="AL31" s="1008">
        <f>'T12-2024'!J35</f>
        <v>0</v>
      </c>
      <c r="AM31" s="1008">
        <f>'T12-2024'!K35</f>
        <v>1851</v>
      </c>
      <c r="AN31" s="1008">
        <f>'T12-2024'!L35</f>
        <v>20520</v>
      </c>
      <c r="AO31" s="1008">
        <f>'T12-2024'!M35</f>
        <v>0</v>
      </c>
      <c r="AP31" s="1008">
        <f>'T12-2024'!N35</f>
        <v>0</v>
      </c>
      <c r="AQ31" s="1008"/>
      <c r="AR31" s="1006"/>
      <c r="AS31" s="1005" t="s">
        <v>207</v>
      </c>
      <c r="AT31" s="1008">
        <f>'T12-2024'!E54</f>
        <v>156000</v>
      </c>
      <c r="AU31" s="1009">
        <f t="shared" si="3"/>
        <v>0.1063829787234043</v>
      </c>
      <c r="AV31" s="1008">
        <f>'T12-2024'!F54</f>
        <v>0</v>
      </c>
      <c r="AW31" s="1008">
        <f>'T12-2024'!G54</f>
        <v>0</v>
      </c>
      <c r="AX31" s="1008">
        <f>'T12-2024'!H54</f>
        <v>0</v>
      </c>
      <c r="AY31" s="1008">
        <f>'T12-2024'!I54</f>
        <v>0</v>
      </c>
      <c r="AZ31" s="1008">
        <f>'T12-2024'!J54</f>
        <v>0</v>
      </c>
      <c r="BA31" s="1008">
        <f>'T12-2024'!K54</f>
        <v>0</v>
      </c>
      <c r="BB31" s="1008">
        <f>'T12-2024'!L54</f>
        <v>0</v>
      </c>
      <c r="BC31" s="1008">
        <f>'T12-2024'!M54</f>
        <v>0</v>
      </c>
      <c r="BD31" s="1008">
        <f>'T12-2024'!N54</f>
        <v>0</v>
      </c>
    </row>
    <row r="32" spans="3:56">
      <c r="C32" s="1005"/>
      <c r="D32" s="1007"/>
      <c r="E32" s="1009"/>
      <c r="F32" s="1008"/>
      <c r="G32" s="1008"/>
      <c r="H32" s="1008"/>
      <c r="I32" s="1008"/>
      <c r="J32" s="1008"/>
      <c r="K32" s="1008"/>
      <c r="L32" s="1008"/>
      <c r="M32" s="1008"/>
      <c r="N32" s="1008"/>
      <c r="O32" s="1008"/>
      <c r="P32" s="1006"/>
      <c r="Q32" s="1005"/>
      <c r="R32" s="1008"/>
      <c r="S32" s="1009"/>
      <c r="T32" s="1008"/>
      <c r="U32" s="1008"/>
      <c r="V32" s="1008"/>
      <c r="W32" s="1008"/>
      <c r="X32" s="1008"/>
      <c r="Y32" s="1008"/>
      <c r="Z32" s="1008"/>
      <c r="AA32" s="1008"/>
      <c r="AB32" s="1008"/>
      <c r="AC32" s="1008"/>
      <c r="AD32" s="1006"/>
      <c r="AE32" s="1005"/>
      <c r="AF32" s="1008"/>
      <c r="AG32" s="1009"/>
      <c r="AH32" s="1008"/>
      <c r="AI32" s="1008"/>
      <c r="AJ32" s="1008"/>
      <c r="AK32" s="1008"/>
      <c r="AL32" s="1008"/>
      <c r="AM32" s="1008"/>
      <c r="AN32" s="1008"/>
      <c r="AO32" s="1008"/>
      <c r="AP32" s="1008"/>
      <c r="AQ32" s="1008"/>
      <c r="AR32" s="1006"/>
      <c r="AS32" s="1005"/>
      <c r="AT32" s="1008"/>
      <c r="AU32" s="1009"/>
      <c r="AV32" s="1008"/>
      <c r="AW32" s="1008"/>
      <c r="AX32" s="1008"/>
      <c r="AY32" s="1008"/>
      <c r="AZ32" s="1008"/>
      <c r="BA32" s="1008"/>
      <c r="BB32" s="1008"/>
      <c r="BC32" s="1008"/>
      <c r="BD32" s="1008"/>
    </row>
    <row r="33" spans="3:56">
      <c r="C33" s="1005">
        <v>2025</v>
      </c>
      <c r="D33" s="1007">
        <f>SUM(D34:D35)</f>
        <v>230133</v>
      </c>
      <c r="E33" s="1009">
        <f>D33/SUM(D20:D21) -1</f>
        <v>0.2851709964929523</v>
      </c>
      <c r="F33" s="1006"/>
      <c r="G33" s="1006"/>
      <c r="H33" s="1006"/>
      <c r="I33" s="1006"/>
      <c r="J33" s="1006"/>
      <c r="K33" s="1006"/>
      <c r="L33" s="1006"/>
      <c r="M33" s="1006"/>
      <c r="N33" s="1006"/>
      <c r="O33" s="1006"/>
      <c r="P33" s="1006"/>
      <c r="Q33" s="1005">
        <v>2025</v>
      </c>
      <c r="R33" s="1008">
        <f>SUM(R34:R35)</f>
        <v>2295</v>
      </c>
      <c r="S33" s="1009">
        <f>R33/SUM(R20:R21) -1</f>
        <v>-0.1024638247946813</v>
      </c>
      <c r="T33" s="1006"/>
      <c r="U33" s="1006"/>
      <c r="V33" s="1006"/>
      <c r="W33" s="1006"/>
      <c r="X33" s="1006"/>
      <c r="Y33" s="1006"/>
      <c r="Z33" s="1006"/>
      <c r="AA33" s="1006"/>
      <c r="AB33" s="1006"/>
      <c r="AC33" s="1006"/>
      <c r="AD33" s="1006"/>
      <c r="AE33" s="1005">
        <v>2025</v>
      </c>
      <c r="AF33" s="1008">
        <f>SUM(AF34:AF35)</f>
        <v>141659</v>
      </c>
      <c r="AG33" s="1009">
        <f>AF33/SUM(AF20:AF21) -1</f>
        <v>0.18998177129272609</v>
      </c>
      <c r="AH33" s="1006"/>
      <c r="AI33" s="1006"/>
      <c r="AJ33" s="1006"/>
      <c r="AK33" s="1006"/>
      <c r="AL33" s="1006"/>
      <c r="AM33" s="1006"/>
      <c r="AN33" s="1006"/>
      <c r="AO33" s="1006"/>
      <c r="AP33" s="1006"/>
      <c r="AQ33" s="1006"/>
      <c r="AR33" s="1006"/>
      <c r="AS33" s="1005">
        <v>2025</v>
      </c>
      <c r="AT33" s="1008">
        <f>SUM(AT34:AT35)</f>
        <v>454934.72809179954</v>
      </c>
      <c r="AU33" s="1009">
        <f>AT33/SUM(AT20:AT21) -1</f>
        <v>1.1258632153822408</v>
      </c>
      <c r="AV33" s="1006"/>
      <c r="AW33" s="1006"/>
      <c r="AX33" s="1006"/>
      <c r="AY33" s="1006"/>
      <c r="AZ33" s="1006"/>
      <c r="BA33" s="1006"/>
      <c r="BB33" s="1006"/>
      <c r="BC33" s="1006"/>
      <c r="BD33" s="1006"/>
    </row>
    <row r="34" spans="3:56">
      <c r="C34" s="1005" t="s">
        <v>196</v>
      </c>
      <c r="D34" s="1002">
        <f>SUM(F34:J34)</f>
        <v>137359</v>
      </c>
      <c r="E34" s="1009">
        <f>D34/D20 -1</f>
        <v>0.27893595031703611</v>
      </c>
      <c r="F34" s="1010">
        <v>72135</v>
      </c>
      <c r="G34" s="1010">
        <v>65224</v>
      </c>
      <c r="H34" s="1010"/>
      <c r="I34" s="1010"/>
      <c r="J34" s="1010"/>
      <c r="K34" s="1010">
        <f>13590+13749</f>
        <v>27339</v>
      </c>
      <c r="L34" s="1010">
        <f>3877+1955</f>
        <v>5832</v>
      </c>
      <c r="M34" s="1010"/>
      <c r="N34" s="1010">
        <v>1614</v>
      </c>
      <c r="O34" s="1010"/>
      <c r="P34" s="1006"/>
      <c r="Q34" s="1005" t="s">
        <v>196</v>
      </c>
      <c r="R34" s="998">
        <f>SUM(T34:T34:X34)</f>
        <v>1126</v>
      </c>
      <c r="S34" s="1009">
        <f>R34/R20 -1</f>
        <v>4.4603033006245241E-3</v>
      </c>
      <c r="T34" s="998">
        <v>231</v>
      </c>
      <c r="U34" s="998">
        <v>895</v>
      </c>
      <c r="V34" s="998"/>
      <c r="W34" s="998"/>
      <c r="X34" s="999"/>
      <c r="Y34" s="999">
        <f>13+173</f>
        <v>186</v>
      </c>
      <c r="Z34" s="1000">
        <f>102+6</f>
        <v>108</v>
      </c>
      <c r="AA34" s="1000"/>
      <c r="AB34" s="1000">
        <v>1126</v>
      </c>
      <c r="AC34" s="1000"/>
      <c r="AD34" s="1006"/>
      <c r="AE34" s="1005" t="s">
        <v>196</v>
      </c>
      <c r="AF34" s="998">
        <f>SUM(AH34:AL34)</f>
        <v>79188</v>
      </c>
      <c r="AG34" s="1009">
        <f>AF34/AF20 -1</f>
        <v>0.17027753968019388</v>
      </c>
      <c r="AH34" s="998"/>
      <c r="AI34" s="998"/>
      <c r="AJ34" s="998">
        <v>17849</v>
      </c>
      <c r="AK34" s="998">
        <v>61339</v>
      </c>
      <c r="AL34" s="998"/>
      <c r="AM34" s="1000">
        <v>1918</v>
      </c>
      <c r="AN34" s="1000">
        <f>14923+10</f>
        <v>14933</v>
      </c>
      <c r="AO34" s="1000"/>
      <c r="AP34" s="1000"/>
      <c r="AQ34" s="1000"/>
      <c r="AR34" s="1006"/>
      <c r="AS34" s="1005" t="s">
        <v>196</v>
      </c>
      <c r="AT34" s="998">
        <f>AV34+AW34</f>
        <v>262431.94016385992</v>
      </c>
      <c r="AU34" s="1009">
        <f>AT34/AT20 -1</f>
        <v>1.3431423228916066</v>
      </c>
      <c r="AV34" s="1011">
        <v>120400.01359671222</v>
      </c>
      <c r="AW34" s="1011">
        <v>142031.92656714772</v>
      </c>
      <c r="AX34" s="1012"/>
      <c r="AY34" s="1012"/>
      <c r="AZ34" s="1001"/>
      <c r="BA34" s="1001"/>
      <c r="BB34" s="1001"/>
      <c r="BC34" s="1001"/>
      <c r="BD34" s="1001"/>
    </row>
    <row r="35" spans="3:56">
      <c r="C35" s="1005" t="s">
        <v>197</v>
      </c>
      <c r="D35" s="1002">
        <f>SUM(F35:J35)</f>
        <v>92774</v>
      </c>
      <c r="E35" s="1009">
        <f>D35/D21 -1</f>
        <v>0.2945149092329804</v>
      </c>
      <c r="F35" s="1010">
        <v>47482</v>
      </c>
      <c r="G35" s="1010">
        <v>45292</v>
      </c>
      <c r="H35" s="1010"/>
      <c r="I35" s="1010"/>
      <c r="J35" s="1010"/>
      <c r="K35" s="1010">
        <f>10382+10601</f>
        <v>20983</v>
      </c>
      <c r="L35" s="1010">
        <f>686+1753</f>
        <v>2439</v>
      </c>
      <c r="M35" s="1010">
        <v>4</v>
      </c>
      <c r="N35" s="1010">
        <v>541</v>
      </c>
      <c r="O35" s="1010"/>
      <c r="P35" s="1006"/>
      <c r="Q35" s="1005" t="s">
        <v>197</v>
      </c>
      <c r="R35" s="998">
        <f>SUM(T35:T35:X35)</f>
        <v>1169</v>
      </c>
      <c r="S35" s="1009">
        <f>R35/R21 -1</f>
        <v>-0.18593314763231195</v>
      </c>
      <c r="T35" s="998">
        <v>293</v>
      </c>
      <c r="U35" s="998">
        <v>876</v>
      </c>
      <c r="V35" s="998"/>
      <c r="W35" s="998"/>
      <c r="X35" s="999"/>
      <c r="Y35" s="999">
        <f>55+248</f>
        <v>303</v>
      </c>
      <c r="Z35" s="1000">
        <v>8</v>
      </c>
      <c r="AA35" s="1000"/>
      <c r="AB35" s="1000">
        <v>1169</v>
      </c>
      <c r="AC35" s="1000"/>
      <c r="AD35" s="1006"/>
      <c r="AE35" s="1005" t="s">
        <v>197</v>
      </c>
      <c r="AF35" s="998">
        <f>SUM(AH35:AL35)</f>
        <v>62471</v>
      </c>
      <c r="AG35" s="1009">
        <f>AF35/AF21 -1</f>
        <v>0.21593319968079094</v>
      </c>
      <c r="AH35" s="998"/>
      <c r="AI35" s="998"/>
      <c r="AJ35" s="998">
        <v>25369</v>
      </c>
      <c r="AK35" s="998">
        <v>37102</v>
      </c>
      <c r="AL35" s="998"/>
      <c r="AM35" s="1000">
        <v>1625</v>
      </c>
      <c r="AN35" s="1000">
        <f>19689+8</f>
        <v>19697</v>
      </c>
      <c r="AO35" s="1000"/>
      <c r="AP35" s="1000"/>
      <c r="AQ35" s="1000"/>
      <c r="AR35" s="1006"/>
      <c r="AS35" s="1005" t="s">
        <v>197</v>
      </c>
      <c r="AT35" s="998">
        <f>AV35+AW35</f>
        <v>192502.78792793961</v>
      </c>
      <c r="AU35" s="1009">
        <f>AT35/AT21 -1</f>
        <v>0.88728223458764321</v>
      </c>
      <c r="AV35" s="1011">
        <v>90390.881174985887</v>
      </c>
      <c r="AW35" s="1011">
        <v>102111.90675295373</v>
      </c>
      <c r="AX35" s="1012"/>
      <c r="AY35" s="1012"/>
      <c r="AZ35" s="1001"/>
      <c r="BA35" s="1001"/>
      <c r="BB35" s="1001"/>
      <c r="BC35" s="1001"/>
      <c r="BD35" s="10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T01-2024</vt:lpstr>
      <vt:lpstr>T02-2024</vt:lpstr>
      <vt:lpstr>T03-2024</vt:lpstr>
      <vt:lpstr>T04-2024</vt:lpstr>
      <vt:lpstr>T05-2024</vt:lpstr>
      <vt:lpstr>T06-2024</vt:lpstr>
      <vt:lpstr>T07-2024</vt:lpstr>
      <vt:lpstr>T08-2024</vt:lpstr>
      <vt:lpstr>T9-2024</vt:lpstr>
      <vt:lpstr>T10-2024</vt:lpstr>
      <vt:lpstr>T11-2024</vt:lpstr>
      <vt:lpstr>T12-2024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PC-Lieu</dc:creator>
  <cp:lastModifiedBy>Tri Le Bros Partners</cp:lastModifiedBy>
  <cp:lastPrinted>2025-01-08T03:45:35Z</cp:lastPrinted>
  <dcterms:created xsi:type="dcterms:W3CDTF">2024-02-02T03:02:00Z</dcterms:created>
  <dcterms:modified xsi:type="dcterms:W3CDTF">2025-12-28T12:33:27Z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EBB4FF99BFF04A27AB0568FEBFF09D2C</vt:lpwstr>
  </property>
  <property fmtid="{D5CDD505-2E9C-101B-9397-08002B2CF9AE}" pid="3" name="KSOProductBuildVer">
    <vt:lpwstr>1033-11.2.0.11486</vt:lpwstr>
  </property>
</Properties>
</file>